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Z:\Additional Duties\OBE Based Result Sheets\"/>
    </mc:Choice>
  </mc:AlternateContent>
  <xr:revisionPtr revIDLastSave="0" documentId="13_ncr:1_{DFC5F00B-4C41-4A1D-82AC-A727100E95FF}" xr6:coauthVersionLast="47" xr6:coauthVersionMax="47" xr10:uidLastSave="{00000000-0000-0000-0000-000000000000}"/>
  <bookViews>
    <workbookView xWindow="-120" yWindow="-120" windowWidth="20730" windowHeight="11160" firstSheet="11" activeTab="14" xr2:uid="{00000000-000D-0000-FFFF-FFFF00000000}"/>
  </bookViews>
  <sheets>
    <sheet name="Programmming Fundamental" sheetId="6" r:id="rId1"/>
    <sheet name="Discrete Structure" sheetId="5" r:id="rId2"/>
    <sheet name="Calculus and Analytic Geometry" sheetId="4" r:id="rId3"/>
    <sheet name="Application of Information &amp; Co" sheetId="7" r:id="rId4"/>
    <sheet name="Teaching of Holy Quran with Tra" sheetId="2" r:id="rId5"/>
    <sheet name="Functional English" sheetId="3" r:id="rId6"/>
    <sheet name="Semester 1" sheetId="9" r:id="rId7"/>
    <sheet name="Networking 2nd" sheetId="10" r:id="rId8"/>
    <sheet name="Linear Algebra 2" sheetId="13" r:id="rId9"/>
    <sheet name="Object Oriented Programming 2" sheetId="14" r:id="rId10"/>
    <sheet name="Expository Writing 2" sheetId="11" r:id="rId11"/>
    <sheet name="Islamic Studies 2" sheetId="12" r:id="rId12"/>
    <sheet name="Digital Logic Design 2" sheetId="15" r:id="rId13"/>
    <sheet name="2nd Semester" sheetId="17" r:id="rId14"/>
    <sheet name="1st &amp; 2nd Cumalitive (2)" sheetId="18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12">'Digital Logic Design 2'!$A$1:$AD$79</definedName>
    <definedName name="_xlnm.Print_Area" localSheetId="10">'Expository Writing 2'!$A$1:$AD$77</definedName>
    <definedName name="_xlnm.Print_Area" localSheetId="11">'Islamic Studies 2'!$A$1:$AD$77</definedName>
    <definedName name="_xlnm.Print_Area" localSheetId="8">'Linear Algebra 2'!$A$1:$AD$77</definedName>
    <definedName name="_xlnm.Print_Area" localSheetId="7">'Networking 2nd'!$A$1:$AD$77</definedName>
    <definedName name="_xlnm.Print_Area" localSheetId="9">'Object Oriented Programming 2'!$A$1:$AD$79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3" i="18" l="1"/>
  <c r="AD39" i="18"/>
  <c r="AD51" i="18"/>
  <c r="AD7" i="18"/>
  <c r="AC38" i="18"/>
  <c r="AC50" i="18"/>
  <c r="AC7" i="18"/>
  <c r="AB37" i="18"/>
  <c r="AB49" i="18"/>
  <c r="AB7" i="18"/>
  <c r="AA15" i="18"/>
  <c r="AA23" i="18"/>
  <c r="AA31" i="18"/>
  <c r="AA36" i="18"/>
  <c r="AA39" i="18"/>
  <c r="AA44" i="18"/>
  <c r="AA47" i="18"/>
  <c r="AA7" i="18"/>
  <c r="V7" i="17"/>
  <c r="U7" i="17"/>
  <c r="T7" i="17"/>
  <c r="S7" i="17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AE51" i="18" s="1"/>
  <c r="K51" i="18"/>
  <c r="AA51" i="18" s="1"/>
  <c r="J51" i="18"/>
  <c r="I51" i="18"/>
  <c r="H51" i="18"/>
  <c r="G51" i="18"/>
  <c r="F51" i="18"/>
  <c r="E51" i="18"/>
  <c r="D51" i="18"/>
  <c r="AC51" i="18" s="1"/>
  <c r="C51" i="18"/>
  <c r="AB51" i="18" s="1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AE50" i="18" s="1"/>
  <c r="K50" i="18"/>
  <c r="AA50" i="18" s="1"/>
  <c r="J50" i="18"/>
  <c r="I50" i="18"/>
  <c r="H50" i="18"/>
  <c r="G50" i="18"/>
  <c r="F50" i="18"/>
  <c r="AD50" i="18" s="1"/>
  <c r="E50" i="18"/>
  <c r="D50" i="18"/>
  <c r="C50" i="18"/>
  <c r="AB50" i="18" s="1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AE49" i="18" s="1"/>
  <c r="K49" i="18"/>
  <c r="AA49" i="18" s="1"/>
  <c r="J49" i="18"/>
  <c r="AC49" i="18" s="1"/>
  <c r="I49" i="18"/>
  <c r="H49" i="18"/>
  <c r="G49" i="18"/>
  <c r="F49" i="18"/>
  <c r="AD49" i="18" s="1"/>
  <c r="E49" i="18"/>
  <c r="D49" i="18"/>
  <c r="C49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AA48" i="18" s="1"/>
  <c r="L48" i="18"/>
  <c r="AE48" i="18" s="1"/>
  <c r="K48" i="18"/>
  <c r="J48" i="18"/>
  <c r="I48" i="18"/>
  <c r="H48" i="18"/>
  <c r="G48" i="18"/>
  <c r="F48" i="18"/>
  <c r="AD48" i="18" s="1"/>
  <c r="E48" i="18"/>
  <c r="AB48" i="18" s="1"/>
  <c r="D48" i="18"/>
  <c r="AC48" i="18" s="1"/>
  <c r="C48" i="18"/>
  <c r="Y47" i="18"/>
  <c r="X47" i="18"/>
  <c r="W47" i="18"/>
  <c r="V47" i="18"/>
  <c r="U47" i="18"/>
  <c r="T47" i="18"/>
  <c r="S47" i="18"/>
  <c r="AD47" i="18" s="1"/>
  <c r="R47" i="18"/>
  <c r="Q47" i="18"/>
  <c r="P47" i="18"/>
  <c r="O47" i="18"/>
  <c r="N47" i="18"/>
  <c r="M47" i="18"/>
  <c r="L47" i="18"/>
  <c r="AE47" i="18" s="1"/>
  <c r="K47" i="18"/>
  <c r="J47" i="18"/>
  <c r="I47" i="18"/>
  <c r="H47" i="18"/>
  <c r="G47" i="18"/>
  <c r="F47" i="18"/>
  <c r="E47" i="18"/>
  <c r="D47" i="18"/>
  <c r="AC47" i="18" s="1"/>
  <c r="C47" i="18"/>
  <c r="AB47" i="18" s="1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AE46" i="18" s="1"/>
  <c r="K46" i="18"/>
  <c r="AA46" i="18" s="1"/>
  <c r="J46" i="18"/>
  <c r="AC46" i="18" s="1"/>
  <c r="I46" i="18"/>
  <c r="H46" i="18"/>
  <c r="G46" i="18"/>
  <c r="F46" i="18"/>
  <c r="AD46" i="18" s="1"/>
  <c r="E46" i="18"/>
  <c r="D46" i="18"/>
  <c r="C46" i="18"/>
  <c r="AB46" i="18" s="1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AE45" i="18" s="1"/>
  <c r="K45" i="18"/>
  <c r="AA45" i="18" s="1"/>
  <c r="J45" i="18"/>
  <c r="AC45" i="18" s="1"/>
  <c r="I45" i="18"/>
  <c r="H45" i="18"/>
  <c r="G45" i="18"/>
  <c r="F45" i="18"/>
  <c r="AD45" i="18" s="1"/>
  <c r="E45" i="18"/>
  <c r="AB45" i="18" s="1"/>
  <c r="D45" i="18"/>
  <c r="C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AE44" i="18" s="1"/>
  <c r="K44" i="18"/>
  <c r="J44" i="18"/>
  <c r="I44" i="18"/>
  <c r="H44" i="18"/>
  <c r="G44" i="18"/>
  <c r="F44" i="18"/>
  <c r="AD44" i="18" s="1"/>
  <c r="E44" i="18"/>
  <c r="AB44" i="18" s="1"/>
  <c r="D44" i="18"/>
  <c r="AC44" i="18" s="1"/>
  <c r="C44" i="18"/>
  <c r="Y43" i="18"/>
  <c r="X43" i="18"/>
  <c r="W43" i="18"/>
  <c r="V43" i="18"/>
  <c r="U43" i="18"/>
  <c r="T43" i="18"/>
  <c r="S43" i="18"/>
  <c r="AD43" i="18" s="1"/>
  <c r="R43" i="18"/>
  <c r="Q43" i="18"/>
  <c r="P43" i="18"/>
  <c r="O43" i="18"/>
  <c r="N43" i="18"/>
  <c r="M43" i="18"/>
  <c r="L43" i="18"/>
  <c r="AE43" i="18" s="1"/>
  <c r="K43" i="18"/>
  <c r="AA43" i="18" s="1"/>
  <c r="J43" i="18"/>
  <c r="I43" i="18"/>
  <c r="H43" i="18"/>
  <c r="G43" i="18"/>
  <c r="F43" i="18"/>
  <c r="E43" i="18"/>
  <c r="D43" i="18"/>
  <c r="AC43" i="18" s="1"/>
  <c r="C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AE42" i="18" s="1"/>
  <c r="K42" i="18"/>
  <c r="AA42" i="18" s="1"/>
  <c r="J42" i="18"/>
  <c r="AC42" i="18" s="1"/>
  <c r="I42" i="18"/>
  <c r="H42" i="18"/>
  <c r="G42" i="18"/>
  <c r="F42" i="18"/>
  <c r="E42" i="18"/>
  <c r="D42" i="18"/>
  <c r="C42" i="18"/>
  <c r="AB42" i="18" s="1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AE41" i="18" s="1"/>
  <c r="K41" i="18"/>
  <c r="AA41" i="18" s="1"/>
  <c r="J41" i="18"/>
  <c r="AC41" i="18" s="1"/>
  <c r="I41" i="18"/>
  <c r="H41" i="18"/>
  <c r="G41" i="18"/>
  <c r="F41" i="18"/>
  <c r="AD41" i="18" s="1"/>
  <c r="E41" i="18"/>
  <c r="AB41" i="18" s="1"/>
  <c r="D41" i="18"/>
  <c r="C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AA40" i="18" s="1"/>
  <c r="L40" i="18"/>
  <c r="AE40" i="18" s="1"/>
  <c r="K40" i="18"/>
  <c r="J40" i="18"/>
  <c r="I40" i="18"/>
  <c r="H40" i="18"/>
  <c r="G40" i="18"/>
  <c r="F40" i="18"/>
  <c r="AD40" i="18" s="1"/>
  <c r="E40" i="18"/>
  <c r="AB40" i="18" s="1"/>
  <c r="D40" i="18"/>
  <c r="AC40" i="18" s="1"/>
  <c r="C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AE39" i="18" s="1"/>
  <c r="K39" i="18"/>
  <c r="J39" i="18"/>
  <c r="I39" i="18"/>
  <c r="H39" i="18"/>
  <c r="G39" i="18"/>
  <c r="F39" i="18"/>
  <c r="E39" i="18"/>
  <c r="D39" i="18"/>
  <c r="AC39" i="18" s="1"/>
  <c r="C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AE38" i="18" s="1"/>
  <c r="K38" i="18"/>
  <c r="AA38" i="18" s="1"/>
  <c r="J38" i="18"/>
  <c r="I38" i="18"/>
  <c r="H38" i="18"/>
  <c r="G38" i="18"/>
  <c r="F38" i="18"/>
  <c r="E38" i="18"/>
  <c r="D38" i="18"/>
  <c r="C38" i="18"/>
  <c r="AB38" i="18" s="1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AE37" i="18" s="1"/>
  <c r="K37" i="18"/>
  <c r="AA37" i="18" s="1"/>
  <c r="J37" i="18"/>
  <c r="AC37" i="18" s="1"/>
  <c r="I37" i="18"/>
  <c r="H37" i="18"/>
  <c r="G37" i="18"/>
  <c r="F37" i="18"/>
  <c r="AD37" i="18" s="1"/>
  <c r="E37" i="18"/>
  <c r="D37" i="18"/>
  <c r="C37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AE36" i="18" s="1"/>
  <c r="K36" i="18"/>
  <c r="J36" i="18"/>
  <c r="I36" i="18"/>
  <c r="H36" i="18"/>
  <c r="G36" i="18"/>
  <c r="F36" i="18"/>
  <c r="AD36" i="18" s="1"/>
  <c r="E36" i="18"/>
  <c r="AB36" i="18" s="1"/>
  <c r="D36" i="18"/>
  <c r="AC36" i="18" s="1"/>
  <c r="C36" i="18"/>
  <c r="Y35" i="18"/>
  <c r="X35" i="18"/>
  <c r="W35" i="18"/>
  <c r="V35" i="18"/>
  <c r="U35" i="18"/>
  <c r="T35" i="18"/>
  <c r="S35" i="18"/>
  <c r="AD35" i="18" s="1"/>
  <c r="R35" i="18"/>
  <c r="Q35" i="18"/>
  <c r="P35" i="18"/>
  <c r="O35" i="18"/>
  <c r="N35" i="18"/>
  <c r="M35" i="18"/>
  <c r="L35" i="18"/>
  <c r="AE35" i="18" s="1"/>
  <c r="K35" i="18"/>
  <c r="AA35" i="18" s="1"/>
  <c r="J35" i="18"/>
  <c r="I35" i="18"/>
  <c r="H35" i="18"/>
  <c r="G35" i="18"/>
  <c r="F35" i="18"/>
  <c r="E35" i="18"/>
  <c r="D35" i="18"/>
  <c r="AC35" i="18" s="1"/>
  <c r="C35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AE34" i="18" s="1"/>
  <c r="K34" i="18"/>
  <c r="AA34" i="18" s="1"/>
  <c r="J34" i="18"/>
  <c r="AC34" i="18" s="1"/>
  <c r="I34" i="18"/>
  <c r="H34" i="18"/>
  <c r="G34" i="18"/>
  <c r="F34" i="18"/>
  <c r="E34" i="18"/>
  <c r="D34" i="18"/>
  <c r="C34" i="18"/>
  <c r="AB34" i="18" s="1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AE33" i="18" s="1"/>
  <c r="K33" i="18"/>
  <c r="AA33" i="18" s="1"/>
  <c r="J33" i="18"/>
  <c r="AC33" i="18" s="1"/>
  <c r="I33" i="18"/>
  <c r="H33" i="18"/>
  <c r="G33" i="18"/>
  <c r="F33" i="18"/>
  <c r="AD33" i="18" s="1"/>
  <c r="E33" i="18"/>
  <c r="AB33" i="18" s="1"/>
  <c r="D33" i="18"/>
  <c r="C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AA32" i="18" s="1"/>
  <c r="L32" i="18"/>
  <c r="AE32" i="18" s="1"/>
  <c r="K32" i="18"/>
  <c r="J32" i="18"/>
  <c r="I32" i="18"/>
  <c r="H32" i="18"/>
  <c r="G32" i="18"/>
  <c r="F32" i="18"/>
  <c r="AD32" i="18" s="1"/>
  <c r="E32" i="18"/>
  <c r="AB32" i="18" s="1"/>
  <c r="D32" i="18"/>
  <c r="AC32" i="18" s="1"/>
  <c r="C32" i="18"/>
  <c r="Y31" i="18"/>
  <c r="X31" i="18"/>
  <c r="W31" i="18"/>
  <c r="V31" i="18"/>
  <c r="U31" i="18"/>
  <c r="T31" i="18"/>
  <c r="S31" i="18"/>
  <c r="AD31" i="18" s="1"/>
  <c r="R31" i="18"/>
  <c r="Q31" i="18"/>
  <c r="P31" i="18"/>
  <c r="O31" i="18"/>
  <c r="N31" i="18"/>
  <c r="M31" i="18"/>
  <c r="L31" i="18"/>
  <c r="AE31" i="18" s="1"/>
  <c r="K31" i="18"/>
  <c r="J31" i="18"/>
  <c r="I31" i="18"/>
  <c r="H31" i="18"/>
  <c r="G31" i="18"/>
  <c r="F31" i="18"/>
  <c r="E31" i="18"/>
  <c r="D31" i="18"/>
  <c r="AC31" i="18" s="1"/>
  <c r="C31" i="18"/>
  <c r="Y30" i="18"/>
  <c r="X30" i="18"/>
  <c r="W30" i="18"/>
  <c r="V30" i="18"/>
  <c r="U30" i="18"/>
  <c r="T30" i="18"/>
  <c r="S30" i="18"/>
  <c r="AD30" i="18" s="1"/>
  <c r="R30" i="18"/>
  <c r="Q30" i="18"/>
  <c r="P30" i="18"/>
  <c r="O30" i="18"/>
  <c r="N30" i="18"/>
  <c r="M30" i="18"/>
  <c r="L30" i="18"/>
  <c r="AE30" i="18" s="1"/>
  <c r="K30" i="18"/>
  <c r="AA30" i="18" s="1"/>
  <c r="J30" i="18"/>
  <c r="I30" i="18"/>
  <c r="H30" i="18"/>
  <c r="G30" i="18"/>
  <c r="F30" i="18"/>
  <c r="E30" i="18"/>
  <c r="D30" i="18"/>
  <c r="AC30" i="18" s="1"/>
  <c r="C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AE29" i="18" s="1"/>
  <c r="K29" i="18"/>
  <c r="AA29" i="18" s="1"/>
  <c r="J29" i="18"/>
  <c r="I29" i="18"/>
  <c r="H29" i="18"/>
  <c r="G29" i="18"/>
  <c r="F29" i="18"/>
  <c r="E29" i="18"/>
  <c r="D29" i="18"/>
  <c r="C29" i="18"/>
  <c r="AB29" i="18" s="1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AE28" i="18" s="1"/>
  <c r="K28" i="18"/>
  <c r="AA28" i="18" s="1"/>
  <c r="J28" i="18"/>
  <c r="I28" i="18"/>
  <c r="H28" i="18"/>
  <c r="G28" i="18"/>
  <c r="F28" i="18"/>
  <c r="AD28" i="18" s="1"/>
  <c r="E28" i="18"/>
  <c r="D28" i="18"/>
  <c r="C28" i="18"/>
  <c r="AB28" i="18" s="1"/>
  <c r="Y27" i="18"/>
  <c r="X27" i="18"/>
  <c r="W27" i="18"/>
  <c r="V27" i="18"/>
  <c r="U27" i="18"/>
  <c r="T27" i="18"/>
  <c r="S27" i="18"/>
  <c r="AD27" i="18" s="1"/>
  <c r="R27" i="18"/>
  <c r="Q27" i="18"/>
  <c r="P27" i="18"/>
  <c r="O27" i="18"/>
  <c r="N27" i="18"/>
  <c r="M27" i="18"/>
  <c r="L27" i="18"/>
  <c r="AE27" i="18" s="1"/>
  <c r="K27" i="18"/>
  <c r="AA27" i="18" s="1"/>
  <c r="J27" i="18"/>
  <c r="I27" i="18"/>
  <c r="H27" i="18"/>
  <c r="G27" i="18"/>
  <c r="F27" i="18"/>
  <c r="E27" i="18"/>
  <c r="D27" i="18"/>
  <c r="AC27" i="18" s="1"/>
  <c r="C27" i="18"/>
  <c r="Y26" i="18"/>
  <c r="X26" i="18"/>
  <c r="W26" i="18"/>
  <c r="V26" i="18"/>
  <c r="U26" i="18"/>
  <c r="T26" i="18"/>
  <c r="S26" i="18"/>
  <c r="AD26" i="18" s="1"/>
  <c r="R26" i="18"/>
  <c r="Q26" i="18"/>
  <c r="P26" i="18"/>
  <c r="O26" i="18"/>
  <c r="N26" i="18"/>
  <c r="M26" i="18"/>
  <c r="L26" i="18"/>
  <c r="AE26" i="18" s="1"/>
  <c r="K26" i="18"/>
  <c r="AA26" i="18" s="1"/>
  <c r="J26" i="18"/>
  <c r="I26" i="18"/>
  <c r="H26" i="18"/>
  <c r="G26" i="18"/>
  <c r="F26" i="18"/>
  <c r="E26" i="18"/>
  <c r="D26" i="18"/>
  <c r="AC26" i="18" s="1"/>
  <c r="C26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AE25" i="18" s="1"/>
  <c r="K25" i="18"/>
  <c r="AA25" i="18" s="1"/>
  <c r="J25" i="18"/>
  <c r="I25" i="18"/>
  <c r="H25" i="18"/>
  <c r="G25" i="18"/>
  <c r="F25" i="18"/>
  <c r="E25" i="18"/>
  <c r="D25" i="18"/>
  <c r="C25" i="18"/>
  <c r="AB25" i="18" s="1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AE24" i="18" s="1"/>
  <c r="K24" i="18"/>
  <c r="AA24" i="18" s="1"/>
  <c r="J24" i="18"/>
  <c r="I24" i="18"/>
  <c r="H24" i="18"/>
  <c r="G24" i="18"/>
  <c r="F24" i="18"/>
  <c r="AD24" i="18" s="1"/>
  <c r="E24" i="18"/>
  <c r="D24" i="18"/>
  <c r="C24" i="18"/>
  <c r="AB24" i="18" s="1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AE23" i="18" s="1"/>
  <c r="K23" i="18"/>
  <c r="J23" i="18"/>
  <c r="I23" i="18"/>
  <c r="H23" i="18"/>
  <c r="G23" i="18"/>
  <c r="F23" i="18"/>
  <c r="E23" i="18"/>
  <c r="D23" i="18"/>
  <c r="AC23" i="18" s="1"/>
  <c r="C23" i="18"/>
  <c r="Y22" i="18"/>
  <c r="X22" i="18"/>
  <c r="W22" i="18"/>
  <c r="V22" i="18"/>
  <c r="U22" i="18"/>
  <c r="T22" i="18"/>
  <c r="S22" i="18"/>
  <c r="AD22" i="18" s="1"/>
  <c r="R22" i="18"/>
  <c r="Q22" i="18"/>
  <c r="P22" i="18"/>
  <c r="O22" i="18"/>
  <c r="N22" i="18"/>
  <c r="M22" i="18"/>
  <c r="L22" i="18"/>
  <c r="AE22" i="18" s="1"/>
  <c r="K22" i="18"/>
  <c r="AA22" i="18" s="1"/>
  <c r="J22" i="18"/>
  <c r="I22" i="18"/>
  <c r="H22" i="18"/>
  <c r="G22" i="18"/>
  <c r="F22" i="18"/>
  <c r="E22" i="18"/>
  <c r="D22" i="18"/>
  <c r="AC22" i="18" s="1"/>
  <c r="C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AE21" i="18" s="1"/>
  <c r="K21" i="18"/>
  <c r="AA21" i="18" s="1"/>
  <c r="J21" i="18"/>
  <c r="I21" i="18"/>
  <c r="H21" i="18"/>
  <c r="G21" i="18"/>
  <c r="F21" i="18"/>
  <c r="E21" i="18"/>
  <c r="D21" i="18"/>
  <c r="C21" i="18"/>
  <c r="AB21" i="18" s="1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AE20" i="18" s="1"/>
  <c r="K20" i="18"/>
  <c r="AA20" i="18" s="1"/>
  <c r="J20" i="18"/>
  <c r="I20" i="18"/>
  <c r="H20" i="18"/>
  <c r="G20" i="18"/>
  <c r="F20" i="18"/>
  <c r="AD20" i="18" s="1"/>
  <c r="E20" i="18"/>
  <c r="D20" i="18"/>
  <c r="C20" i="18"/>
  <c r="AB20" i="18" s="1"/>
  <c r="Y19" i="18"/>
  <c r="X19" i="18"/>
  <c r="W19" i="18"/>
  <c r="V19" i="18"/>
  <c r="U19" i="18"/>
  <c r="T19" i="18"/>
  <c r="S19" i="18"/>
  <c r="AD19" i="18" s="1"/>
  <c r="R19" i="18"/>
  <c r="Q19" i="18"/>
  <c r="P19" i="18"/>
  <c r="O19" i="18"/>
  <c r="N19" i="18"/>
  <c r="M19" i="18"/>
  <c r="L19" i="18"/>
  <c r="AE19" i="18" s="1"/>
  <c r="K19" i="18"/>
  <c r="AA19" i="18" s="1"/>
  <c r="J19" i="18"/>
  <c r="I19" i="18"/>
  <c r="H19" i="18"/>
  <c r="G19" i="18"/>
  <c r="F19" i="18"/>
  <c r="E19" i="18"/>
  <c r="D19" i="18"/>
  <c r="AC19" i="18" s="1"/>
  <c r="C19" i="18"/>
  <c r="Y18" i="18"/>
  <c r="X18" i="18"/>
  <c r="W18" i="18"/>
  <c r="V18" i="18"/>
  <c r="U18" i="18"/>
  <c r="T18" i="18"/>
  <c r="S18" i="18"/>
  <c r="AD18" i="18" s="1"/>
  <c r="R18" i="18"/>
  <c r="Q18" i="18"/>
  <c r="P18" i="18"/>
  <c r="O18" i="18"/>
  <c r="N18" i="18"/>
  <c r="M18" i="18"/>
  <c r="L18" i="18"/>
  <c r="AE18" i="18" s="1"/>
  <c r="K18" i="18"/>
  <c r="AA18" i="18" s="1"/>
  <c r="J18" i="18"/>
  <c r="I18" i="18"/>
  <c r="H18" i="18"/>
  <c r="G18" i="18"/>
  <c r="F18" i="18"/>
  <c r="E18" i="18"/>
  <c r="D18" i="18"/>
  <c r="AC18" i="18" s="1"/>
  <c r="C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AE17" i="18" s="1"/>
  <c r="K17" i="18"/>
  <c r="AA17" i="18" s="1"/>
  <c r="J17" i="18"/>
  <c r="I17" i="18"/>
  <c r="H17" i="18"/>
  <c r="G17" i="18"/>
  <c r="F17" i="18"/>
  <c r="E17" i="18"/>
  <c r="D17" i="18"/>
  <c r="C17" i="18"/>
  <c r="AB17" i="18" s="1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AE16" i="18" s="1"/>
  <c r="K16" i="18"/>
  <c r="AA16" i="18" s="1"/>
  <c r="J16" i="18"/>
  <c r="I16" i="18"/>
  <c r="H16" i="18"/>
  <c r="G16" i="18"/>
  <c r="F16" i="18"/>
  <c r="AD16" i="18" s="1"/>
  <c r="E16" i="18"/>
  <c r="D16" i="18"/>
  <c r="C16" i="18"/>
  <c r="AB16" i="18" s="1"/>
  <c r="Y15" i="18"/>
  <c r="X15" i="18"/>
  <c r="W15" i="18"/>
  <c r="V15" i="18"/>
  <c r="U15" i="18"/>
  <c r="T15" i="18"/>
  <c r="S15" i="18"/>
  <c r="AD15" i="18" s="1"/>
  <c r="R15" i="18"/>
  <c r="Q15" i="18"/>
  <c r="P15" i="18"/>
  <c r="O15" i="18"/>
  <c r="N15" i="18"/>
  <c r="M15" i="18"/>
  <c r="L15" i="18"/>
  <c r="AE15" i="18" s="1"/>
  <c r="K15" i="18"/>
  <c r="J15" i="18"/>
  <c r="I15" i="18"/>
  <c r="H15" i="18"/>
  <c r="G15" i="18"/>
  <c r="F15" i="18"/>
  <c r="E15" i="18"/>
  <c r="D15" i="18"/>
  <c r="AC15" i="18" s="1"/>
  <c r="C15" i="18"/>
  <c r="Y14" i="18"/>
  <c r="X14" i="18"/>
  <c r="W14" i="18"/>
  <c r="V14" i="18"/>
  <c r="U14" i="18"/>
  <c r="T14" i="18"/>
  <c r="S14" i="18"/>
  <c r="AD14" i="18" s="1"/>
  <c r="R14" i="18"/>
  <c r="Q14" i="18"/>
  <c r="P14" i="18"/>
  <c r="O14" i="18"/>
  <c r="N14" i="18"/>
  <c r="M14" i="18"/>
  <c r="L14" i="18"/>
  <c r="AE14" i="18" s="1"/>
  <c r="K14" i="18"/>
  <c r="AA14" i="18" s="1"/>
  <c r="J14" i="18"/>
  <c r="I14" i="18"/>
  <c r="H14" i="18"/>
  <c r="G14" i="18"/>
  <c r="F14" i="18"/>
  <c r="E14" i="18"/>
  <c r="D14" i="18"/>
  <c r="AC14" i="18" s="1"/>
  <c r="C14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AE13" i="18" s="1"/>
  <c r="K13" i="18"/>
  <c r="AA13" i="18" s="1"/>
  <c r="J13" i="18"/>
  <c r="I13" i="18"/>
  <c r="H13" i="18"/>
  <c r="G13" i="18"/>
  <c r="F13" i="18"/>
  <c r="E13" i="18"/>
  <c r="D13" i="18"/>
  <c r="C13" i="18"/>
  <c r="AB13" i="18" s="1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AE12" i="18" s="1"/>
  <c r="K12" i="18"/>
  <c r="AA12" i="18" s="1"/>
  <c r="J12" i="18"/>
  <c r="I12" i="18"/>
  <c r="H12" i="18"/>
  <c r="G12" i="18"/>
  <c r="F12" i="18"/>
  <c r="AD12" i="18" s="1"/>
  <c r="E12" i="18"/>
  <c r="D12" i="18"/>
  <c r="C12" i="18"/>
  <c r="AB12" i="18" s="1"/>
  <c r="Y11" i="18"/>
  <c r="X11" i="18"/>
  <c r="W11" i="18"/>
  <c r="V11" i="18"/>
  <c r="U11" i="18"/>
  <c r="T11" i="18"/>
  <c r="S11" i="18"/>
  <c r="AD11" i="18" s="1"/>
  <c r="R11" i="18"/>
  <c r="Q11" i="18"/>
  <c r="P11" i="18"/>
  <c r="O11" i="18"/>
  <c r="N11" i="18"/>
  <c r="M11" i="18"/>
  <c r="L11" i="18"/>
  <c r="AE11" i="18" s="1"/>
  <c r="K11" i="18"/>
  <c r="AA11" i="18" s="1"/>
  <c r="J11" i="18"/>
  <c r="I11" i="18"/>
  <c r="H11" i="18"/>
  <c r="G11" i="18"/>
  <c r="F11" i="18"/>
  <c r="E11" i="18"/>
  <c r="D11" i="18"/>
  <c r="AC11" i="18" s="1"/>
  <c r="C11" i="18"/>
  <c r="Y10" i="18"/>
  <c r="X10" i="18"/>
  <c r="W10" i="18"/>
  <c r="V10" i="18"/>
  <c r="U10" i="18"/>
  <c r="T10" i="18"/>
  <c r="S10" i="18"/>
  <c r="AD10" i="18" s="1"/>
  <c r="R10" i="18"/>
  <c r="Q10" i="18"/>
  <c r="P10" i="18"/>
  <c r="O10" i="18"/>
  <c r="N10" i="18"/>
  <c r="M10" i="18"/>
  <c r="L10" i="18"/>
  <c r="AE10" i="18" s="1"/>
  <c r="K10" i="18"/>
  <c r="AA10" i="18" s="1"/>
  <c r="J10" i="18"/>
  <c r="I10" i="18"/>
  <c r="H10" i="18"/>
  <c r="G10" i="18"/>
  <c r="F10" i="18"/>
  <c r="E10" i="18"/>
  <c r="D10" i="18"/>
  <c r="AC10" i="18" s="1"/>
  <c r="C10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AE9" i="18" s="1"/>
  <c r="K9" i="18"/>
  <c r="AA9" i="18" s="1"/>
  <c r="J9" i="18"/>
  <c r="I9" i="18"/>
  <c r="H9" i="18"/>
  <c r="G9" i="18"/>
  <c r="F9" i="18"/>
  <c r="E9" i="18"/>
  <c r="D9" i="18"/>
  <c r="C9" i="18"/>
  <c r="AB9" i="18" s="1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AE8" i="18" s="1"/>
  <c r="K8" i="18"/>
  <c r="AA8" i="18" s="1"/>
  <c r="J8" i="18"/>
  <c r="I8" i="18"/>
  <c r="H8" i="18"/>
  <c r="G8" i="18"/>
  <c r="F8" i="18"/>
  <c r="AD8" i="18" s="1"/>
  <c r="E8" i="18"/>
  <c r="D8" i="18"/>
  <c r="C8" i="18"/>
  <c r="AB8" i="18" s="1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8" i="17"/>
  <c r="K9" i="17"/>
  <c r="S9" i="17" s="1"/>
  <c r="L9" i="17"/>
  <c r="M9" i="17"/>
  <c r="K10" i="17"/>
  <c r="S10" i="17" s="1"/>
  <c r="L10" i="17"/>
  <c r="M10" i="17"/>
  <c r="K11" i="17"/>
  <c r="S11" i="17" s="1"/>
  <c r="L11" i="17"/>
  <c r="M11" i="17"/>
  <c r="K12" i="17"/>
  <c r="S12" i="17" s="1"/>
  <c r="L12" i="17"/>
  <c r="M12" i="17"/>
  <c r="K13" i="17"/>
  <c r="S13" i="17" s="1"/>
  <c r="L13" i="17"/>
  <c r="M13" i="17"/>
  <c r="K14" i="17"/>
  <c r="S14" i="17" s="1"/>
  <c r="L14" i="17"/>
  <c r="M14" i="17"/>
  <c r="K15" i="17"/>
  <c r="S15" i="17" s="1"/>
  <c r="L15" i="17"/>
  <c r="M15" i="17"/>
  <c r="K16" i="17"/>
  <c r="S16" i="17" s="1"/>
  <c r="L16" i="17"/>
  <c r="M16" i="17"/>
  <c r="K17" i="17"/>
  <c r="S17" i="17" s="1"/>
  <c r="L17" i="17"/>
  <c r="M17" i="17"/>
  <c r="K18" i="17"/>
  <c r="S18" i="17" s="1"/>
  <c r="L18" i="17"/>
  <c r="M18" i="17"/>
  <c r="K19" i="17"/>
  <c r="S19" i="17" s="1"/>
  <c r="L19" i="17"/>
  <c r="M19" i="17"/>
  <c r="K20" i="17"/>
  <c r="S20" i="17" s="1"/>
  <c r="L20" i="17"/>
  <c r="M20" i="17"/>
  <c r="K21" i="17"/>
  <c r="S21" i="17" s="1"/>
  <c r="L21" i="17"/>
  <c r="M21" i="17"/>
  <c r="K22" i="17"/>
  <c r="S22" i="17" s="1"/>
  <c r="L22" i="17"/>
  <c r="M22" i="17"/>
  <c r="K23" i="17"/>
  <c r="S23" i="17" s="1"/>
  <c r="L23" i="17"/>
  <c r="M23" i="17"/>
  <c r="K24" i="17"/>
  <c r="S24" i="17" s="1"/>
  <c r="L24" i="17"/>
  <c r="M24" i="17"/>
  <c r="K25" i="17"/>
  <c r="S25" i="17" s="1"/>
  <c r="L25" i="17"/>
  <c r="M25" i="17"/>
  <c r="K26" i="17"/>
  <c r="S26" i="17" s="1"/>
  <c r="L26" i="17"/>
  <c r="M26" i="17"/>
  <c r="K27" i="17"/>
  <c r="S27" i="17" s="1"/>
  <c r="L27" i="17"/>
  <c r="M27" i="17"/>
  <c r="K28" i="17"/>
  <c r="S28" i="17" s="1"/>
  <c r="L28" i="17"/>
  <c r="M28" i="17"/>
  <c r="K29" i="17"/>
  <c r="S29" i="17" s="1"/>
  <c r="L29" i="17"/>
  <c r="M29" i="17"/>
  <c r="K30" i="17"/>
  <c r="S30" i="17" s="1"/>
  <c r="L30" i="17"/>
  <c r="M30" i="17"/>
  <c r="K31" i="17"/>
  <c r="S31" i="17" s="1"/>
  <c r="L31" i="17"/>
  <c r="M31" i="17"/>
  <c r="K32" i="17"/>
  <c r="S32" i="17" s="1"/>
  <c r="L32" i="17"/>
  <c r="M32" i="17"/>
  <c r="K33" i="17"/>
  <c r="S33" i="17" s="1"/>
  <c r="L33" i="17"/>
  <c r="M33" i="17"/>
  <c r="K34" i="17"/>
  <c r="S34" i="17" s="1"/>
  <c r="L34" i="17"/>
  <c r="M34" i="17"/>
  <c r="K35" i="17"/>
  <c r="S35" i="17" s="1"/>
  <c r="L35" i="17"/>
  <c r="M35" i="17"/>
  <c r="K36" i="17"/>
  <c r="S36" i="17" s="1"/>
  <c r="L36" i="17"/>
  <c r="M36" i="17"/>
  <c r="K37" i="17"/>
  <c r="S37" i="17" s="1"/>
  <c r="L37" i="17"/>
  <c r="M37" i="17"/>
  <c r="K38" i="17"/>
  <c r="S38" i="17" s="1"/>
  <c r="L38" i="17"/>
  <c r="M38" i="17"/>
  <c r="K39" i="17"/>
  <c r="S39" i="17" s="1"/>
  <c r="L39" i="17"/>
  <c r="M39" i="17"/>
  <c r="K40" i="17"/>
  <c r="S40" i="17" s="1"/>
  <c r="L40" i="17"/>
  <c r="M40" i="17"/>
  <c r="K41" i="17"/>
  <c r="S41" i="17" s="1"/>
  <c r="L41" i="17"/>
  <c r="M41" i="17"/>
  <c r="K42" i="17"/>
  <c r="S42" i="17" s="1"/>
  <c r="L42" i="17"/>
  <c r="M42" i="17"/>
  <c r="K43" i="17"/>
  <c r="S43" i="17" s="1"/>
  <c r="L43" i="17"/>
  <c r="M43" i="17"/>
  <c r="K44" i="17"/>
  <c r="S44" i="17" s="1"/>
  <c r="L44" i="17"/>
  <c r="M44" i="17"/>
  <c r="K45" i="17"/>
  <c r="S45" i="17" s="1"/>
  <c r="L45" i="17"/>
  <c r="M45" i="17"/>
  <c r="K46" i="17"/>
  <c r="S46" i="17" s="1"/>
  <c r="L46" i="17"/>
  <c r="M46" i="17"/>
  <c r="K47" i="17"/>
  <c r="S47" i="17" s="1"/>
  <c r="L47" i="17"/>
  <c r="M47" i="17"/>
  <c r="K48" i="17"/>
  <c r="S48" i="17" s="1"/>
  <c r="L48" i="17"/>
  <c r="M48" i="17"/>
  <c r="K49" i="17"/>
  <c r="S49" i="17" s="1"/>
  <c r="L49" i="17"/>
  <c r="M49" i="17"/>
  <c r="K50" i="17"/>
  <c r="S50" i="17" s="1"/>
  <c r="L50" i="17"/>
  <c r="M50" i="17"/>
  <c r="K51" i="17"/>
  <c r="S51" i="17" s="1"/>
  <c r="L51" i="17"/>
  <c r="M51" i="17"/>
  <c r="M8" i="17"/>
  <c r="L8" i="17"/>
  <c r="K8" i="17"/>
  <c r="S8" i="17" s="1"/>
  <c r="AE14" i="11"/>
  <c r="AF14" i="11"/>
  <c r="AG14" i="11"/>
  <c r="AE15" i="11"/>
  <c r="AF15" i="11"/>
  <c r="AG15" i="11"/>
  <c r="AE16" i="11"/>
  <c r="AF16" i="11"/>
  <c r="AG16" i="11"/>
  <c r="AE17" i="11"/>
  <c r="AF17" i="11"/>
  <c r="AG17" i="11"/>
  <c r="AE18" i="11"/>
  <c r="AF18" i="11"/>
  <c r="AG18" i="11"/>
  <c r="AE19" i="11"/>
  <c r="AF19" i="11"/>
  <c r="AG19" i="11"/>
  <c r="AE20" i="11"/>
  <c r="AF20" i="11"/>
  <c r="AG20" i="11"/>
  <c r="AE21" i="11"/>
  <c r="AF21" i="11"/>
  <c r="AG21" i="11"/>
  <c r="AE22" i="11"/>
  <c r="AF22" i="11"/>
  <c r="AG22" i="11"/>
  <c r="AE23" i="11"/>
  <c r="AF23" i="11"/>
  <c r="AG23" i="11"/>
  <c r="AE24" i="11"/>
  <c r="AF24" i="11"/>
  <c r="AG24" i="11"/>
  <c r="AE25" i="11"/>
  <c r="AF25" i="11"/>
  <c r="AG25" i="11"/>
  <c r="AE26" i="11"/>
  <c r="AF26" i="11"/>
  <c r="AG26" i="11"/>
  <c r="AE27" i="11"/>
  <c r="AF27" i="11"/>
  <c r="AG27" i="11"/>
  <c r="AE28" i="11"/>
  <c r="AF28" i="11"/>
  <c r="AG28" i="11"/>
  <c r="AE29" i="11"/>
  <c r="AF29" i="11"/>
  <c r="AG29" i="11"/>
  <c r="AE30" i="11"/>
  <c r="AF30" i="11"/>
  <c r="AG30" i="11"/>
  <c r="AE31" i="11"/>
  <c r="AF31" i="11"/>
  <c r="AG31" i="11"/>
  <c r="AE32" i="11"/>
  <c r="AF32" i="11"/>
  <c r="AG32" i="11"/>
  <c r="AE33" i="11"/>
  <c r="AF33" i="11"/>
  <c r="AG33" i="11"/>
  <c r="AE34" i="11"/>
  <c r="AF34" i="11"/>
  <c r="AG34" i="11"/>
  <c r="AE35" i="11"/>
  <c r="AF35" i="11"/>
  <c r="AG35" i="11"/>
  <c r="AE36" i="11"/>
  <c r="AF36" i="11"/>
  <c r="AG36" i="11"/>
  <c r="AE37" i="11"/>
  <c r="AF37" i="11"/>
  <c r="AG37" i="11"/>
  <c r="AE38" i="11"/>
  <c r="AF38" i="11"/>
  <c r="AG38" i="11"/>
  <c r="AE39" i="11"/>
  <c r="AF39" i="11"/>
  <c r="AG39" i="11"/>
  <c r="AE40" i="11"/>
  <c r="AF40" i="11"/>
  <c r="AG40" i="11"/>
  <c r="AE41" i="11"/>
  <c r="AF41" i="11"/>
  <c r="AG41" i="11"/>
  <c r="AE42" i="11"/>
  <c r="AF42" i="11"/>
  <c r="AG42" i="11"/>
  <c r="AE43" i="11"/>
  <c r="AF43" i="11"/>
  <c r="AG43" i="11"/>
  <c r="AE44" i="11"/>
  <c r="AF44" i="11"/>
  <c r="AG44" i="11"/>
  <c r="AE45" i="11"/>
  <c r="AF45" i="11"/>
  <c r="AG45" i="11"/>
  <c r="AE46" i="11"/>
  <c r="AF46" i="11"/>
  <c r="AG46" i="11"/>
  <c r="AE47" i="11"/>
  <c r="AF47" i="11"/>
  <c r="AG47" i="11"/>
  <c r="AE48" i="11"/>
  <c r="AF48" i="11"/>
  <c r="AG48" i="11"/>
  <c r="AE49" i="11"/>
  <c r="AF49" i="11"/>
  <c r="AG49" i="11"/>
  <c r="AE50" i="11"/>
  <c r="AF50" i="11"/>
  <c r="AG50" i="11"/>
  <c r="AE51" i="11"/>
  <c r="AF51" i="11"/>
  <c r="AG51" i="11"/>
  <c r="AE52" i="11"/>
  <c r="AF52" i="11"/>
  <c r="AG52" i="11"/>
  <c r="AE53" i="11"/>
  <c r="AF53" i="11"/>
  <c r="AG53" i="11"/>
  <c r="AE54" i="11"/>
  <c r="AF54" i="11"/>
  <c r="AG54" i="11"/>
  <c r="AE55" i="11"/>
  <c r="AF55" i="11"/>
  <c r="AG55" i="11"/>
  <c r="AE56" i="11"/>
  <c r="AF56" i="11"/>
  <c r="AG56" i="11"/>
  <c r="AE57" i="11"/>
  <c r="AF57" i="11"/>
  <c r="AG57" i="11"/>
  <c r="AE58" i="11"/>
  <c r="AF58" i="11"/>
  <c r="AG58" i="11"/>
  <c r="AE59" i="11"/>
  <c r="AF59" i="11"/>
  <c r="AG59" i="11"/>
  <c r="AE60" i="11"/>
  <c r="AF60" i="11"/>
  <c r="AG60" i="11"/>
  <c r="AE61" i="11"/>
  <c r="AF61" i="11"/>
  <c r="AG61" i="11"/>
  <c r="AE62" i="11"/>
  <c r="AF62" i="11"/>
  <c r="AG62" i="11"/>
  <c r="AE63" i="11"/>
  <c r="AF63" i="11"/>
  <c r="AG63" i="11"/>
  <c r="AE64" i="11"/>
  <c r="AF64" i="11"/>
  <c r="AG64" i="11"/>
  <c r="AE65" i="11"/>
  <c r="AF65" i="11"/>
  <c r="AG65" i="11"/>
  <c r="AE66" i="11"/>
  <c r="AF66" i="11"/>
  <c r="AG66" i="11"/>
  <c r="AE67" i="11"/>
  <c r="AF67" i="11"/>
  <c r="AG67" i="11"/>
  <c r="AE68" i="11"/>
  <c r="AF68" i="11"/>
  <c r="AG68" i="11"/>
  <c r="AE69" i="11"/>
  <c r="AF69" i="11"/>
  <c r="AG69" i="11"/>
  <c r="AE70" i="11"/>
  <c r="AF70" i="11"/>
  <c r="AG70" i="11"/>
  <c r="AE71" i="11"/>
  <c r="AF71" i="11"/>
  <c r="AG71" i="11"/>
  <c r="AE72" i="11"/>
  <c r="AF72" i="11"/>
  <c r="AG72" i="11"/>
  <c r="AE73" i="11"/>
  <c r="AF73" i="11"/>
  <c r="AG73" i="11"/>
  <c r="AE74" i="11"/>
  <c r="AF74" i="11"/>
  <c r="AG74" i="11"/>
  <c r="AE75" i="11"/>
  <c r="AF75" i="11"/>
  <c r="AG75" i="11"/>
  <c r="AE76" i="11"/>
  <c r="AF76" i="11"/>
  <c r="AG76" i="11"/>
  <c r="AE77" i="11"/>
  <c r="AF77" i="11"/>
  <c r="AG77" i="11"/>
  <c r="AG13" i="11"/>
  <c r="AF13" i="11"/>
  <c r="AE13" i="11"/>
  <c r="I9" i="17"/>
  <c r="J9" i="17"/>
  <c r="I10" i="17"/>
  <c r="J10" i="17"/>
  <c r="I11" i="17"/>
  <c r="J11" i="17"/>
  <c r="I12" i="17"/>
  <c r="J12" i="17"/>
  <c r="I13" i="17"/>
  <c r="J13" i="17"/>
  <c r="I14" i="17"/>
  <c r="J14" i="17"/>
  <c r="I15" i="17"/>
  <c r="J15" i="17"/>
  <c r="I16" i="17"/>
  <c r="J16" i="17"/>
  <c r="I17" i="17"/>
  <c r="J17" i="17"/>
  <c r="I18" i="17"/>
  <c r="J18" i="17"/>
  <c r="I19" i="17"/>
  <c r="J19" i="17"/>
  <c r="I20" i="17"/>
  <c r="J20" i="17"/>
  <c r="I21" i="17"/>
  <c r="J21" i="17"/>
  <c r="I22" i="17"/>
  <c r="J22" i="17"/>
  <c r="I23" i="17"/>
  <c r="J23" i="17"/>
  <c r="I24" i="17"/>
  <c r="J24" i="17"/>
  <c r="I25" i="17"/>
  <c r="J25" i="17"/>
  <c r="I26" i="17"/>
  <c r="J26" i="17"/>
  <c r="I27" i="17"/>
  <c r="J27" i="17"/>
  <c r="I28" i="17"/>
  <c r="J28" i="17"/>
  <c r="I29" i="17"/>
  <c r="J29" i="17"/>
  <c r="I30" i="17"/>
  <c r="J30" i="17"/>
  <c r="I31" i="17"/>
  <c r="J31" i="17"/>
  <c r="I32" i="17"/>
  <c r="J32" i="17"/>
  <c r="I33" i="17"/>
  <c r="J33" i="17"/>
  <c r="I34" i="17"/>
  <c r="J34" i="17"/>
  <c r="I35" i="17"/>
  <c r="J35" i="17"/>
  <c r="I36" i="17"/>
  <c r="J36" i="17"/>
  <c r="I37" i="17"/>
  <c r="J37" i="17"/>
  <c r="I38" i="17"/>
  <c r="J38" i="17"/>
  <c r="I39" i="17"/>
  <c r="J39" i="17"/>
  <c r="I40" i="17"/>
  <c r="J40" i="17"/>
  <c r="I41" i="17"/>
  <c r="J41" i="17"/>
  <c r="I42" i="17"/>
  <c r="J42" i="17"/>
  <c r="I43" i="17"/>
  <c r="J43" i="17"/>
  <c r="I44" i="17"/>
  <c r="J44" i="17"/>
  <c r="I45" i="17"/>
  <c r="J45" i="17"/>
  <c r="I46" i="17"/>
  <c r="J46" i="17"/>
  <c r="I47" i="17"/>
  <c r="J47" i="17"/>
  <c r="I48" i="17"/>
  <c r="J48" i="17"/>
  <c r="I49" i="17"/>
  <c r="J49" i="17"/>
  <c r="I50" i="17"/>
  <c r="J50" i="17"/>
  <c r="I51" i="17"/>
  <c r="J51" i="17"/>
  <c r="J8" i="17"/>
  <c r="I8" i="17"/>
  <c r="G9" i="17"/>
  <c r="H9" i="17"/>
  <c r="G10" i="17"/>
  <c r="H10" i="17"/>
  <c r="G11" i="17"/>
  <c r="H11" i="17"/>
  <c r="G12" i="17"/>
  <c r="H12" i="17"/>
  <c r="G13" i="17"/>
  <c r="H13" i="17"/>
  <c r="G14" i="17"/>
  <c r="H14" i="17"/>
  <c r="G15" i="17"/>
  <c r="H15" i="17"/>
  <c r="G16" i="17"/>
  <c r="H16" i="17"/>
  <c r="G17" i="17"/>
  <c r="H17" i="17"/>
  <c r="G18" i="17"/>
  <c r="H18" i="17"/>
  <c r="G19" i="17"/>
  <c r="H19" i="17"/>
  <c r="G20" i="17"/>
  <c r="H20" i="17"/>
  <c r="G21" i="17"/>
  <c r="H21" i="17"/>
  <c r="G22" i="17"/>
  <c r="H22" i="17"/>
  <c r="G23" i="17"/>
  <c r="H23" i="17"/>
  <c r="G24" i="17"/>
  <c r="H24" i="17"/>
  <c r="G25" i="17"/>
  <c r="H25" i="17"/>
  <c r="G26" i="17"/>
  <c r="H26" i="17"/>
  <c r="G27" i="17"/>
  <c r="H27" i="17"/>
  <c r="G28" i="17"/>
  <c r="H28" i="17"/>
  <c r="G29" i="17"/>
  <c r="H29" i="17"/>
  <c r="G30" i="17"/>
  <c r="H30" i="17"/>
  <c r="G31" i="17"/>
  <c r="H31" i="17"/>
  <c r="G32" i="17"/>
  <c r="H32" i="17"/>
  <c r="G33" i="17"/>
  <c r="H33" i="17"/>
  <c r="G34" i="17"/>
  <c r="H34" i="17"/>
  <c r="G35" i="17"/>
  <c r="H35" i="17"/>
  <c r="G36" i="17"/>
  <c r="H36" i="17"/>
  <c r="G37" i="17"/>
  <c r="H37" i="17"/>
  <c r="G38" i="17"/>
  <c r="H38" i="17"/>
  <c r="G39" i="17"/>
  <c r="H39" i="17"/>
  <c r="G40" i="17"/>
  <c r="H40" i="17"/>
  <c r="G41" i="17"/>
  <c r="H41" i="17"/>
  <c r="G42" i="17"/>
  <c r="H42" i="17"/>
  <c r="G43" i="17"/>
  <c r="H43" i="17"/>
  <c r="G44" i="17"/>
  <c r="H44" i="17"/>
  <c r="G45" i="17"/>
  <c r="H45" i="17"/>
  <c r="G46" i="17"/>
  <c r="H46" i="17"/>
  <c r="G47" i="17"/>
  <c r="H47" i="17"/>
  <c r="G48" i="17"/>
  <c r="H48" i="17"/>
  <c r="G49" i="17"/>
  <c r="H49" i="17"/>
  <c r="G50" i="17"/>
  <c r="H50" i="17"/>
  <c r="G51" i="17"/>
  <c r="H51" i="17"/>
  <c r="H8" i="17"/>
  <c r="G8" i="17"/>
  <c r="F9" i="17"/>
  <c r="V9" i="17" s="1"/>
  <c r="F10" i="17"/>
  <c r="V10" i="17" s="1"/>
  <c r="F11" i="17"/>
  <c r="V11" i="17" s="1"/>
  <c r="F12" i="17"/>
  <c r="V12" i="17" s="1"/>
  <c r="F13" i="17"/>
  <c r="V13" i="17" s="1"/>
  <c r="F14" i="17"/>
  <c r="V14" i="17" s="1"/>
  <c r="F15" i="17"/>
  <c r="V15" i="17" s="1"/>
  <c r="F16" i="17"/>
  <c r="V16" i="17" s="1"/>
  <c r="F17" i="17"/>
  <c r="V17" i="17" s="1"/>
  <c r="F18" i="17"/>
  <c r="V18" i="17" s="1"/>
  <c r="F19" i="17"/>
  <c r="V19" i="17" s="1"/>
  <c r="F20" i="17"/>
  <c r="V20" i="17" s="1"/>
  <c r="F21" i="17"/>
  <c r="V21" i="17" s="1"/>
  <c r="F22" i="17"/>
  <c r="V22" i="17" s="1"/>
  <c r="F23" i="17"/>
  <c r="V23" i="17" s="1"/>
  <c r="F24" i="17"/>
  <c r="V24" i="17" s="1"/>
  <c r="F25" i="17"/>
  <c r="V25" i="17" s="1"/>
  <c r="F26" i="17"/>
  <c r="V26" i="17" s="1"/>
  <c r="F27" i="17"/>
  <c r="V27" i="17" s="1"/>
  <c r="F28" i="17"/>
  <c r="V28" i="17" s="1"/>
  <c r="F29" i="17"/>
  <c r="V29" i="17" s="1"/>
  <c r="F30" i="17"/>
  <c r="V30" i="17" s="1"/>
  <c r="F31" i="17"/>
  <c r="V31" i="17" s="1"/>
  <c r="F32" i="17"/>
  <c r="V32" i="17" s="1"/>
  <c r="F33" i="17"/>
  <c r="V33" i="17" s="1"/>
  <c r="F34" i="17"/>
  <c r="V34" i="17" s="1"/>
  <c r="F35" i="17"/>
  <c r="V35" i="17" s="1"/>
  <c r="F36" i="17"/>
  <c r="V36" i="17" s="1"/>
  <c r="F37" i="17"/>
  <c r="V37" i="17" s="1"/>
  <c r="F38" i="17"/>
  <c r="V38" i="17" s="1"/>
  <c r="F39" i="17"/>
  <c r="V39" i="17" s="1"/>
  <c r="F40" i="17"/>
  <c r="V40" i="17" s="1"/>
  <c r="F41" i="17"/>
  <c r="V41" i="17" s="1"/>
  <c r="F42" i="17"/>
  <c r="V42" i="17" s="1"/>
  <c r="F43" i="17"/>
  <c r="V43" i="17" s="1"/>
  <c r="F44" i="17"/>
  <c r="V44" i="17" s="1"/>
  <c r="F45" i="17"/>
  <c r="V45" i="17" s="1"/>
  <c r="F46" i="17"/>
  <c r="V46" i="17" s="1"/>
  <c r="F47" i="17"/>
  <c r="V47" i="17" s="1"/>
  <c r="F48" i="17"/>
  <c r="V48" i="17" s="1"/>
  <c r="F49" i="17"/>
  <c r="V49" i="17" s="1"/>
  <c r="F50" i="17"/>
  <c r="V50" i="17" s="1"/>
  <c r="F51" i="17"/>
  <c r="V51" i="17" s="1"/>
  <c r="F8" i="17"/>
  <c r="V8" i="17" s="1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8" i="17"/>
  <c r="AE50" i="14"/>
  <c r="AF50" i="14"/>
  <c r="AE51" i="14"/>
  <c r="AF51" i="14"/>
  <c r="AE52" i="14"/>
  <c r="AF52" i="14"/>
  <c r="AE53" i="14"/>
  <c r="AF53" i="14"/>
  <c r="AE54" i="14"/>
  <c r="AF54" i="14"/>
  <c r="AE55" i="14"/>
  <c r="AF55" i="14"/>
  <c r="AE56" i="14"/>
  <c r="AF56" i="14"/>
  <c r="AB56" i="14"/>
  <c r="AA56" i="14"/>
  <c r="AD56" i="14" s="1"/>
  <c r="Y56" i="14"/>
  <c r="W56" i="14"/>
  <c r="U56" i="14"/>
  <c r="T56" i="14"/>
  <c r="M56" i="14"/>
  <c r="L56" i="14"/>
  <c r="E56" i="14"/>
  <c r="Z56" i="14" s="1"/>
  <c r="AC56" i="14" s="1"/>
  <c r="D56" i="14"/>
  <c r="C56" i="14"/>
  <c r="G56" i="14" s="1"/>
  <c r="X56" i="14" s="1"/>
  <c r="AB55" i="14"/>
  <c r="AA55" i="14"/>
  <c r="AD55" i="14" s="1"/>
  <c r="Y55" i="14"/>
  <c r="W55" i="14"/>
  <c r="U55" i="14"/>
  <c r="T55" i="14"/>
  <c r="M55" i="14"/>
  <c r="L55" i="14"/>
  <c r="E55" i="14"/>
  <c r="Z55" i="14" s="1"/>
  <c r="AC55" i="14" s="1"/>
  <c r="D55" i="14"/>
  <c r="C55" i="14"/>
  <c r="G55" i="14" s="1"/>
  <c r="X55" i="14" s="1"/>
  <c r="AB54" i="14"/>
  <c r="AA54" i="14"/>
  <c r="AD54" i="14" s="1"/>
  <c r="Y54" i="14"/>
  <c r="W54" i="14"/>
  <c r="U54" i="14"/>
  <c r="T54" i="14"/>
  <c r="M54" i="14"/>
  <c r="L54" i="14"/>
  <c r="E54" i="14"/>
  <c r="Z54" i="14" s="1"/>
  <c r="AC54" i="14" s="1"/>
  <c r="D54" i="14"/>
  <c r="C54" i="14"/>
  <c r="G54" i="14" s="1"/>
  <c r="X54" i="14" s="1"/>
  <c r="AB53" i="14"/>
  <c r="AA53" i="14"/>
  <c r="AD53" i="14" s="1"/>
  <c r="Y53" i="14"/>
  <c r="W53" i="14"/>
  <c r="U53" i="14"/>
  <c r="T53" i="14"/>
  <c r="M53" i="14"/>
  <c r="L53" i="14"/>
  <c r="E53" i="14"/>
  <c r="Z53" i="14" s="1"/>
  <c r="AC53" i="14" s="1"/>
  <c r="D53" i="14"/>
  <c r="C53" i="14"/>
  <c r="G53" i="14" s="1"/>
  <c r="X53" i="14" s="1"/>
  <c r="AB52" i="14"/>
  <c r="AA52" i="14"/>
  <c r="AD52" i="14" s="1"/>
  <c r="Y52" i="14"/>
  <c r="W52" i="14"/>
  <c r="U52" i="14"/>
  <c r="T52" i="14"/>
  <c r="M52" i="14"/>
  <c r="L52" i="14"/>
  <c r="E52" i="14"/>
  <c r="Z52" i="14" s="1"/>
  <c r="AC52" i="14" s="1"/>
  <c r="D52" i="14"/>
  <c r="C52" i="14"/>
  <c r="G52" i="14" s="1"/>
  <c r="X52" i="14" s="1"/>
  <c r="AB51" i="14"/>
  <c r="AA51" i="14"/>
  <c r="AD51" i="14" s="1"/>
  <c r="Y51" i="14"/>
  <c r="W51" i="14"/>
  <c r="U51" i="14"/>
  <c r="T51" i="14"/>
  <c r="M51" i="14"/>
  <c r="L51" i="14"/>
  <c r="E51" i="14"/>
  <c r="Z51" i="14" s="1"/>
  <c r="AC51" i="14" s="1"/>
  <c r="D51" i="14"/>
  <c r="C51" i="14"/>
  <c r="G51" i="14" s="1"/>
  <c r="X51" i="14" s="1"/>
  <c r="AB50" i="14"/>
  <c r="AA50" i="14"/>
  <c r="AD50" i="14" s="1"/>
  <c r="Y50" i="14"/>
  <c r="W50" i="14"/>
  <c r="U50" i="14"/>
  <c r="T50" i="14"/>
  <c r="M50" i="14"/>
  <c r="L50" i="14"/>
  <c r="E50" i="14"/>
  <c r="Z50" i="14" s="1"/>
  <c r="AC50" i="14" s="1"/>
  <c r="D50" i="14"/>
  <c r="C50" i="14"/>
  <c r="G50" i="14" s="1"/>
  <c r="X50" i="14" s="1"/>
  <c r="AC9" i="18" l="1"/>
  <c r="AC13" i="18"/>
  <c r="AC17" i="18"/>
  <c r="AC21" i="18"/>
  <c r="AC25" i="18"/>
  <c r="AC29" i="18"/>
  <c r="AC8" i="18"/>
  <c r="AB11" i="18"/>
  <c r="AC12" i="18"/>
  <c r="AB15" i="18"/>
  <c r="AC16" i="18"/>
  <c r="AD17" i="18"/>
  <c r="AB19" i="18"/>
  <c r="AC20" i="18"/>
  <c r="AD21" i="18"/>
  <c r="AB23" i="18"/>
  <c r="AC24" i="18"/>
  <c r="AD25" i="18"/>
  <c r="AB27" i="18"/>
  <c r="AC28" i="18"/>
  <c r="AD29" i="18"/>
  <c r="AB31" i="18"/>
  <c r="AD34" i="18"/>
  <c r="AB35" i="18"/>
  <c r="AD38" i="18"/>
  <c r="AB39" i="18"/>
  <c r="AD42" i="18"/>
  <c r="AB43" i="18"/>
  <c r="AD9" i="18"/>
  <c r="AB10" i="18"/>
  <c r="AD13" i="18"/>
  <c r="AB14" i="18"/>
  <c r="AB18" i="18"/>
  <c r="AB22" i="18"/>
  <c r="AB26" i="18"/>
  <c r="AB30" i="18"/>
  <c r="AE50" i="13"/>
  <c r="AF50" i="13"/>
  <c r="AE51" i="13"/>
  <c r="AF51" i="13"/>
  <c r="AE52" i="13"/>
  <c r="AF52" i="13"/>
  <c r="AE53" i="13"/>
  <c r="AF53" i="13"/>
  <c r="AE54" i="13"/>
  <c r="AF54" i="13"/>
  <c r="AE55" i="13"/>
  <c r="AF55" i="13"/>
  <c r="AE56" i="13"/>
  <c r="AF56" i="13"/>
  <c r="AB56" i="13"/>
  <c r="AA56" i="13"/>
  <c r="AD56" i="13" s="1"/>
  <c r="Y56" i="13"/>
  <c r="W56" i="13"/>
  <c r="U56" i="13"/>
  <c r="T56" i="13"/>
  <c r="M56" i="13"/>
  <c r="O56" i="13" s="1"/>
  <c r="L56" i="13"/>
  <c r="E56" i="13"/>
  <c r="Z56" i="13" s="1"/>
  <c r="AC56" i="13" s="1"/>
  <c r="D56" i="13"/>
  <c r="C56" i="13"/>
  <c r="AB55" i="13"/>
  <c r="Y55" i="13"/>
  <c r="W55" i="13"/>
  <c r="U55" i="13"/>
  <c r="T55" i="13"/>
  <c r="O55" i="13"/>
  <c r="M55" i="13"/>
  <c r="AA55" i="13" s="1"/>
  <c r="AD55" i="13" s="1"/>
  <c r="L55" i="13"/>
  <c r="E55" i="13"/>
  <c r="Z55" i="13" s="1"/>
  <c r="AC55" i="13" s="1"/>
  <c r="D55" i="13"/>
  <c r="C55" i="13"/>
  <c r="Y54" i="13"/>
  <c r="AB54" i="13" s="1"/>
  <c r="U54" i="13"/>
  <c r="W54" i="13" s="1"/>
  <c r="T54" i="13"/>
  <c r="M54" i="13"/>
  <c r="O54" i="13" s="1"/>
  <c r="L54" i="13"/>
  <c r="G54" i="13"/>
  <c r="X54" i="13" s="1"/>
  <c r="E54" i="13"/>
  <c r="D54" i="13"/>
  <c r="C54" i="13"/>
  <c r="AD53" i="13"/>
  <c r="AA53" i="13"/>
  <c r="Z53" i="13"/>
  <c r="AC53" i="13" s="1"/>
  <c r="Y53" i="13"/>
  <c r="AB53" i="13" s="1"/>
  <c r="U53" i="13"/>
  <c r="W53" i="13" s="1"/>
  <c r="T53" i="13"/>
  <c r="M53" i="13"/>
  <c r="O53" i="13" s="1"/>
  <c r="L53" i="13"/>
  <c r="G53" i="13"/>
  <c r="X53" i="13" s="1"/>
  <c r="E53" i="13"/>
  <c r="D53" i="13"/>
  <c r="C53" i="13"/>
  <c r="AB52" i="13"/>
  <c r="AA52" i="13"/>
  <c r="AD52" i="13" s="1"/>
  <c r="Y52" i="13"/>
  <c r="W52" i="13"/>
  <c r="U52" i="13"/>
  <c r="T52" i="13"/>
  <c r="M52" i="13"/>
  <c r="O52" i="13" s="1"/>
  <c r="L52" i="13"/>
  <c r="E52" i="13"/>
  <c r="Z52" i="13" s="1"/>
  <c r="AC52" i="13" s="1"/>
  <c r="D52" i="13"/>
  <c r="C52" i="13"/>
  <c r="AB51" i="13"/>
  <c r="Y51" i="13"/>
  <c r="W51" i="13"/>
  <c r="U51" i="13"/>
  <c r="T51" i="13"/>
  <c r="O51" i="13"/>
  <c r="M51" i="13"/>
  <c r="AA51" i="13" s="1"/>
  <c r="AD51" i="13" s="1"/>
  <c r="L51" i="13"/>
  <c r="E51" i="13"/>
  <c r="G51" i="13" s="1"/>
  <c r="X51" i="13" s="1"/>
  <c r="D51" i="13"/>
  <c r="C51" i="13"/>
  <c r="AC50" i="13"/>
  <c r="Z50" i="13"/>
  <c r="Y50" i="13"/>
  <c r="AB50" i="13" s="1"/>
  <c r="U50" i="13"/>
  <c r="W50" i="13" s="1"/>
  <c r="T50" i="13"/>
  <c r="M50" i="13"/>
  <c r="O50" i="13" s="1"/>
  <c r="L50" i="13"/>
  <c r="G50" i="13"/>
  <c r="E50" i="13"/>
  <c r="D50" i="13"/>
  <c r="C50" i="13"/>
  <c r="X50" i="13" l="1"/>
  <c r="Z54" i="13"/>
  <c r="AC54" i="13" s="1"/>
  <c r="G55" i="13"/>
  <c r="X55" i="13" s="1"/>
  <c r="AA50" i="13"/>
  <c r="AD50" i="13" s="1"/>
  <c r="Z51" i="13"/>
  <c r="AC51" i="13" s="1"/>
  <c r="G52" i="13"/>
  <c r="X52" i="13" s="1"/>
  <c r="AA54" i="13"/>
  <c r="AD54" i="13" s="1"/>
  <c r="G56" i="13"/>
  <c r="X56" i="13" s="1"/>
  <c r="AA56" i="12" l="1"/>
  <c r="AD56" i="12" s="1"/>
  <c r="Z56" i="12"/>
  <c r="AC56" i="12" s="1"/>
  <c r="W56" i="12"/>
  <c r="U56" i="12"/>
  <c r="T56" i="12"/>
  <c r="M56" i="12"/>
  <c r="O56" i="12" s="1"/>
  <c r="L56" i="12"/>
  <c r="E56" i="12"/>
  <c r="Y56" i="12" s="1"/>
  <c r="AB56" i="12" s="1"/>
  <c r="D56" i="12"/>
  <c r="C56" i="12"/>
  <c r="AC55" i="12"/>
  <c r="AA55" i="12"/>
  <c r="AD55" i="12" s="1"/>
  <c r="Z55" i="12"/>
  <c r="W55" i="12"/>
  <c r="U55" i="12"/>
  <c r="T55" i="12"/>
  <c r="O55" i="12"/>
  <c r="M55" i="12"/>
  <c r="L55" i="12"/>
  <c r="E55" i="12"/>
  <c r="Y55" i="12" s="1"/>
  <c r="AB55" i="12" s="1"/>
  <c r="D55" i="12"/>
  <c r="C55" i="12"/>
  <c r="AD54" i="12"/>
  <c r="AC54" i="12"/>
  <c r="AA54" i="12"/>
  <c r="Z54" i="12"/>
  <c r="Y54" i="12"/>
  <c r="AB54" i="12" s="1"/>
  <c r="U54" i="12"/>
  <c r="W54" i="12" s="1"/>
  <c r="T54" i="12"/>
  <c r="M54" i="12"/>
  <c r="O54" i="12" s="1"/>
  <c r="L54" i="12"/>
  <c r="G54" i="12"/>
  <c r="X54" i="12" s="1"/>
  <c r="E54" i="12"/>
  <c r="D54" i="12"/>
  <c r="C54" i="12"/>
  <c r="AD53" i="12"/>
  <c r="AA53" i="12"/>
  <c r="Z53" i="12"/>
  <c r="AC53" i="12" s="1"/>
  <c r="U53" i="12"/>
  <c r="W53" i="12" s="1"/>
  <c r="T53" i="12"/>
  <c r="M53" i="12"/>
  <c r="Y53" i="12" s="1"/>
  <c r="AB53" i="12" s="1"/>
  <c r="L53" i="12"/>
  <c r="G53" i="12"/>
  <c r="E53" i="12"/>
  <c r="D53" i="12"/>
  <c r="C53" i="12"/>
  <c r="AA52" i="12"/>
  <c r="AD52" i="12" s="1"/>
  <c r="Z52" i="12"/>
  <c r="AC52" i="12" s="1"/>
  <c r="W52" i="12"/>
  <c r="U52" i="12"/>
  <c r="T52" i="12"/>
  <c r="M52" i="12"/>
  <c r="O52" i="12" s="1"/>
  <c r="L52" i="12"/>
  <c r="E52" i="12"/>
  <c r="Y52" i="12" s="1"/>
  <c r="AB52" i="12" s="1"/>
  <c r="D52" i="12"/>
  <c r="C52" i="12"/>
  <c r="AC51" i="12"/>
  <c r="AA51" i="12"/>
  <c r="AD51" i="12" s="1"/>
  <c r="Z51" i="12"/>
  <c r="W51" i="12"/>
  <c r="U51" i="12"/>
  <c r="T51" i="12"/>
  <c r="O51" i="12"/>
  <c r="M51" i="12"/>
  <c r="L51" i="12"/>
  <c r="E51" i="12"/>
  <c r="G51" i="12" s="1"/>
  <c r="X51" i="12" s="1"/>
  <c r="D51" i="12"/>
  <c r="C51" i="12"/>
  <c r="AD50" i="12"/>
  <c r="AC50" i="12"/>
  <c r="AA50" i="12"/>
  <c r="Z50" i="12"/>
  <c r="Y50" i="12"/>
  <c r="AB50" i="12" s="1"/>
  <c r="U50" i="12"/>
  <c r="W50" i="12" s="1"/>
  <c r="T50" i="12"/>
  <c r="O50" i="12"/>
  <c r="M50" i="12"/>
  <c r="L50" i="12"/>
  <c r="G50" i="12"/>
  <c r="X50" i="12" s="1"/>
  <c r="E50" i="12"/>
  <c r="D50" i="12"/>
  <c r="C50" i="12"/>
  <c r="Y51" i="12" l="1"/>
  <c r="AB51" i="12" s="1"/>
  <c r="G55" i="12"/>
  <c r="X55" i="12" s="1"/>
  <c r="G52" i="12"/>
  <c r="X52" i="12" s="1"/>
  <c r="O53" i="12"/>
  <c r="X53" i="12" s="1"/>
  <c r="G56" i="12"/>
  <c r="X56" i="12" s="1"/>
  <c r="AA56" i="11" l="1"/>
  <c r="AD56" i="11" s="1"/>
  <c r="W56" i="11"/>
  <c r="U56" i="11"/>
  <c r="Z56" i="11" s="1"/>
  <c r="AC56" i="11" s="1"/>
  <c r="T56" i="11"/>
  <c r="M56" i="11"/>
  <c r="O56" i="11" s="1"/>
  <c r="L56" i="11"/>
  <c r="E56" i="11"/>
  <c r="Y56" i="11" s="1"/>
  <c r="AB56" i="11" s="1"/>
  <c r="D56" i="11"/>
  <c r="C56" i="11"/>
  <c r="U55" i="11"/>
  <c r="W55" i="11" s="1"/>
  <c r="T55" i="11"/>
  <c r="O55" i="11"/>
  <c r="M55" i="11"/>
  <c r="AA55" i="11" s="1"/>
  <c r="AD55" i="11" s="1"/>
  <c r="L55" i="11"/>
  <c r="E55" i="11"/>
  <c r="Y55" i="11" s="1"/>
  <c r="AB55" i="11" s="1"/>
  <c r="D55" i="11"/>
  <c r="C55" i="11"/>
  <c r="AC54" i="11"/>
  <c r="Z54" i="11"/>
  <c r="Y54" i="11"/>
  <c r="AB54" i="11" s="1"/>
  <c r="U54" i="11"/>
  <c r="W54" i="11" s="1"/>
  <c r="T54" i="11"/>
  <c r="M54" i="11"/>
  <c r="O54" i="11" s="1"/>
  <c r="L54" i="11"/>
  <c r="G54" i="11"/>
  <c r="E54" i="11"/>
  <c r="D54" i="11"/>
  <c r="C54" i="11"/>
  <c r="AD53" i="11"/>
  <c r="AA53" i="11"/>
  <c r="Z53" i="11"/>
  <c r="AC53" i="11" s="1"/>
  <c r="U53" i="11"/>
  <c r="W53" i="11" s="1"/>
  <c r="T53" i="11"/>
  <c r="M53" i="11"/>
  <c r="O53" i="11" s="1"/>
  <c r="L53" i="11"/>
  <c r="E53" i="11"/>
  <c r="Y53" i="11" s="1"/>
  <c r="AB53" i="11" s="1"/>
  <c r="D53" i="11"/>
  <c r="C53" i="11"/>
  <c r="W52" i="11"/>
  <c r="U52" i="11"/>
  <c r="Z52" i="11" s="1"/>
  <c r="AC52" i="11" s="1"/>
  <c r="T52" i="11"/>
  <c r="M52" i="11"/>
  <c r="AA52" i="11" s="1"/>
  <c r="AD52" i="11" s="1"/>
  <c r="L52" i="11"/>
  <c r="E52" i="11"/>
  <c r="Y52" i="11" s="1"/>
  <c r="AB52" i="11" s="1"/>
  <c r="D52" i="11"/>
  <c r="C52" i="11"/>
  <c r="U51" i="11"/>
  <c r="W51" i="11" s="1"/>
  <c r="T51" i="11"/>
  <c r="O51" i="11"/>
  <c r="M51" i="11"/>
  <c r="AA51" i="11" s="1"/>
  <c r="AD51" i="11" s="1"/>
  <c r="L51" i="11"/>
  <c r="E51" i="11"/>
  <c r="G51" i="11" s="1"/>
  <c r="X51" i="11" s="1"/>
  <c r="D51" i="11"/>
  <c r="C51" i="11"/>
  <c r="AD50" i="11"/>
  <c r="AC50" i="11"/>
  <c r="AA50" i="11"/>
  <c r="Z50" i="11"/>
  <c r="Y50" i="11"/>
  <c r="AB50" i="11" s="1"/>
  <c r="U50" i="11"/>
  <c r="W50" i="11" s="1"/>
  <c r="T50" i="11"/>
  <c r="M50" i="11"/>
  <c r="O50" i="11" s="1"/>
  <c r="L50" i="11"/>
  <c r="G50" i="11"/>
  <c r="X50" i="11" s="1"/>
  <c r="E50" i="11"/>
  <c r="D50" i="11"/>
  <c r="C50" i="11"/>
  <c r="X54" i="11" l="1"/>
  <c r="Y51" i="11"/>
  <c r="AB51" i="11" s="1"/>
  <c r="O52" i="11"/>
  <c r="G55" i="11"/>
  <c r="X55" i="11" s="1"/>
  <c r="Z51" i="11"/>
  <c r="AC51" i="11" s="1"/>
  <c r="G52" i="11"/>
  <c r="AA54" i="11"/>
  <c r="AD54" i="11" s="1"/>
  <c r="Z55" i="11"/>
  <c r="AC55" i="11" s="1"/>
  <c r="G56" i="11"/>
  <c r="X56" i="11" s="1"/>
  <c r="G53" i="11"/>
  <c r="X53" i="11" s="1"/>
  <c r="X52" i="11" l="1"/>
  <c r="AF50" i="10" l="1"/>
  <c r="AF51" i="10"/>
  <c r="AF52" i="10"/>
  <c r="AF53" i="10"/>
  <c r="AF54" i="10"/>
  <c r="AF55" i="10"/>
  <c r="AF56" i="10"/>
  <c r="AE50" i="10"/>
  <c r="AE51" i="10"/>
  <c r="AE52" i="10"/>
  <c r="AE53" i="10"/>
  <c r="AE54" i="10"/>
  <c r="AE55" i="10"/>
  <c r="AE56" i="10"/>
  <c r="AB56" i="10"/>
  <c r="AA56" i="10"/>
  <c r="AD56" i="10" s="1"/>
  <c r="Y56" i="10"/>
  <c r="W56" i="10"/>
  <c r="U56" i="10"/>
  <c r="T56" i="10"/>
  <c r="M56" i="10"/>
  <c r="O56" i="10" s="1"/>
  <c r="L56" i="10"/>
  <c r="E56" i="10"/>
  <c r="Z56" i="10" s="1"/>
  <c r="AC56" i="10" s="1"/>
  <c r="D56" i="10"/>
  <c r="C56" i="10"/>
  <c r="AB55" i="10"/>
  <c r="Y55" i="10"/>
  <c r="W55" i="10"/>
  <c r="U55" i="10"/>
  <c r="T55" i="10"/>
  <c r="O55" i="10"/>
  <c r="M55" i="10"/>
  <c r="AA55" i="10" s="1"/>
  <c r="AD55" i="10" s="1"/>
  <c r="L55" i="10"/>
  <c r="E55" i="10"/>
  <c r="G55" i="10" s="1"/>
  <c r="X55" i="10" s="1"/>
  <c r="D55" i="10"/>
  <c r="C55" i="10"/>
  <c r="AC54" i="10"/>
  <c r="Z54" i="10"/>
  <c r="Y54" i="10"/>
  <c r="AB54" i="10" s="1"/>
  <c r="U54" i="10"/>
  <c r="W54" i="10" s="1"/>
  <c r="T54" i="10"/>
  <c r="M54" i="10"/>
  <c r="O54" i="10" s="1"/>
  <c r="L54" i="10"/>
  <c r="G54" i="10"/>
  <c r="E54" i="10"/>
  <c r="D54" i="10"/>
  <c r="C54" i="10"/>
  <c r="Z53" i="10"/>
  <c r="AC53" i="10" s="1"/>
  <c r="Y53" i="10"/>
  <c r="AB53" i="10" s="1"/>
  <c r="U53" i="10"/>
  <c r="W53" i="10" s="1"/>
  <c r="T53" i="10"/>
  <c r="M53" i="10"/>
  <c r="O53" i="10" s="1"/>
  <c r="L53" i="10"/>
  <c r="G53" i="10"/>
  <c r="X53" i="10" s="1"/>
  <c r="E53" i="10"/>
  <c r="D53" i="10"/>
  <c r="C53" i="10"/>
  <c r="AB52" i="10"/>
  <c r="AA52" i="10"/>
  <c r="AD52" i="10" s="1"/>
  <c r="Y52" i="10"/>
  <c r="W52" i="10"/>
  <c r="U52" i="10"/>
  <c r="T52" i="10"/>
  <c r="M52" i="10"/>
  <c r="O52" i="10" s="1"/>
  <c r="L52" i="10"/>
  <c r="E52" i="10"/>
  <c r="Z52" i="10" s="1"/>
  <c r="AC52" i="10" s="1"/>
  <c r="D52" i="10"/>
  <c r="C52" i="10"/>
  <c r="AB51" i="10"/>
  <c r="Y51" i="10"/>
  <c r="W51" i="10"/>
  <c r="U51" i="10"/>
  <c r="T51" i="10"/>
  <c r="O51" i="10"/>
  <c r="M51" i="10"/>
  <c r="AA51" i="10" s="1"/>
  <c r="AD51" i="10" s="1"/>
  <c r="L51" i="10"/>
  <c r="E51" i="10"/>
  <c r="Z51" i="10" s="1"/>
  <c r="AC51" i="10" s="1"/>
  <c r="D51" i="10"/>
  <c r="C51" i="10"/>
  <c r="AC50" i="10"/>
  <c r="Z50" i="10"/>
  <c r="Y50" i="10"/>
  <c r="AB50" i="10" s="1"/>
  <c r="U50" i="10"/>
  <c r="W50" i="10" s="1"/>
  <c r="T50" i="10"/>
  <c r="M50" i="10"/>
  <c r="O50" i="10" s="1"/>
  <c r="L50" i="10"/>
  <c r="G50" i="10"/>
  <c r="X50" i="10" s="1"/>
  <c r="E50" i="10"/>
  <c r="D50" i="10"/>
  <c r="C50" i="10"/>
  <c r="X54" i="10" l="1"/>
  <c r="G51" i="10"/>
  <c r="X51" i="10" s="1"/>
  <c r="AA53" i="10"/>
  <c r="AD53" i="10" s="1"/>
  <c r="AA50" i="10"/>
  <c r="AD50" i="10" s="1"/>
  <c r="G52" i="10"/>
  <c r="X52" i="10" s="1"/>
  <c r="AA54" i="10"/>
  <c r="AD54" i="10" s="1"/>
  <c r="Z55" i="10"/>
  <c r="AC55" i="10" s="1"/>
  <c r="G56" i="10"/>
  <c r="X56" i="10" s="1"/>
  <c r="AA50" i="15" l="1"/>
  <c r="AF50" i="15" s="1"/>
  <c r="AA51" i="15"/>
  <c r="AF51" i="15" s="1"/>
  <c r="AA52" i="15"/>
  <c r="AF52" i="15" s="1"/>
  <c r="AA53" i="15"/>
  <c r="AF53" i="15" s="1"/>
  <c r="AA54" i="15"/>
  <c r="AF54" i="15" s="1"/>
  <c r="AA55" i="15"/>
  <c r="AF55" i="15" s="1"/>
  <c r="AA56" i="15"/>
  <c r="AD56" i="15" s="1"/>
  <c r="Z50" i="15"/>
  <c r="AE50" i="15" s="1"/>
  <c r="Z51" i="15"/>
  <c r="AC51" i="15" s="1"/>
  <c r="Z52" i="15"/>
  <c r="AE52" i="15" s="1"/>
  <c r="Z53" i="15"/>
  <c r="AC53" i="15" s="1"/>
  <c r="Z54" i="15"/>
  <c r="AE54" i="15" s="1"/>
  <c r="Z55" i="15"/>
  <c r="AC55" i="15" s="1"/>
  <c r="Z56" i="15"/>
  <c r="AE56" i="15" s="1"/>
  <c r="Y50" i="15"/>
  <c r="AB50" i="15" s="1"/>
  <c r="Y51" i="15"/>
  <c r="AB51" i="15" s="1"/>
  <c r="Y52" i="15"/>
  <c r="AB52" i="15" s="1"/>
  <c r="Y53" i="15"/>
  <c r="AB53" i="15" s="1"/>
  <c r="Y54" i="15"/>
  <c r="AB54" i="15" s="1"/>
  <c r="Y55" i="15"/>
  <c r="AB55" i="15" s="1"/>
  <c r="Y56" i="15"/>
  <c r="AB56" i="15" s="1"/>
  <c r="W50" i="15"/>
  <c r="W51" i="15"/>
  <c r="W52" i="15"/>
  <c r="W53" i="15"/>
  <c r="W54" i="15"/>
  <c r="W55" i="15"/>
  <c r="W56" i="15"/>
  <c r="X50" i="15"/>
  <c r="X51" i="15"/>
  <c r="X52" i="15"/>
  <c r="X53" i="15"/>
  <c r="X54" i="15"/>
  <c r="X55" i="15"/>
  <c r="X56" i="15"/>
  <c r="U50" i="15"/>
  <c r="U51" i="15"/>
  <c r="U52" i="15"/>
  <c r="U53" i="15"/>
  <c r="U54" i="15"/>
  <c r="U55" i="15"/>
  <c r="U56" i="15"/>
  <c r="T50" i="15"/>
  <c r="T51" i="15"/>
  <c r="T52" i="15"/>
  <c r="T53" i="15"/>
  <c r="T54" i="15"/>
  <c r="T55" i="15"/>
  <c r="T56" i="15"/>
  <c r="M50" i="15"/>
  <c r="M51" i="15"/>
  <c r="M52" i="15"/>
  <c r="M53" i="15"/>
  <c r="M54" i="15"/>
  <c r="M55" i="15"/>
  <c r="M56" i="15"/>
  <c r="O50" i="15"/>
  <c r="O51" i="15"/>
  <c r="O52" i="15"/>
  <c r="O53" i="15"/>
  <c r="O54" i="15"/>
  <c r="O55" i="15"/>
  <c r="O56" i="15"/>
  <c r="L50" i="15"/>
  <c r="L51" i="15"/>
  <c r="L52" i="15"/>
  <c r="L53" i="15"/>
  <c r="L54" i="15"/>
  <c r="L55" i="15"/>
  <c r="L56" i="15"/>
  <c r="G50" i="15"/>
  <c r="G51" i="15"/>
  <c r="G52" i="15"/>
  <c r="G53" i="15"/>
  <c r="G54" i="15"/>
  <c r="G55" i="15"/>
  <c r="G56" i="15"/>
  <c r="E50" i="15"/>
  <c r="E51" i="15"/>
  <c r="E52" i="15"/>
  <c r="E53" i="15"/>
  <c r="E54" i="15"/>
  <c r="E55" i="15"/>
  <c r="E56" i="15"/>
  <c r="D50" i="15"/>
  <c r="D51" i="15"/>
  <c r="D52" i="15"/>
  <c r="D53" i="15"/>
  <c r="D54" i="15"/>
  <c r="D55" i="15"/>
  <c r="D56" i="15"/>
  <c r="C56" i="15"/>
  <c r="C50" i="15"/>
  <c r="C51" i="15"/>
  <c r="C52" i="15"/>
  <c r="C53" i="15"/>
  <c r="C54" i="15"/>
  <c r="C55" i="15"/>
  <c r="Y51" i="9"/>
  <c r="X51" i="9"/>
  <c r="W51" i="9"/>
  <c r="AE51" i="15" l="1"/>
  <c r="AD55" i="15"/>
  <c r="AE55" i="15"/>
  <c r="AC56" i="15"/>
  <c r="AF56" i="15"/>
  <c r="AC54" i="15"/>
  <c r="AD54" i="15"/>
  <c r="AD53" i="15"/>
  <c r="AE53" i="15"/>
  <c r="AC52" i="15"/>
  <c r="AD52" i="15"/>
  <c r="AD51" i="15"/>
  <c r="AC50" i="15"/>
  <c r="AD50" i="15"/>
  <c r="D45" i="17" l="1"/>
  <c r="U45" i="17" s="1"/>
  <c r="D46" i="17"/>
  <c r="U46" i="17" s="1"/>
  <c r="D47" i="17"/>
  <c r="U47" i="17" s="1"/>
  <c r="D48" i="17"/>
  <c r="U48" i="17" s="1"/>
  <c r="D49" i="17"/>
  <c r="U49" i="17" s="1"/>
  <c r="D50" i="17"/>
  <c r="U50" i="17" s="1"/>
  <c r="D51" i="17"/>
  <c r="U51" i="17" s="1"/>
  <c r="C45" i="17"/>
  <c r="T45" i="17" s="1"/>
  <c r="C46" i="17"/>
  <c r="T46" i="17" s="1"/>
  <c r="C47" i="17"/>
  <c r="T47" i="17" s="1"/>
  <c r="C48" i="17"/>
  <c r="T48" i="17" s="1"/>
  <c r="C49" i="17"/>
  <c r="T49" i="17" s="1"/>
  <c r="C50" i="17"/>
  <c r="T50" i="17" s="1"/>
  <c r="C51" i="17"/>
  <c r="T51" i="17" s="1"/>
  <c r="F61" i="15" l="1"/>
  <c r="F60" i="15"/>
  <c r="F59" i="15"/>
  <c r="Y49" i="15"/>
  <c r="U49" i="15"/>
  <c r="W49" i="15" s="1"/>
  <c r="T49" i="15"/>
  <c r="M49" i="15"/>
  <c r="O49" i="15" s="1"/>
  <c r="L49" i="15"/>
  <c r="E49" i="15"/>
  <c r="Z49" i="15" s="1"/>
  <c r="AE49" i="15" s="1"/>
  <c r="D49" i="15"/>
  <c r="C49" i="15"/>
  <c r="Z48" i="15"/>
  <c r="AE48" i="15" s="1"/>
  <c r="Y48" i="15"/>
  <c r="U48" i="15"/>
  <c r="W48" i="15" s="1"/>
  <c r="T48" i="15"/>
  <c r="M48" i="15"/>
  <c r="O48" i="15" s="1"/>
  <c r="L48" i="15"/>
  <c r="E48" i="15"/>
  <c r="D48" i="15"/>
  <c r="C48" i="15"/>
  <c r="Y47" i="15"/>
  <c r="U47" i="15"/>
  <c r="W47" i="15" s="1"/>
  <c r="T47" i="15"/>
  <c r="M47" i="15"/>
  <c r="AA47" i="15" s="1"/>
  <c r="AF47" i="15" s="1"/>
  <c r="L47" i="15"/>
  <c r="E47" i="15"/>
  <c r="D47" i="15"/>
  <c r="C47" i="15"/>
  <c r="Y46" i="15"/>
  <c r="U46" i="15"/>
  <c r="W46" i="15" s="1"/>
  <c r="T46" i="15"/>
  <c r="O46" i="15"/>
  <c r="M46" i="15"/>
  <c r="AA46" i="15" s="1"/>
  <c r="AF46" i="15" s="1"/>
  <c r="L46" i="15"/>
  <c r="E46" i="15"/>
  <c r="Z46" i="15" s="1"/>
  <c r="AE46" i="15" s="1"/>
  <c r="D46" i="15"/>
  <c r="C46" i="15"/>
  <c r="Y45" i="15"/>
  <c r="U45" i="15"/>
  <c r="W45" i="15" s="1"/>
  <c r="T45" i="15"/>
  <c r="M45" i="15"/>
  <c r="O45" i="15" s="1"/>
  <c r="L45" i="15"/>
  <c r="E45" i="15"/>
  <c r="Z45" i="15" s="1"/>
  <c r="AE45" i="15" s="1"/>
  <c r="D45" i="15"/>
  <c r="C45" i="15"/>
  <c r="Z44" i="15"/>
  <c r="AE44" i="15" s="1"/>
  <c r="Y44" i="15"/>
  <c r="U44" i="15"/>
  <c r="W44" i="15" s="1"/>
  <c r="T44" i="15"/>
  <c r="M44" i="15"/>
  <c r="O44" i="15" s="1"/>
  <c r="L44" i="15"/>
  <c r="E44" i="15"/>
  <c r="D44" i="15"/>
  <c r="C44" i="15"/>
  <c r="Y43" i="15"/>
  <c r="W43" i="15"/>
  <c r="U43" i="15"/>
  <c r="T43" i="15"/>
  <c r="M43" i="15"/>
  <c r="O43" i="15" s="1"/>
  <c r="L43" i="15"/>
  <c r="E43" i="15"/>
  <c r="Z43" i="15" s="1"/>
  <c r="AE43" i="15" s="1"/>
  <c r="D43" i="15"/>
  <c r="C43" i="15"/>
  <c r="Y42" i="15"/>
  <c r="U42" i="15"/>
  <c r="W42" i="15" s="1"/>
  <c r="T42" i="15"/>
  <c r="M42" i="15"/>
  <c r="AA42" i="15" s="1"/>
  <c r="AF42" i="15" s="1"/>
  <c r="L42" i="15"/>
  <c r="E42" i="15"/>
  <c r="D42" i="15"/>
  <c r="C42" i="15"/>
  <c r="G42" i="15" s="1"/>
  <c r="Y41" i="15"/>
  <c r="U41" i="15"/>
  <c r="W41" i="15" s="1"/>
  <c r="T41" i="15"/>
  <c r="M41" i="15"/>
  <c r="O41" i="15" s="1"/>
  <c r="L41" i="15"/>
  <c r="E41" i="15"/>
  <c r="D41" i="15"/>
  <c r="C41" i="15"/>
  <c r="Y40" i="15"/>
  <c r="U40" i="15"/>
  <c r="W40" i="15" s="1"/>
  <c r="T40" i="15"/>
  <c r="M40" i="15"/>
  <c r="O40" i="15" s="1"/>
  <c r="L40" i="15"/>
  <c r="E40" i="15"/>
  <c r="Z40" i="15" s="1"/>
  <c r="AE40" i="15" s="1"/>
  <c r="D40" i="15"/>
  <c r="C40" i="15"/>
  <c r="Y39" i="15"/>
  <c r="U39" i="15"/>
  <c r="W39" i="15" s="1"/>
  <c r="T39" i="15"/>
  <c r="M39" i="15"/>
  <c r="AA39" i="15" s="1"/>
  <c r="AF39" i="15" s="1"/>
  <c r="L39" i="15"/>
  <c r="E39" i="15"/>
  <c r="Z39" i="15" s="1"/>
  <c r="AE39" i="15" s="1"/>
  <c r="D39" i="15"/>
  <c r="C39" i="15"/>
  <c r="Y38" i="15"/>
  <c r="U38" i="15"/>
  <c r="W38" i="15" s="1"/>
  <c r="T38" i="15"/>
  <c r="M38" i="15"/>
  <c r="AA38" i="15" s="1"/>
  <c r="AF38" i="15" s="1"/>
  <c r="L38" i="15"/>
  <c r="E38" i="15"/>
  <c r="D38" i="15"/>
  <c r="C38" i="15"/>
  <c r="Y37" i="15"/>
  <c r="U37" i="15"/>
  <c r="W37" i="15" s="1"/>
  <c r="T37" i="15"/>
  <c r="M37" i="15"/>
  <c r="O37" i="15" s="1"/>
  <c r="L37" i="15"/>
  <c r="E37" i="15"/>
  <c r="D37" i="15"/>
  <c r="C37" i="15"/>
  <c r="G37" i="15" s="1"/>
  <c r="Y36" i="15"/>
  <c r="U36" i="15"/>
  <c r="T36" i="15"/>
  <c r="M36" i="15"/>
  <c r="O36" i="15" s="1"/>
  <c r="L36" i="15"/>
  <c r="E36" i="15"/>
  <c r="D36" i="15"/>
  <c r="C36" i="15"/>
  <c r="AA35" i="15"/>
  <c r="AF35" i="15" s="1"/>
  <c r="Y35" i="15"/>
  <c r="U35" i="15"/>
  <c r="W35" i="15" s="1"/>
  <c r="T35" i="15"/>
  <c r="M35" i="15"/>
  <c r="O35" i="15" s="1"/>
  <c r="L35" i="15"/>
  <c r="E35" i="15"/>
  <c r="Z35" i="15" s="1"/>
  <c r="AE35" i="15" s="1"/>
  <c r="D35" i="15"/>
  <c r="C35" i="15"/>
  <c r="Y34" i="15"/>
  <c r="U34" i="15"/>
  <c r="W34" i="15" s="1"/>
  <c r="T34" i="15"/>
  <c r="O34" i="15"/>
  <c r="M34" i="15"/>
  <c r="AA34" i="15" s="1"/>
  <c r="AF34" i="15" s="1"/>
  <c r="L34" i="15"/>
  <c r="E34" i="15"/>
  <c r="D34" i="15"/>
  <c r="C34" i="15"/>
  <c r="Y33" i="15"/>
  <c r="U33" i="15"/>
  <c r="W33" i="15" s="1"/>
  <c r="T33" i="15"/>
  <c r="M33" i="15"/>
  <c r="O33" i="15" s="1"/>
  <c r="L33" i="15"/>
  <c r="E33" i="15"/>
  <c r="Z33" i="15" s="1"/>
  <c r="AE33" i="15" s="1"/>
  <c r="D33" i="15"/>
  <c r="C33" i="15"/>
  <c r="Z32" i="15"/>
  <c r="AE32" i="15" s="1"/>
  <c r="Y32" i="15"/>
  <c r="U32" i="15"/>
  <c r="W32" i="15" s="1"/>
  <c r="T32" i="15"/>
  <c r="M32" i="15"/>
  <c r="O32" i="15" s="1"/>
  <c r="L32" i="15"/>
  <c r="E32" i="15"/>
  <c r="D32" i="15"/>
  <c r="C32" i="15"/>
  <c r="AA31" i="15"/>
  <c r="AF31" i="15" s="1"/>
  <c r="Y31" i="15"/>
  <c r="U31" i="15"/>
  <c r="W31" i="15" s="1"/>
  <c r="T31" i="15"/>
  <c r="O31" i="15"/>
  <c r="M31" i="15"/>
  <c r="L31" i="15"/>
  <c r="E31" i="15"/>
  <c r="D31" i="15"/>
  <c r="C31" i="15"/>
  <c r="Y30" i="15"/>
  <c r="U30" i="15"/>
  <c r="W30" i="15" s="1"/>
  <c r="T30" i="15"/>
  <c r="M30" i="15"/>
  <c r="AA30" i="15" s="1"/>
  <c r="AF30" i="15" s="1"/>
  <c r="L30" i="15"/>
  <c r="E30" i="15"/>
  <c r="Z30" i="15" s="1"/>
  <c r="AE30" i="15" s="1"/>
  <c r="D30" i="15"/>
  <c r="C30" i="15"/>
  <c r="Y29" i="15"/>
  <c r="U29" i="15"/>
  <c r="W29" i="15" s="1"/>
  <c r="T29" i="15"/>
  <c r="M29" i="15"/>
  <c r="O29" i="15" s="1"/>
  <c r="L29" i="15"/>
  <c r="E29" i="15"/>
  <c r="Z29" i="15" s="1"/>
  <c r="AE29" i="15" s="1"/>
  <c r="D29" i="15"/>
  <c r="C29" i="15"/>
  <c r="Z28" i="15"/>
  <c r="AE28" i="15" s="1"/>
  <c r="Y28" i="15"/>
  <c r="U28" i="15"/>
  <c r="W28" i="15" s="1"/>
  <c r="T28" i="15"/>
  <c r="M28" i="15"/>
  <c r="O28" i="15" s="1"/>
  <c r="L28" i="15"/>
  <c r="E28" i="15"/>
  <c r="D28" i="15"/>
  <c r="C28" i="15"/>
  <c r="Y27" i="15"/>
  <c r="U27" i="15"/>
  <c r="W27" i="15" s="1"/>
  <c r="T27" i="15"/>
  <c r="M27" i="15"/>
  <c r="AA27" i="15" s="1"/>
  <c r="AF27" i="15" s="1"/>
  <c r="L27" i="15"/>
  <c r="E27" i="15"/>
  <c r="Z27" i="15" s="1"/>
  <c r="AE27" i="15" s="1"/>
  <c r="D27" i="15"/>
  <c r="C27" i="15"/>
  <c r="Y26" i="15"/>
  <c r="U26" i="15"/>
  <c r="W26" i="15" s="1"/>
  <c r="T26" i="15"/>
  <c r="M26" i="15"/>
  <c r="AA26" i="15" s="1"/>
  <c r="AF26" i="15" s="1"/>
  <c r="L26" i="15"/>
  <c r="G26" i="15"/>
  <c r="E26" i="15"/>
  <c r="D26" i="15"/>
  <c r="C26" i="15"/>
  <c r="Y25" i="15"/>
  <c r="U25" i="15"/>
  <c r="W25" i="15" s="1"/>
  <c r="T25" i="15"/>
  <c r="M25" i="15"/>
  <c r="O25" i="15" s="1"/>
  <c r="L25" i="15"/>
  <c r="E25" i="15"/>
  <c r="D25" i="15"/>
  <c r="C25" i="15"/>
  <c r="G25" i="15" s="1"/>
  <c r="Y24" i="15"/>
  <c r="U24" i="15"/>
  <c r="W24" i="15" s="1"/>
  <c r="T24" i="15"/>
  <c r="M24" i="15"/>
  <c r="O24" i="15" s="1"/>
  <c r="L24" i="15"/>
  <c r="E24" i="15"/>
  <c r="Z24" i="15" s="1"/>
  <c r="AE24" i="15" s="1"/>
  <c r="D24" i="15"/>
  <c r="C24" i="15"/>
  <c r="Y23" i="15"/>
  <c r="U23" i="15"/>
  <c r="W23" i="15" s="1"/>
  <c r="T23" i="15"/>
  <c r="M23" i="15"/>
  <c r="AA23" i="15" s="1"/>
  <c r="AF23" i="15" s="1"/>
  <c r="L23" i="15"/>
  <c r="E23" i="15"/>
  <c r="Z23" i="15" s="1"/>
  <c r="AE23" i="15" s="1"/>
  <c r="D23" i="15"/>
  <c r="C23" i="15"/>
  <c r="Y22" i="15"/>
  <c r="U22" i="15"/>
  <c r="W22" i="15" s="1"/>
  <c r="T22" i="15"/>
  <c r="O22" i="15"/>
  <c r="M22" i="15"/>
  <c r="AA22" i="15" s="1"/>
  <c r="AF22" i="15" s="1"/>
  <c r="L22" i="15"/>
  <c r="E22" i="15"/>
  <c r="D22" i="15"/>
  <c r="C22" i="15"/>
  <c r="Y21" i="15"/>
  <c r="U21" i="15"/>
  <c r="W21" i="15" s="1"/>
  <c r="T21" i="15"/>
  <c r="M21" i="15"/>
  <c r="O21" i="15" s="1"/>
  <c r="L21" i="15"/>
  <c r="E21" i="15"/>
  <c r="D21" i="15"/>
  <c r="C21" i="15"/>
  <c r="Y20" i="15"/>
  <c r="U20" i="15"/>
  <c r="T20" i="15"/>
  <c r="M20" i="15"/>
  <c r="O20" i="15" s="1"/>
  <c r="L20" i="15"/>
  <c r="E20" i="15"/>
  <c r="D20" i="15"/>
  <c r="C20" i="15"/>
  <c r="Y19" i="15"/>
  <c r="W19" i="15"/>
  <c r="U19" i="15"/>
  <c r="T19" i="15"/>
  <c r="M19" i="15"/>
  <c r="O19" i="15" s="1"/>
  <c r="L19" i="15"/>
  <c r="E19" i="15"/>
  <c r="Z19" i="15" s="1"/>
  <c r="AE19" i="15" s="1"/>
  <c r="D19" i="15"/>
  <c r="C19" i="15"/>
  <c r="Y18" i="15"/>
  <c r="U18" i="15"/>
  <c r="W18" i="15" s="1"/>
  <c r="T18" i="15"/>
  <c r="M18" i="15"/>
  <c r="AA18" i="15" s="1"/>
  <c r="AF18" i="15" s="1"/>
  <c r="L18" i="15"/>
  <c r="E18" i="15"/>
  <c r="Z18" i="15" s="1"/>
  <c r="AE18" i="15" s="1"/>
  <c r="D18" i="15"/>
  <c r="C18" i="15"/>
  <c r="G18" i="15" s="1"/>
  <c r="Y17" i="15"/>
  <c r="U17" i="15"/>
  <c r="W17" i="15" s="1"/>
  <c r="T17" i="15"/>
  <c r="M17" i="15"/>
  <c r="O17" i="15" s="1"/>
  <c r="L17" i="15"/>
  <c r="E17" i="15"/>
  <c r="Z17" i="15" s="1"/>
  <c r="AE17" i="15" s="1"/>
  <c r="D17" i="15"/>
  <c r="C17" i="15"/>
  <c r="Y16" i="15"/>
  <c r="U16" i="15"/>
  <c r="W16" i="15" s="1"/>
  <c r="T16" i="15"/>
  <c r="M16" i="15"/>
  <c r="O16" i="15" s="1"/>
  <c r="L16" i="15"/>
  <c r="E16" i="15"/>
  <c r="Z16" i="15" s="1"/>
  <c r="AE16" i="15" s="1"/>
  <c r="D16" i="15"/>
  <c r="C16" i="15"/>
  <c r="Y15" i="15"/>
  <c r="W15" i="15"/>
  <c r="U15" i="15"/>
  <c r="T15" i="15"/>
  <c r="M15" i="15"/>
  <c r="AA15" i="15" s="1"/>
  <c r="AF15" i="15" s="1"/>
  <c r="L15" i="15"/>
  <c r="E15" i="15"/>
  <c r="Z15" i="15" s="1"/>
  <c r="AE15" i="15" s="1"/>
  <c r="D15" i="15"/>
  <c r="C15" i="15"/>
  <c r="Y14" i="15"/>
  <c r="U14" i="15"/>
  <c r="W14" i="15" s="1"/>
  <c r="T14" i="15"/>
  <c r="M14" i="15"/>
  <c r="AA14" i="15" s="1"/>
  <c r="AF14" i="15" s="1"/>
  <c r="L14" i="15"/>
  <c r="E14" i="15"/>
  <c r="Z14" i="15" s="1"/>
  <c r="AE14" i="15" s="1"/>
  <c r="D14" i="15"/>
  <c r="G14" i="15" s="1"/>
  <c r="C14" i="15"/>
  <c r="Y13" i="15"/>
  <c r="U13" i="15"/>
  <c r="W13" i="15" s="1"/>
  <c r="T13" i="15"/>
  <c r="M13" i="15"/>
  <c r="L13" i="15"/>
  <c r="E13" i="15"/>
  <c r="D13" i="15"/>
  <c r="C13" i="15"/>
  <c r="AD11" i="15"/>
  <c r="AC11" i="15"/>
  <c r="AB11" i="15"/>
  <c r="W10" i="15"/>
  <c r="T10" i="15"/>
  <c r="O10" i="15"/>
  <c r="L10" i="15"/>
  <c r="G10" i="15"/>
  <c r="P8" i="15" a="1"/>
  <c r="P8" i="15" s="1"/>
  <c r="E8" i="15" a="1"/>
  <c r="E8" i="15" s="1"/>
  <c r="O8" i="15" s="1"/>
  <c r="J5" i="15"/>
  <c r="F76" i="15" s="1"/>
  <c r="D5" i="15"/>
  <c r="AA19" i="15" l="1"/>
  <c r="AF19" i="15" s="1"/>
  <c r="G30" i="15"/>
  <c r="O38" i="15"/>
  <c r="G45" i="15"/>
  <c r="X45" i="15" s="1"/>
  <c r="X25" i="15"/>
  <c r="G13" i="15"/>
  <c r="G17" i="15"/>
  <c r="X17" i="15" s="1"/>
  <c r="G21" i="15"/>
  <c r="X21" i="15" s="1"/>
  <c r="Z26" i="15"/>
  <c r="AE26" i="15" s="1"/>
  <c r="O30" i="15"/>
  <c r="G40" i="15"/>
  <c r="G41" i="15"/>
  <c r="X41" i="15" s="1"/>
  <c r="X30" i="15"/>
  <c r="AA43" i="15"/>
  <c r="AF43" i="15" s="1"/>
  <c r="O47" i="15"/>
  <c r="G49" i="15"/>
  <c r="X49" i="15" s="1"/>
  <c r="X10" i="15"/>
  <c r="O15" i="15"/>
  <c r="X18" i="15"/>
  <c r="AA20" i="15"/>
  <c r="AF20" i="15" s="1"/>
  <c r="Z22" i="15"/>
  <c r="AE22" i="15" s="1"/>
  <c r="G23" i="15"/>
  <c r="O27" i="15"/>
  <c r="G29" i="15"/>
  <c r="X29" i="15" s="1"/>
  <c r="AA32" i="15"/>
  <c r="AF32" i="15" s="1"/>
  <c r="Z34" i="15"/>
  <c r="AE34" i="15" s="1"/>
  <c r="G35" i="15"/>
  <c r="X35" i="15" s="1"/>
  <c r="Z36" i="15"/>
  <c r="AE36" i="15" s="1"/>
  <c r="Z42" i="15"/>
  <c r="AE42" i="15" s="1"/>
  <c r="O42" i="15"/>
  <c r="G44" i="15"/>
  <c r="X44" i="15" s="1"/>
  <c r="Z47" i="15"/>
  <c r="AE47" i="15" s="1"/>
  <c r="G24" i="15"/>
  <c r="X24" i="15" s="1"/>
  <c r="G33" i="15"/>
  <c r="X33" i="15" s="1"/>
  <c r="X42" i="15"/>
  <c r="O14" i="15"/>
  <c r="X14" i="15" s="1"/>
  <c r="G16" i="15"/>
  <c r="O18" i="15"/>
  <c r="G19" i="15"/>
  <c r="X19" i="15" s="1"/>
  <c r="Z20" i="15"/>
  <c r="AE20" i="15" s="1"/>
  <c r="O26" i="15"/>
  <c r="X26" i="15" s="1"/>
  <c r="G28" i="15"/>
  <c r="X28" i="15" s="1"/>
  <c r="Z31" i="15"/>
  <c r="AE31" i="15" s="1"/>
  <c r="AA36" i="15"/>
  <c r="AF36" i="15" s="1"/>
  <c r="Z38" i="15"/>
  <c r="AE38" i="15" s="1"/>
  <c r="G39" i="15"/>
  <c r="G46" i="15"/>
  <c r="X46" i="15" s="1"/>
  <c r="AA48" i="15"/>
  <c r="AF48" i="15" s="1"/>
  <c r="AD12" i="15" a="1"/>
  <c r="AD12" i="15" s="1"/>
  <c r="AB12" i="15" a="1"/>
  <c r="AB12" i="15" s="1"/>
  <c r="Z12" i="15" a="1"/>
  <c r="Z12" i="15" s="1"/>
  <c r="AC45" i="15" s="1"/>
  <c r="Z8" i="15"/>
  <c r="AA12" i="15" a="1"/>
  <c r="AA12" i="15" s="1"/>
  <c r="AD23" i="15" s="1"/>
  <c r="AC12" i="15" a="1"/>
  <c r="AC12" i="15" s="1"/>
  <c r="Y12" i="15" a="1"/>
  <c r="Y12" i="15" s="1"/>
  <c r="AB22" i="15" s="1"/>
  <c r="AD48" i="15"/>
  <c r="W20" i="15"/>
  <c r="W36" i="15"/>
  <c r="X37" i="15"/>
  <c r="G38" i="15"/>
  <c r="X38" i="15" s="1"/>
  <c r="X16" i="15"/>
  <c r="O23" i="15"/>
  <c r="X23" i="15" s="1"/>
  <c r="O39" i="15"/>
  <c r="X39" i="15" s="1"/>
  <c r="X40" i="15"/>
  <c r="Z13" i="15"/>
  <c r="AA16" i="15"/>
  <c r="G20" i="15"/>
  <c r="AC23" i="15"/>
  <c r="Z25" i="15"/>
  <c r="AA28" i="15"/>
  <c r="G31" i="15"/>
  <c r="X31" i="15" s="1"/>
  <c r="G34" i="15"/>
  <c r="X34" i="15" s="1"/>
  <c r="G36" i="15"/>
  <c r="X36" i="15" s="1"/>
  <c r="AC39" i="15"/>
  <c r="Z41" i="15"/>
  <c r="AA44" i="15"/>
  <c r="G47" i="15"/>
  <c r="X47" i="15" s="1"/>
  <c r="G22" i="15"/>
  <c r="X22" i="15" s="1"/>
  <c r="AB25" i="15"/>
  <c r="O13" i="15"/>
  <c r="X13" i="15" s="1"/>
  <c r="AA13" i="15"/>
  <c r="G15" i="15"/>
  <c r="X15" i="15" s="1"/>
  <c r="Z21" i="15"/>
  <c r="AA24" i="15"/>
  <c r="G27" i="15"/>
  <c r="G32" i="15"/>
  <c r="X32" i="15" s="1"/>
  <c r="AB32" i="15"/>
  <c r="Z37" i="15"/>
  <c r="AA40" i="15"/>
  <c r="G43" i="15"/>
  <c r="X43" i="15" s="1"/>
  <c r="G48" i="15"/>
  <c r="X48" i="15" s="1"/>
  <c r="AA17" i="15"/>
  <c r="AA21" i="15"/>
  <c r="AA25" i="15"/>
  <c r="AA29" i="15"/>
  <c r="AA33" i="15"/>
  <c r="AA37" i="15"/>
  <c r="AA41" i="15"/>
  <c r="AA45" i="15"/>
  <c r="AA49" i="15"/>
  <c r="AB49" i="15" l="1"/>
  <c r="AB45" i="15"/>
  <c r="X20" i="15"/>
  <c r="AB28" i="15"/>
  <c r="AC26" i="15"/>
  <c r="AB36" i="15"/>
  <c r="AB21" i="15"/>
  <c r="AB44" i="15"/>
  <c r="AB33" i="15"/>
  <c r="AC31" i="15"/>
  <c r="AC40" i="15"/>
  <c r="AC24" i="15"/>
  <c r="AB24" i="15"/>
  <c r="AC20" i="15"/>
  <c r="AD49" i="15"/>
  <c r="AF49" i="15"/>
  <c r="AD33" i="15"/>
  <c r="AF33" i="15"/>
  <c r="AD17" i="15"/>
  <c r="AF17" i="15"/>
  <c r="AD40" i="15"/>
  <c r="AF40" i="15"/>
  <c r="AD24" i="15"/>
  <c r="AF24" i="15"/>
  <c r="AC41" i="15"/>
  <c r="AE41" i="15"/>
  <c r="AD28" i="15"/>
  <c r="AF28" i="15"/>
  <c r="AC13" i="15"/>
  <c r="AE13" i="15"/>
  <c r="AD45" i="15"/>
  <c r="AF45" i="15"/>
  <c r="AD29" i="15"/>
  <c r="AF29" i="15"/>
  <c r="AD38" i="15"/>
  <c r="AD22" i="15"/>
  <c r="AD13" i="15"/>
  <c r="AF13" i="15"/>
  <c r="AD34" i="15"/>
  <c r="AD44" i="15"/>
  <c r="AF44" i="15"/>
  <c r="AD27" i="15"/>
  <c r="AD16" i="15"/>
  <c r="AF16" i="15"/>
  <c r="AD35" i="15"/>
  <c r="AD47" i="15"/>
  <c r="AD39" i="15"/>
  <c r="AD32" i="15"/>
  <c r="AD41" i="15"/>
  <c r="AF41" i="15"/>
  <c r="AD25" i="15"/>
  <c r="AF25" i="15"/>
  <c r="AC37" i="15"/>
  <c r="AE37" i="15"/>
  <c r="AC21" i="15"/>
  <c r="AE21" i="15"/>
  <c r="AD18" i="15"/>
  <c r="AD43" i="15"/>
  <c r="AD26" i="15"/>
  <c r="AD15" i="15"/>
  <c r="AD46" i="15"/>
  <c r="AC47" i="15"/>
  <c r="AC38" i="15"/>
  <c r="AC42" i="15"/>
  <c r="AD37" i="15"/>
  <c r="AF37" i="15"/>
  <c r="AD21" i="15"/>
  <c r="AF21" i="15"/>
  <c r="AC35" i="15"/>
  <c r="X27" i="15"/>
  <c r="AC19" i="15"/>
  <c r="AB41" i="15"/>
  <c r="AB13" i="15"/>
  <c r="AB17" i="15"/>
  <c r="AD42" i="15"/>
  <c r="AB37" i="15"/>
  <c r="AC25" i="15"/>
  <c r="AE25" i="15"/>
  <c r="AB20" i="15"/>
  <c r="AD14" i="15"/>
  <c r="AD31" i="15"/>
  <c r="AC48" i="15"/>
  <c r="AD19" i="15"/>
  <c r="AC44" i="15"/>
  <c r="AC27" i="15"/>
  <c r="AB29" i="15"/>
  <c r="AB26" i="15"/>
  <c r="AD20" i="15"/>
  <c r="AC29" i="15"/>
  <c r="AC36" i="15"/>
  <c r="AC49" i="15"/>
  <c r="AB40" i="15"/>
  <c r="AC28" i="15"/>
  <c r="AC16" i="15"/>
  <c r="AC32" i="15"/>
  <c r="AC43" i="15"/>
  <c r="AD30" i="15"/>
  <c r="AC15" i="15"/>
  <c r="AD36" i="15"/>
  <c r="AB14" i="15"/>
  <c r="AB38" i="15"/>
  <c r="AB48" i="15"/>
  <c r="AB16" i="15"/>
  <c r="AB43" i="15"/>
  <c r="AB34" i="15"/>
  <c r="AB27" i="15"/>
  <c r="AB18" i="15"/>
  <c r="AB15" i="15"/>
  <c r="AB19" i="15"/>
  <c r="AB46" i="15"/>
  <c r="AB23" i="15"/>
  <c r="AB47" i="15"/>
  <c r="AB31" i="15"/>
  <c r="AB35" i="15"/>
  <c r="AB39" i="15"/>
  <c r="AB30" i="15"/>
  <c r="AC18" i="15"/>
  <c r="AC14" i="15"/>
  <c r="AC46" i="15"/>
  <c r="AC30" i="15"/>
  <c r="AC34" i="15"/>
  <c r="AC33" i="15"/>
  <c r="AB42" i="15"/>
  <c r="AC22" i="15"/>
  <c r="AC17" i="15"/>
  <c r="H61" i="15" l="1"/>
  <c r="G59" i="15"/>
  <c r="G61" i="15"/>
  <c r="G60" i="15"/>
  <c r="H60" i="15"/>
  <c r="H59" i="15"/>
  <c r="F61" i="14" l="1"/>
  <c r="F60" i="14"/>
  <c r="F59" i="14"/>
  <c r="Z49" i="14"/>
  <c r="AE49" i="14" s="1"/>
  <c r="Y49" i="14"/>
  <c r="U49" i="14"/>
  <c r="T49" i="14"/>
  <c r="M49" i="14"/>
  <c r="L49" i="14"/>
  <c r="E49" i="14"/>
  <c r="D49" i="14"/>
  <c r="C49" i="14"/>
  <c r="Y48" i="14"/>
  <c r="U48" i="14"/>
  <c r="T48" i="14"/>
  <c r="M48" i="14"/>
  <c r="L48" i="14"/>
  <c r="E48" i="14"/>
  <c r="D48" i="14"/>
  <c r="C48" i="14"/>
  <c r="Y47" i="14"/>
  <c r="U47" i="14"/>
  <c r="T47" i="14"/>
  <c r="M47" i="14"/>
  <c r="L47" i="14"/>
  <c r="E47" i="14"/>
  <c r="D47" i="14"/>
  <c r="C47" i="14"/>
  <c r="Z46" i="14"/>
  <c r="AE46" i="14" s="1"/>
  <c r="Y46" i="14"/>
  <c r="U46" i="14"/>
  <c r="T46" i="14"/>
  <c r="M46" i="14"/>
  <c r="L46" i="14"/>
  <c r="E46" i="14"/>
  <c r="D46" i="14"/>
  <c r="C46" i="14"/>
  <c r="Y45" i="14"/>
  <c r="U45" i="14"/>
  <c r="T45" i="14"/>
  <c r="M45" i="14"/>
  <c r="L45" i="14"/>
  <c r="E45" i="14"/>
  <c r="Z45" i="14" s="1"/>
  <c r="AE45" i="14" s="1"/>
  <c r="D45" i="14"/>
  <c r="C45" i="14"/>
  <c r="Y44" i="14"/>
  <c r="U44" i="14"/>
  <c r="T44" i="14"/>
  <c r="M44" i="14"/>
  <c r="L44" i="14"/>
  <c r="E44" i="14"/>
  <c r="D44" i="14"/>
  <c r="C44" i="14"/>
  <c r="Y43" i="14"/>
  <c r="U43" i="14"/>
  <c r="T43" i="14"/>
  <c r="M43" i="14"/>
  <c r="L43" i="14"/>
  <c r="E43" i="14"/>
  <c r="G43" i="14" s="1"/>
  <c r="D43" i="14"/>
  <c r="C43" i="14"/>
  <c r="Y42" i="14"/>
  <c r="U42" i="14"/>
  <c r="T42" i="14"/>
  <c r="M42" i="14"/>
  <c r="L42" i="14"/>
  <c r="E42" i="14"/>
  <c r="Z42" i="14" s="1"/>
  <c r="AE42" i="14" s="1"/>
  <c r="D42" i="14"/>
  <c r="C42" i="14"/>
  <c r="Y41" i="14"/>
  <c r="U41" i="14"/>
  <c r="T41" i="14"/>
  <c r="M41" i="14"/>
  <c r="L41" i="14"/>
  <c r="E41" i="14"/>
  <c r="Z41" i="14" s="1"/>
  <c r="AE41" i="14" s="1"/>
  <c r="D41" i="14"/>
  <c r="C41" i="14"/>
  <c r="Y40" i="14"/>
  <c r="U40" i="14"/>
  <c r="W40" i="14" s="1"/>
  <c r="T40" i="14"/>
  <c r="M40" i="14"/>
  <c r="L40" i="14"/>
  <c r="E40" i="14"/>
  <c r="Z40" i="14" s="1"/>
  <c r="AE40" i="14" s="1"/>
  <c r="D40" i="14"/>
  <c r="C40" i="14"/>
  <c r="Y39" i="14"/>
  <c r="U39" i="14"/>
  <c r="AA39" i="14" s="1"/>
  <c r="T39" i="14"/>
  <c r="M39" i="14"/>
  <c r="L39" i="14"/>
  <c r="E39" i="14"/>
  <c r="Z39" i="14" s="1"/>
  <c r="AE39" i="14" s="1"/>
  <c r="D39" i="14"/>
  <c r="C39" i="14"/>
  <c r="Y38" i="14"/>
  <c r="U38" i="14"/>
  <c r="W38" i="14" s="1"/>
  <c r="T38" i="14"/>
  <c r="M38" i="14"/>
  <c r="L38" i="14"/>
  <c r="E38" i="14"/>
  <c r="Z38" i="14" s="1"/>
  <c r="AE38" i="14" s="1"/>
  <c r="D38" i="14"/>
  <c r="C38" i="14"/>
  <c r="G38" i="14" s="1"/>
  <c r="Y37" i="14"/>
  <c r="U37" i="14"/>
  <c r="T37" i="14"/>
  <c r="M37" i="14"/>
  <c r="L37" i="14"/>
  <c r="E37" i="14"/>
  <c r="Z37" i="14" s="1"/>
  <c r="AE37" i="14" s="1"/>
  <c r="D37" i="14"/>
  <c r="C37" i="14"/>
  <c r="G37" i="14" s="1"/>
  <c r="Y36" i="14"/>
  <c r="U36" i="14"/>
  <c r="W36" i="14" s="1"/>
  <c r="T36" i="14"/>
  <c r="M36" i="14"/>
  <c r="AA36" i="14" s="1"/>
  <c r="AF36" i="14" s="1"/>
  <c r="L36" i="14"/>
  <c r="E36" i="14"/>
  <c r="Z36" i="14" s="1"/>
  <c r="AE36" i="14" s="1"/>
  <c r="D36" i="14"/>
  <c r="C36" i="14"/>
  <c r="Z35" i="14"/>
  <c r="AE35" i="14" s="1"/>
  <c r="Y35" i="14"/>
  <c r="U35" i="14"/>
  <c r="T35" i="14"/>
  <c r="M35" i="14"/>
  <c r="L35" i="14"/>
  <c r="E35" i="14"/>
  <c r="D35" i="14"/>
  <c r="C35" i="14"/>
  <c r="Y34" i="14"/>
  <c r="U34" i="14"/>
  <c r="T34" i="14"/>
  <c r="M34" i="14"/>
  <c r="L34" i="14"/>
  <c r="E34" i="14"/>
  <c r="Z34" i="14" s="1"/>
  <c r="AE34" i="14" s="1"/>
  <c r="D34" i="14"/>
  <c r="G34" i="14" s="1"/>
  <c r="C34" i="14"/>
  <c r="Y33" i="14"/>
  <c r="U33" i="14"/>
  <c r="T33" i="14"/>
  <c r="M33" i="14"/>
  <c r="L33" i="14"/>
  <c r="E33" i="14"/>
  <c r="Z33" i="14" s="1"/>
  <c r="AE33" i="14" s="1"/>
  <c r="D33" i="14"/>
  <c r="C33" i="14"/>
  <c r="Y32" i="14"/>
  <c r="U32" i="14"/>
  <c r="W32" i="14" s="1"/>
  <c r="T32" i="14"/>
  <c r="M32" i="14"/>
  <c r="AA32" i="14" s="1"/>
  <c r="L32" i="14"/>
  <c r="E32" i="14"/>
  <c r="Z32" i="14" s="1"/>
  <c r="AE32" i="14" s="1"/>
  <c r="D32" i="14"/>
  <c r="C32" i="14"/>
  <c r="Y31" i="14"/>
  <c r="U31" i="14"/>
  <c r="T31" i="14"/>
  <c r="M31" i="14"/>
  <c r="L31" i="14"/>
  <c r="E31" i="14"/>
  <c r="Z31" i="14" s="1"/>
  <c r="AE31" i="14" s="1"/>
  <c r="D31" i="14"/>
  <c r="C31" i="14"/>
  <c r="Y30" i="14"/>
  <c r="U30" i="14"/>
  <c r="W30" i="14" s="1"/>
  <c r="T30" i="14"/>
  <c r="M30" i="14"/>
  <c r="L30" i="14"/>
  <c r="E30" i="14"/>
  <c r="Z30" i="14" s="1"/>
  <c r="AE30" i="14" s="1"/>
  <c r="D30" i="14"/>
  <c r="C30" i="14"/>
  <c r="G30" i="14" s="1"/>
  <c r="Y29" i="14"/>
  <c r="U29" i="14"/>
  <c r="T29" i="14"/>
  <c r="M29" i="14"/>
  <c r="L29" i="14"/>
  <c r="E29" i="14"/>
  <c r="Z29" i="14" s="1"/>
  <c r="AE29" i="14" s="1"/>
  <c r="D29" i="14"/>
  <c r="C29" i="14"/>
  <c r="Y28" i="14"/>
  <c r="U28" i="14"/>
  <c r="W28" i="14" s="1"/>
  <c r="T28" i="14"/>
  <c r="M28" i="14"/>
  <c r="L28" i="14"/>
  <c r="E28" i="14"/>
  <c r="Z28" i="14" s="1"/>
  <c r="AE28" i="14" s="1"/>
  <c r="D28" i="14"/>
  <c r="C28" i="14"/>
  <c r="Z27" i="14"/>
  <c r="AE27" i="14" s="1"/>
  <c r="Y27" i="14"/>
  <c r="U27" i="14"/>
  <c r="T27" i="14"/>
  <c r="M27" i="14"/>
  <c r="L27" i="14"/>
  <c r="E27" i="14"/>
  <c r="D27" i="14"/>
  <c r="C27" i="14"/>
  <c r="G27" i="14" s="1"/>
  <c r="Y26" i="14"/>
  <c r="U26" i="14"/>
  <c r="T26" i="14"/>
  <c r="M26" i="14"/>
  <c r="L26" i="14"/>
  <c r="E26" i="14"/>
  <c r="Z26" i="14" s="1"/>
  <c r="AE26" i="14" s="1"/>
  <c r="D26" i="14"/>
  <c r="C26" i="14"/>
  <c r="Y25" i="14"/>
  <c r="U25" i="14"/>
  <c r="W25" i="14" s="1"/>
  <c r="T25" i="14"/>
  <c r="M25" i="14"/>
  <c r="L25" i="14"/>
  <c r="E25" i="14"/>
  <c r="D25" i="14"/>
  <c r="C25" i="14"/>
  <c r="Y24" i="14"/>
  <c r="U24" i="14"/>
  <c r="W24" i="14" s="1"/>
  <c r="T24" i="14"/>
  <c r="M24" i="14"/>
  <c r="L24" i="14"/>
  <c r="E24" i="14"/>
  <c r="Z24" i="14" s="1"/>
  <c r="AE24" i="14" s="1"/>
  <c r="D24" i="14"/>
  <c r="C24" i="14"/>
  <c r="G24" i="14" s="1"/>
  <c r="Y23" i="14"/>
  <c r="U23" i="14"/>
  <c r="W23" i="14" s="1"/>
  <c r="T23" i="14"/>
  <c r="M23" i="14"/>
  <c r="L23" i="14"/>
  <c r="E23" i="14"/>
  <c r="D23" i="14"/>
  <c r="C23" i="14"/>
  <c r="Y22" i="14"/>
  <c r="U22" i="14"/>
  <c r="T22" i="14"/>
  <c r="M22" i="14"/>
  <c r="L22" i="14"/>
  <c r="E22" i="14"/>
  <c r="Z22" i="14" s="1"/>
  <c r="AE22" i="14" s="1"/>
  <c r="D22" i="14"/>
  <c r="C22" i="14"/>
  <c r="G22" i="14" s="1"/>
  <c r="Y21" i="14"/>
  <c r="U21" i="14"/>
  <c r="W21" i="14" s="1"/>
  <c r="T21" i="14"/>
  <c r="M21" i="14"/>
  <c r="L21" i="14"/>
  <c r="E21" i="14"/>
  <c r="D21" i="14"/>
  <c r="C21" i="14"/>
  <c r="Y20" i="14"/>
  <c r="U20" i="14"/>
  <c r="W20" i="14" s="1"/>
  <c r="T20" i="14"/>
  <c r="M20" i="14"/>
  <c r="L20" i="14"/>
  <c r="E20" i="14"/>
  <c r="Z20" i="14" s="1"/>
  <c r="AE20" i="14" s="1"/>
  <c r="D20" i="14"/>
  <c r="C20" i="14"/>
  <c r="Y19" i="14"/>
  <c r="U19" i="14"/>
  <c r="W19" i="14" s="1"/>
  <c r="T19" i="14"/>
  <c r="M19" i="14"/>
  <c r="L19" i="14"/>
  <c r="E19" i="14"/>
  <c r="D19" i="14"/>
  <c r="C19" i="14"/>
  <c r="Y18" i="14"/>
  <c r="U18" i="14"/>
  <c r="T18" i="14"/>
  <c r="M18" i="14"/>
  <c r="L18" i="14"/>
  <c r="E18" i="14"/>
  <c r="Z18" i="14" s="1"/>
  <c r="AE18" i="14" s="1"/>
  <c r="D18" i="14"/>
  <c r="C18" i="14"/>
  <c r="G18" i="14" s="1"/>
  <c r="Y17" i="14"/>
  <c r="U17" i="14"/>
  <c r="W17" i="14" s="1"/>
  <c r="T17" i="14"/>
  <c r="M17" i="14"/>
  <c r="L17" i="14"/>
  <c r="E17" i="14"/>
  <c r="Z17" i="14" s="1"/>
  <c r="AE17" i="14" s="1"/>
  <c r="D17" i="14"/>
  <c r="C17" i="14"/>
  <c r="Y16" i="14"/>
  <c r="U16" i="14"/>
  <c r="W16" i="14" s="1"/>
  <c r="T16" i="14"/>
  <c r="M16" i="14"/>
  <c r="L16" i="14"/>
  <c r="E16" i="14"/>
  <c r="Z16" i="14" s="1"/>
  <c r="AE16" i="14" s="1"/>
  <c r="D16" i="14"/>
  <c r="C16" i="14"/>
  <c r="Y15" i="14"/>
  <c r="U15" i="14"/>
  <c r="W15" i="14" s="1"/>
  <c r="T15" i="14"/>
  <c r="M15" i="14"/>
  <c r="L15" i="14"/>
  <c r="E15" i="14"/>
  <c r="Z15" i="14" s="1"/>
  <c r="AE15" i="14" s="1"/>
  <c r="D15" i="14"/>
  <c r="C15" i="14"/>
  <c r="Y14" i="14"/>
  <c r="U14" i="14"/>
  <c r="W14" i="14" s="1"/>
  <c r="T14" i="14"/>
  <c r="M14" i="14"/>
  <c r="AA14" i="14" s="1"/>
  <c r="L14" i="14"/>
  <c r="E14" i="14"/>
  <c r="Z14" i="14" s="1"/>
  <c r="AE14" i="14" s="1"/>
  <c r="D14" i="14"/>
  <c r="C14" i="14"/>
  <c r="Z13" i="14"/>
  <c r="AE13" i="14" s="1"/>
  <c r="Y13" i="14"/>
  <c r="U13" i="14"/>
  <c r="W13" i="14" s="1"/>
  <c r="T13" i="14"/>
  <c r="M13" i="14"/>
  <c r="L13" i="14"/>
  <c r="E13" i="14"/>
  <c r="D13" i="14"/>
  <c r="C13" i="14"/>
  <c r="AC12" i="14" a="1"/>
  <c r="AC12" i="14" s="1"/>
  <c r="AD11" i="14"/>
  <c r="AC11" i="14"/>
  <c r="AB11" i="14"/>
  <c r="W10" i="14"/>
  <c r="T10" i="14"/>
  <c r="O10" i="14"/>
  <c r="L10" i="14"/>
  <c r="G10" i="14"/>
  <c r="P8" i="14" a="1"/>
  <c r="P8" i="14" s="1"/>
  <c r="AA12" i="14" s="1" a="1"/>
  <c r="AA12" i="14" s="1"/>
  <c r="E8" i="14" a="1"/>
  <c r="E8" i="14" s="1"/>
  <c r="O8" i="14" s="1"/>
  <c r="J5" i="14"/>
  <c r="F76" i="14" s="1"/>
  <c r="D5" i="14"/>
  <c r="D3" i="14"/>
  <c r="AA15" i="14" l="1"/>
  <c r="AA31" i="14"/>
  <c r="AA33" i="14"/>
  <c r="G40" i="14"/>
  <c r="X40" i="14" s="1"/>
  <c r="AA40" i="14"/>
  <c r="AF40" i="14" s="1"/>
  <c r="AA18" i="14"/>
  <c r="AF18" i="14" s="1"/>
  <c r="G19" i="14"/>
  <c r="G26" i="14"/>
  <c r="AA28" i="14"/>
  <c r="AF28" i="14" s="1"/>
  <c r="G29" i="14"/>
  <c r="G47" i="14"/>
  <c r="G16" i="14"/>
  <c r="G25" i="14"/>
  <c r="G32" i="14"/>
  <c r="G35" i="14"/>
  <c r="AD14" i="14"/>
  <c r="AF14" i="14"/>
  <c r="AF15" i="14"/>
  <c r="AD15" i="14"/>
  <c r="AD32" i="14"/>
  <c r="AF32" i="14"/>
  <c r="AD18" i="14"/>
  <c r="AD31" i="14"/>
  <c r="AF31" i="14"/>
  <c r="X32" i="14"/>
  <c r="AD33" i="14"/>
  <c r="AF33" i="14"/>
  <c r="AD39" i="14"/>
  <c r="AF39" i="14"/>
  <c r="G20" i="14"/>
  <c r="X20" i="14" s="1"/>
  <c r="G21" i="14"/>
  <c r="W31" i="14"/>
  <c r="W33" i="14"/>
  <c r="W39" i="14"/>
  <c r="G44" i="14"/>
  <c r="G48" i="14"/>
  <c r="G13" i="14"/>
  <c r="G14" i="14"/>
  <c r="X14" i="14" s="1"/>
  <c r="G15" i="14"/>
  <c r="X15" i="14" s="1"/>
  <c r="G17" i="14"/>
  <c r="X17" i="14" s="1"/>
  <c r="Z25" i="14"/>
  <c r="AE25" i="14" s="1"/>
  <c r="AA26" i="14"/>
  <c r="AA27" i="14"/>
  <c r="G28" i="14"/>
  <c r="X28" i="14" s="1"/>
  <c r="AA29" i="14"/>
  <c r="G31" i="14"/>
  <c r="AA34" i="14"/>
  <c r="AA35" i="14"/>
  <c r="G36" i="14"/>
  <c r="X36" i="14" s="1"/>
  <c r="AA37" i="14"/>
  <c r="Z43" i="14"/>
  <c r="AE43" i="14" s="1"/>
  <c r="G45" i="14"/>
  <c r="Z47" i="14"/>
  <c r="AE47" i="14" s="1"/>
  <c r="G49" i="14"/>
  <c r="X10" i="14"/>
  <c r="Z21" i="14"/>
  <c r="AE21" i="14" s="1"/>
  <c r="AA22" i="14"/>
  <c r="G23" i="14"/>
  <c r="X23" i="14" s="1"/>
  <c r="W27" i="14"/>
  <c r="X27" i="14" s="1"/>
  <c r="W29" i="14"/>
  <c r="X29" i="14" s="1"/>
  <c r="W35" i="14"/>
  <c r="W37" i="14"/>
  <c r="X37" i="14" s="1"/>
  <c r="G42" i="14"/>
  <c r="Z44" i="14"/>
  <c r="AE44" i="14" s="1"/>
  <c r="G46" i="14"/>
  <c r="Z48" i="14"/>
  <c r="AE48" i="14" s="1"/>
  <c r="AB29" i="14"/>
  <c r="AD40" i="14"/>
  <c r="AD12" i="14" a="1"/>
  <c r="AD12" i="14" s="1"/>
  <c r="AB12" i="14" a="1"/>
  <c r="AB12" i="14" s="1"/>
  <c r="Z12" i="14" a="1"/>
  <c r="Z12" i="14" s="1"/>
  <c r="AC35" i="14" s="1"/>
  <c r="Z8" i="14"/>
  <c r="Y12" i="14" a="1"/>
  <c r="Y12" i="14" s="1"/>
  <c r="AB37" i="14" s="1"/>
  <c r="AA16" i="14"/>
  <c r="W18" i="14"/>
  <c r="X18" i="14" s="1"/>
  <c r="Z19" i="14"/>
  <c r="AE19" i="14" s="1"/>
  <c r="AA20" i="14"/>
  <c r="X21" i="14"/>
  <c r="W22" i="14"/>
  <c r="X22" i="14" s="1"/>
  <c r="Z23" i="14"/>
  <c r="AE23" i="14" s="1"/>
  <c r="AA24" i="14"/>
  <c r="X25" i="14"/>
  <c r="W26" i="14"/>
  <c r="AB27" i="14"/>
  <c r="AA30" i="14"/>
  <c r="W34" i="14"/>
  <c r="X34" i="14" s="1"/>
  <c r="X35" i="14"/>
  <c r="AB35" i="14"/>
  <c r="AA38" i="14"/>
  <c r="AC47" i="14"/>
  <c r="AB23" i="14"/>
  <c r="O13" i="14"/>
  <c r="AA13" i="14"/>
  <c r="X16" i="14"/>
  <c r="AB17" i="14"/>
  <c r="AB21" i="14"/>
  <c r="X24" i="14"/>
  <c r="AB25" i="14"/>
  <c r="AD28" i="14"/>
  <c r="X30" i="14"/>
  <c r="G33" i="14"/>
  <c r="X33" i="14" s="1"/>
  <c r="AB33" i="14"/>
  <c r="AD36" i="14"/>
  <c r="X38" i="14"/>
  <c r="G41" i="14"/>
  <c r="AB19" i="14"/>
  <c r="X13" i="14"/>
  <c r="AB15" i="14"/>
  <c r="X19" i="14"/>
  <c r="AB31" i="14"/>
  <c r="G39" i="14"/>
  <c r="AB39" i="14"/>
  <c r="AB14" i="14"/>
  <c r="AB16" i="14"/>
  <c r="AA17" i="14"/>
  <c r="AB18" i="14"/>
  <c r="AA19" i="14"/>
  <c r="AB20" i="14"/>
  <c r="AA21" i="14"/>
  <c r="AB22" i="14"/>
  <c r="AA23" i="14"/>
  <c r="AB24" i="14"/>
  <c r="AA25" i="14"/>
  <c r="AB26" i="14"/>
  <c r="AB28" i="14"/>
  <c r="AB30" i="14"/>
  <c r="AB32" i="14"/>
  <c r="AB34" i="14"/>
  <c r="AB36" i="14"/>
  <c r="AB38" i="14"/>
  <c r="AB40" i="14"/>
  <c r="AA41" i="14"/>
  <c r="W41" i="14"/>
  <c r="AA42" i="14"/>
  <c r="W42" i="14"/>
  <c r="W43" i="14"/>
  <c r="X43" i="14" s="1"/>
  <c r="AA43" i="14"/>
  <c r="AA44" i="14"/>
  <c r="W44" i="14"/>
  <c r="AA45" i="14"/>
  <c r="W45" i="14"/>
  <c r="X45" i="14" s="1"/>
  <c r="AA46" i="14"/>
  <c r="W46" i="14"/>
  <c r="X46" i="14" s="1"/>
  <c r="AA47" i="14"/>
  <c r="W47" i="14"/>
  <c r="X47" i="14" s="1"/>
  <c r="AA48" i="14"/>
  <c r="W48" i="14"/>
  <c r="AA49" i="14"/>
  <c r="W49" i="14"/>
  <c r="AB41" i="14"/>
  <c r="AB42" i="14"/>
  <c r="AB43" i="14"/>
  <c r="AB44" i="14"/>
  <c r="AB45" i="14"/>
  <c r="AB46" i="14"/>
  <c r="AB47" i="14"/>
  <c r="AB48" i="14"/>
  <c r="AB49" i="14"/>
  <c r="AC45" i="14" l="1"/>
  <c r="X31" i="14"/>
  <c r="X49" i="14"/>
  <c r="X26" i="14"/>
  <c r="X42" i="14"/>
  <c r="AD43" i="14"/>
  <c r="AF43" i="14"/>
  <c r="AD23" i="14"/>
  <c r="AF23" i="14"/>
  <c r="AD19" i="14"/>
  <c r="AF19" i="14"/>
  <c r="AD35" i="14"/>
  <c r="AF35" i="14"/>
  <c r="AD49" i="14"/>
  <c r="AF49" i="14"/>
  <c r="AD47" i="14"/>
  <c r="AF47" i="14"/>
  <c r="AD45" i="14"/>
  <c r="AF45" i="14"/>
  <c r="AD41" i="14"/>
  <c r="AF41" i="14"/>
  <c r="AD13" i="14"/>
  <c r="AF13" i="14"/>
  <c r="AD38" i="14"/>
  <c r="AF38" i="14"/>
  <c r="AD30" i="14"/>
  <c r="AF30" i="14"/>
  <c r="AD34" i="14"/>
  <c r="AF34" i="14"/>
  <c r="AD27" i="14"/>
  <c r="AF27" i="14"/>
  <c r="X48" i="14"/>
  <c r="X44" i="14"/>
  <c r="AD25" i="14"/>
  <c r="AF25" i="14"/>
  <c r="AD21" i="14"/>
  <c r="AF21" i="14"/>
  <c r="AD17" i="14"/>
  <c r="AF17" i="14"/>
  <c r="AD24" i="14"/>
  <c r="AF24" i="14"/>
  <c r="AD20" i="14"/>
  <c r="AF20" i="14"/>
  <c r="AD16" i="14"/>
  <c r="G61" i="14" s="1"/>
  <c r="AF16" i="14"/>
  <c r="AD37" i="14"/>
  <c r="AF37" i="14"/>
  <c r="AD26" i="14"/>
  <c r="AF26" i="14"/>
  <c r="AD48" i="14"/>
  <c r="AF48" i="14"/>
  <c r="AD46" i="14"/>
  <c r="AF46" i="14"/>
  <c r="AD44" i="14"/>
  <c r="AF44" i="14"/>
  <c r="AD42" i="14"/>
  <c r="AF42" i="14"/>
  <c r="X39" i="14"/>
  <c r="AC21" i="14"/>
  <c r="AD22" i="14"/>
  <c r="AF22" i="14"/>
  <c r="AD29" i="14"/>
  <c r="AF29" i="14"/>
  <c r="AC26" i="14"/>
  <c r="AC22" i="14"/>
  <c r="AC38" i="14"/>
  <c r="AC30" i="14"/>
  <c r="AC24" i="14"/>
  <c r="AC20" i="14"/>
  <c r="AC16" i="14"/>
  <c r="AC34" i="14"/>
  <c r="AC18" i="14"/>
  <c r="AC39" i="14"/>
  <c r="AC36" i="14"/>
  <c r="AC13" i="14"/>
  <c r="AC48" i="14"/>
  <c r="X41" i="14"/>
  <c r="AC27" i="14"/>
  <c r="AC23" i="14"/>
  <c r="AC19" i="14"/>
  <c r="AB13" i="14"/>
  <c r="AC37" i="14"/>
  <c r="AC33" i="14"/>
  <c r="H61" i="14"/>
  <c r="AC49" i="14"/>
  <c r="AC25" i="14"/>
  <c r="AC17" i="14"/>
  <c r="AC43" i="14"/>
  <c r="AC42" i="14"/>
  <c r="AC15" i="14"/>
  <c r="AC32" i="14"/>
  <c r="AC28" i="14"/>
  <c r="AC46" i="14"/>
  <c r="AC40" i="14"/>
  <c r="AC44" i="14"/>
  <c r="AC31" i="14"/>
  <c r="AC41" i="14"/>
  <c r="AC29" i="14"/>
  <c r="AC14" i="14"/>
  <c r="H60" i="14" l="1"/>
  <c r="G60" i="14"/>
  <c r="G59" i="14"/>
  <c r="H59" i="14"/>
  <c r="F59" i="13" l="1"/>
  <c r="F58" i="13"/>
  <c r="F57" i="13"/>
  <c r="Z49" i="13"/>
  <c r="AE49" i="13" s="1"/>
  <c r="Y49" i="13"/>
  <c r="U49" i="13"/>
  <c r="W49" i="13" s="1"/>
  <c r="T49" i="13"/>
  <c r="M49" i="13"/>
  <c r="O49" i="13" s="1"/>
  <c r="L49" i="13"/>
  <c r="G49" i="13"/>
  <c r="E49" i="13"/>
  <c r="D49" i="13"/>
  <c r="C49" i="13"/>
  <c r="AA48" i="13"/>
  <c r="AF48" i="13" s="1"/>
  <c r="Y48" i="13"/>
  <c r="U48" i="13"/>
  <c r="W48" i="13" s="1"/>
  <c r="T48" i="13"/>
  <c r="M48" i="13"/>
  <c r="O48" i="13" s="1"/>
  <c r="L48" i="13"/>
  <c r="E48" i="13"/>
  <c r="G48" i="13" s="1"/>
  <c r="D48" i="13"/>
  <c r="C48" i="13"/>
  <c r="AA47" i="13"/>
  <c r="AF47" i="13" s="1"/>
  <c r="Y47" i="13"/>
  <c r="W47" i="13"/>
  <c r="U47" i="13"/>
  <c r="T47" i="13"/>
  <c r="M47" i="13"/>
  <c r="O47" i="13" s="1"/>
  <c r="L47" i="13"/>
  <c r="E47" i="13"/>
  <c r="D47" i="13"/>
  <c r="C47" i="13"/>
  <c r="Y46" i="13"/>
  <c r="U46" i="13"/>
  <c r="W46" i="13" s="1"/>
  <c r="T46" i="13"/>
  <c r="O46" i="13"/>
  <c r="M46" i="13"/>
  <c r="AA46" i="13" s="1"/>
  <c r="AF46" i="13" s="1"/>
  <c r="L46" i="13"/>
  <c r="E46" i="13"/>
  <c r="D46" i="13"/>
  <c r="C46" i="13"/>
  <c r="Y45" i="13"/>
  <c r="U45" i="13"/>
  <c r="W45" i="13" s="1"/>
  <c r="T45" i="13"/>
  <c r="M45" i="13"/>
  <c r="O45" i="13" s="1"/>
  <c r="L45" i="13"/>
  <c r="E45" i="13"/>
  <c r="Z45" i="13" s="1"/>
  <c r="AE45" i="13" s="1"/>
  <c r="D45" i="13"/>
  <c r="C45" i="13"/>
  <c r="Y44" i="13"/>
  <c r="U44" i="13"/>
  <c r="W44" i="13" s="1"/>
  <c r="T44" i="13"/>
  <c r="M44" i="13"/>
  <c r="O44" i="13" s="1"/>
  <c r="L44" i="13"/>
  <c r="G44" i="13"/>
  <c r="E44" i="13"/>
  <c r="Z44" i="13" s="1"/>
  <c r="AE44" i="13" s="1"/>
  <c r="D44" i="13"/>
  <c r="C44" i="13"/>
  <c r="AA43" i="13"/>
  <c r="AF43" i="13" s="1"/>
  <c r="Y43" i="13"/>
  <c r="U43" i="13"/>
  <c r="W43" i="13" s="1"/>
  <c r="T43" i="13"/>
  <c r="M43" i="13"/>
  <c r="O43" i="13" s="1"/>
  <c r="L43" i="13"/>
  <c r="E43" i="13"/>
  <c r="D43" i="13"/>
  <c r="C43" i="13"/>
  <c r="Y42" i="13"/>
  <c r="U42" i="13"/>
  <c r="W42" i="13" s="1"/>
  <c r="T42" i="13"/>
  <c r="O42" i="13"/>
  <c r="M42" i="13"/>
  <c r="AA42" i="13" s="1"/>
  <c r="AF42" i="13" s="1"/>
  <c r="L42" i="13"/>
  <c r="G42" i="13"/>
  <c r="E42" i="13"/>
  <c r="D42" i="13"/>
  <c r="C42" i="13"/>
  <c r="Y41" i="13"/>
  <c r="U41" i="13"/>
  <c r="W41" i="13" s="1"/>
  <c r="T41" i="13"/>
  <c r="M41" i="13"/>
  <c r="O41" i="13" s="1"/>
  <c r="L41" i="13"/>
  <c r="G41" i="13"/>
  <c r="E41" i="13"/>
  <c r="D41" i="13"/>
  <c r="C41" i="13"/>
  <c r="Y40" i="13"/>
  <c r="W40" i="13"/>
  <c r="U40" i="13"/>
  <c r="T40" i="13"/>
  <c r="M40" i="13"/>
  <c r="O40" i="13" s="1"/>
  <c r="L40" i="13"/>
  <c r="E40" i="13"/>
  <c r="G40" i="13" s="1"/>
  <c r="D40" i="13"/>
  <c r="C40" i="13"/>
  <c r="Y39" i="13"/>
  <c r="W39" i="13"/>
  <c r="U39" i="13"/>
  <c r="T39" i="13"/>
  <c r="M39" i="13"/>
  <c r="AA39" i="13" s="1"/>
  <c r="L39" i="13"/>
  <c r="E39" i="13"/>
  <c r="D39" i="13"/>
  <c r="C39" i="13"/>
  <c r="Y38" i="13"/>
  <c r="W38" i="13"/>
  <c r="U38" i="13"/>
  <c r="T38" i="13"/>
  <c r="O38" i="13"/>
  <c r="M38" i="13"/>
  <c r="AA38" i="13" s="1"/>
  <c r="AF38" i="13" s="1"/>
  <c r="L38" i="13"/>
  <c r="E38" i="13"/>
  <c r="Z38" i="13" s="1"/>
  <c r="AE38" i="13" s="1"/>
  <c r="D38" i="13"/>
  <c r="C38" i="13"/>
  <c r="Y37" i="13"/>
  <c r="U37" i="13"/>
  <c r="W37" i="13" s="1"/>
  <c r="T37" i="13"/>
  <c r="M37" i="13"/>
  <c r="O37" i="13" s="1"/>
  <c r="L37" i="13"/>
  <c r="G37" i="13"/>
  <c r="E37" i="13"/>
  <c r="D37" i="13"/>
  <c r="C37" i="13"/>
  <c r="AA36" i="13"/>
  <c r="Y36" i="13"/>
  <c r="U36" i="13"/>
  <c r="Z36" i="13" s="1"/>
  <c r="AE36" i="13" s="1"/>
  <c r="T36" i="13"/>
  <c r="M36" i="13"/>
  <c r="O36" i="13" s="1"/>
  <c r="L36" i="13"/>
  <c r="G36" i="13"/>
  <c r="E36" i="13"/>
  <c r="D36" i="13"/>
  <c r="C36" i="13"/>
  <c r="Y35" i="13"/>
  <c r="U35" i="13"/>
  <c r="W35" i="13" s="1"/>
  <c r="T35" i="13"/>
  <c r="M35" i="13"/>
  <c r="AA35" i="13" s="1"/>
  <c r="L35" i="13"/>
  <c r="E35" i="13"/>
  <c r="D35" i="13"/>
  <c r="C35" i="13"/>
  <c r="Y34" i="13"/>
  <c r="W34" i="13"/>
  <c r="U34" i="13"/>
  <c r="T34" i="13"/>
  <c r="M34" i="13"/>
  <c r="AA34" i="13" s="1"/>
  <c r="AF34" i="13" s="1"/>
  <c r="L34" i="13"/>
  <c r="E34" i="13"/>
  <c r="Z34" i="13" s="1"/>
  <c r="AE34" i="13" s="1"/>
  <c r="D34" i="13"/>
  <c r="C34" i="13"/>
  <c r="Y33" i="13"/>
  <c r="U33" i="13"/>
  <c r="W33" i="13" s="1"/>
  <c r="T33" i="13"/>
  <c r="M33" i="13"/>
  <c r="O33" i="13" s="1"/>
  <c r="L33" i="13"/>
  <c r="G33" i="13"/>
  <c r="E33" i="13"/>
  <c r="D33" i="13"/>
  <c r="C33" i="13"/>
  <c r="Y32" i="13"/>
  <c r="U32" i="13"/>
  <c r="Z32" i="13" s="1"/>
  <c r="AE32" i="13" s="1"/>
  <c r="T32" i="13"/>
  <c r="M32" i="13"/>
  <c r="O32" i="13" s="1"/>
  <c r="L32" i="13"/>
  <c r="G32" i="13"/>
  <c r="E32" i="13"/>
  <c r="D32" i="13"/>
  <c r="C32" i="13"/>
  <c r="Y31" i="13"/>
  <c r="U31" i="13"/>
  <c r="W31" i="13" s="1"/>
  <c r="T31" i="13"/>
  <c r="M31" i="13"/>
  <c r="AA31" i="13" s="1"/>
  <c r="L31" i="13"/>
  <c r="E31" i="13"/>
  <c r="D31" i="13"/>
  <c r="C31" i="13"/>
  <c r="Y30" i="13"/>
  <c r="W30" i="13"/>
  <c r="U30" i="13"/>
  <c r="T30" i="13"/>
  <c r="M30" i="13"/>
  <c r="AA30" i="13" s="1"/>
  <c r="AF30" i="13" s="1"/>
  <c r="L30" i="13"/>
  <c r="E30" i="13"/>
  <c r="Z30" i="13" s="1"/>
  <c r="AE30" i="13" s="1"/>
  <c r="D30" i="13"/>
  <c r="C30" i="13"/>
  <c r="Y29" i="13"/>
  <c r="U29" i="13"/>
  <c r="W29" i="13" s="1"/>
  <c r="T29" i="13"/>
  <c r="M29" i="13"/>
  <c r="O29" i="13" s="1"/>
  <c r="L29" i="13"/>
  <c r="G29" i="13"/>
  <c r="E29" i="13"/>
  <c r="D29" i="13"/>
  <c r="C29" i="13"/>
  <c r="AA28" i="13"/>
  <c r="Y28" i="13"/>
  <c r="U28" i="13"/>
  <c r="Z28" i="13" s="1"/>
  <c r="AE28" i="13" s="1"/>
  <c r="T28" i="13"/>
  <c r="M28" i="13"/>
  <c r="O28" i="13" s="1"/>
  <c r="L28" i="13"/>
  <c r="G28" i="13"/>
  <c r="E28" i="13"/>
  <c r="D28" i="13"/>
  <c r="C28" i="13"/>
  <c r="Y27" i="13"/>
  <c r="U27" i="13"/>
  <c r="W27" i="13" s="1"/>
  <c r="T27" i="13"/>
  <c r="M27" i="13"/>
  <c r="AA27" i="13" s="1"/>
  <c r="L27" i="13"/>
  <c r="E27" i="13"/>
  <c r="D27" i="13"/>
  <c r="C27" i="13"/>
  <c r="Y26" i="13"/>
  <c r="W26" i="13"/>
  <c r="U26" i="13"/>
  <c r="T26" i="13"/>
  <c r="M26" i="13"/>
  <c r="AA26" i="13" s="1"/>
  <c r="AF26" i="13" s="1"/>
  <c r="L26" i="13"/>
  <c r="E26" i="13"/>
  <c r="Z26" i="13" s="1"/>
  <c r="AE26" i="13" s="1"/>
  <c r="D26" i="13"/>
  <c r="C26" i="13"/>
  <c r="Y25" i="13"/>
  <c r="U25" i="13"/>
  <c r="W25" i="13" s="1"/>
  <c r="T25" i="13"/>
  <c r="M25" i="13"/>
  <c r="O25" i="13" s="1"/>
  <c r="L25" i="13"/>
  <c r="G25" i="13"/>
  <c r="E25" i="13"/>
  <c r="D25" i="13"/>
  <c r="C25" i="13"/>
  <c r="Y24" i="13"/>
  <c r="U24" i="13"/>
  <c r="Z24" i="13" s="1"/>
  <c r="AE24" i="13" s="1"/>
  <c r="T24" i="13"/>
  <c r="M24" i="13"/>
  <c r="O24" i="13" s="1"/>
  <c r="L24" i="13"/>
  <c r="G24" i="13"/>
  <c r="E24" i="13"/>
  <c r="D24" i="13"/>
  <c r="C24" i="13"/>
  <c r="Y23" i="13"/>
  <c r="U23" i="13"/>
  <c r="W23" i="13" s="1"/>
  <c r="T23" i="13"/>
  <c r="M23" i="13"/>
  <c r="AA23" i="13" s="1"/>
  <c r="L23" i="13"/>
  <c r="E23" i="13"/>
  <c r="D23" i="13"/>
  <c r="C23" i="13"/>
  <c r="Y22" i="13"/>
  <c r="W22" i="13"/>
  <c r="U22" i="13"/>
  <c r="T22" i="13"/>
  <c r="M22" i="13"/>
  <c r="AA22" i="13" s="1"/>
  <c r="AF22" i="13" s="1"/>
  <c r="L22" i="13"/>
  <c r="E22" i="13"/>
  <c r="Z22" i="13" s="1"/>
  <c r="AE22" i="13" s="1"/>
  <c r="D22" i="13"/>
  <c r="C22" i="13"/>
  <c r="Y21" i="13"/>
  <c r="U21" i="13"/>
  <c r="W21" i="13" s="1"/>
  <c r="T21" i="13"/>
  <c r="M21" i="13"/>
  <c r="O21" i="13" s="1"/>
  <c r="L21" i="13"/>
  <c r="G21" i="13"/>
  <c r="E21" i="13"/>
  <c r="D21" i="13"/>
  <c r="C21" i="13"/>
  <c r="AA20" i="13"/>
  <c r="Y20" i="13"/>
  <c r="U20" i="13"/>
  <c r="Z20" i="13" s="1"/>
  <c r="AE20" i="13" s="1"/>
  <c r="T20" i="13"/>
  <c r="M20" i="13"/>
  <c r="O20" i="13" s="1"/>
  <c r="L20" i="13"/>
  <c r="E20" i="13"/>
  <c r="G20" i="13" s="1"/>
  <c r="D20" i="13"/>
  <c r="C20" i="13"/>
  <c r="Y19" i="13"/>
  <c r="U19" i="13"/>
  <c r="W19" i="13" s="1"/>
  <c r="T19" i="13"/>
  <c r="M19" i="13"/>
  <c r="O19" i="13" s="1"/>
  <c r="L19" i="13"/>
  <c r="E19" i="13"/>
  <c r="D19" i="13"/>
  <c r="C19" i="13"/>
  <c r="Y18" i="13"/>
  <c r="U18" i="13"/>
  <c r="W18" i="13" s="1"/>
  <c r="T18" i="13"/>
  <c r="O18" i="13"/>
  <c r="M18" i="13"/>
  <c r="AA18" i="13" s="1"/>
  <c r="AF18" i="13" s="1"/>
  <c r="L18" i="13"/>
  <c r="E18" i="13"/>
  <c r="D18" i="13"/>
  <c r="C18" i="13"/>
  <c r="Y17" i="13"/>
  <c r="U17" i="13"/>
  <c r="W17" i="13" s="1"/>
  <c r="T17" i="13"/>
  <c r="M17" i="13"/>
  <c r="O17" i="13" s="1"/>
  <c r="L17" i="13"/>
  <c r="E17" i="13"/>
  <c r="Z17" i="13" s="1"/>
  <c r="AE17" i="13" s="1"/>
  <c r="D17" i="13"/>
  <c r="C17" i="13"/>
  <c r="Y16" i="13"/>
  <c r="U16" i="13"/>
  <c r="W16" i="13" s="1"/>
  <c r="T16" i="13"/>
  <c r="M16" i="13"/>
  <c r="O16" i="13" s="1"/>
  <c r="L16" i="13"/>
  <c r="E16" i="13"/>
  <c r="G16" i="13" s="1"/>
  <c r="D16" i="13"/>
  <c r="C16" i="13"/>
  <c r="Y15" i="13"/>
  <c r="W15" i="13"/>
  <c r="U15" i="13"/>
  <c r="T15" i="13"/>
  <c r="M15" i="13"/>
  <c r="AA15" i="13" s="1"/>
  <c r="L15" i="13"/>
  <c r="E15" i="13"/>
  <c r="D15" i="13"/>
  <c r="C15" i="13"/>
  <c r="Y14" i="13"/>
  <c r="U14" i="13"/>
  <c r="W14" i="13" s="1"/>
  <c r="T14" i="13"/>
  <c r="O14" i="13"/>
  <c r="M14" i="13"/>
  <c r="AA14" i="13" s="1"/>
  <c r="AF14" i="13" s="1"/>
  <c r="L14" i="13"/>
  <c r="E14" i="13"/>
  <c r="D14" i="13"/>
  <c r="C14" i="13"/>
  <c r="Y13" i="13"/>
  <c r="U13" i="13"/>
  <c r="W13" i="13" s="1"/>
  <c r="T13" i="13"/>
  <c r="M13" i="13"/>
  <c r="L13" i="13"/>
  <c r="E13" i="13"/>
  <c r="G13" i="13" s="1"/>
  <c r="D13" i="13"/>
  <c r="C13" i="13"/>
  <c r="AD11" i="13"/>
  <c r="AC11" i="13"/>
  <c r="AB11" i="13"/>
  <c r="W10" i="13"/>
  <c r="T10" i="13"/>
  <c r="O10" i="13"/>
  <c r="L10" i="13"/>
  <c r="G10" i="13"/>
  <c r="X10" i="13" s="1"/>
  <c r="P8" i="13" a="1"/>
  <c r="P8" i="13" s="1"/>
  <c r="E8" i="13" a="1"/>
  <c r="E8" i="13" s="1"/>
  <c r="O8" i="13" s="1"/>
  <c r="J5" i="13"/>
  <c r="F74" i="13" s="1"/>
  <c r="D5" i="13"/>
  <c r="AC12" i="13" l="1" a="1"/>
  <c r="AC12" i="13" s="1"/>
  <c r="Y12" i="13" a="1"/>
  <c r="Y12" i="13" s="1"/>
  <c r="AA12" i="13" a="1"/>
  <c r="AA12" i="13" s="1"/>
  <c r="AD23" i="13" s="1"/>
  <c r="X18" i="13"/>
  <c r="AF23" i="13"/>
  <c r="AD31" i="13"/>
  <c r="AF31" i="13"/>
  <c r="AF39" i="13"/>
  <c r="Z16" i="13"/>
  <c r="AE16" i="13" s="1"/>
  <c r="G17" i="13"/>
  <c r="X17" i="13" s="1"/>
  <c r="O26" i="13"/>
  <c r="O34" i="13"/>
  <c r="G45" i="13"/>
  <c r="X45" i="13" s="1"/>
  <c r="Z48" i="13"/>
  <c r="AE48" i="13" s="1"/>
  <c r="AF36" i="13"/>
  <c r="AD15" i="13"/>
  <c r="AF15" i="13"/>
  <c r="Z18" i="13"/>
  <c r="AE18" i="13" s="1"/>
  <c r="AA24" i="13"/>
  <c r="AD27" i="13"/>
  <c r="AF27" i="13"/>
  <c r="AA32" i="13"/>
  <c r="AF35" i="13"/>
  <c r="Z40" i="13"/>
  <c r="AE40" i="13" s="1"/>
  <c r="X41" i="13"/>
  <c r="Z42" i="13"/>
  <c r="AE42" i="13" s="1"/>
  <c r="Z46" i="13"/>
  <c r="AE46" i="13" s="1"/>
  <c r="AD20" i="13"/>
  <c r="AF20" i="13"/>
  <c r="AF28" i="13"/>
  <c r="Z14" i="13"/>
  <c r="AE14" i="13" s="1"/>
  <c r="O15" i="13"/>
  <c r="G18" i="13"/>
  <c r="AA19" i="13"/>
  <c r="AF19" i="13" s="1"/>
  <c r="O22" i="13"/>
  <c r="O30" i="13"/>
  <c r="X42" i="13"/>
  <c r="G46" i="13"/>
  <c r="X46" i="13" s="1"/>
  <c r="AB48" i="13"/>
  <c r="AB20" i="13"/>
  <c r="AB16" i="13"/>
  <c r="AB18" i="13"/>
  <c r="AB15" i="13"/>
  <c r="AB42" i="13"/>
  <c r="AB31" i="13"/>
  <c r="AB47" i="13"/>
  <c r="AB43" i="13"/>
  <c r="AB19" i="13"/>
  <c r="AB46" i="13"/>
  <c r="AB39" i="13"/>
  <c r="AB27" i="13"/>
  <c r="AB35" i="13"/>
  <c r="AB23" i="13"/>
  <c r="AB14" i="13"/>
  <c r="AB26" i="13"/>
  <c r="AB34" i="13"/>
  <c r="AB22" i="13"/>
  <c r="AB30" i="13"/>
  <c r="AB38" i="13"/>
  <c r="AB17" i="13"/>
  <c r="O27" i="13"/>
  <c r="W28" i="13"/>
  <c r="X28" i="13" s="1"/>
  <c r="X29" i="13"/>
  <c r="G30" i="13"/>
  <c r="X30" i="13" s="1"/>
  <c r="O35" i="13"/>
  <c r="W36" i="13"/>
  <c r="X36" i="13" s="1"/>
  <c r="X37" i="13"/>
  <c r="G38" i="13"/>
  <c r="X38" i="13" s="1"/>
  <c r="O39" i="13"/>
  <c r="AB40" i="13"/>
  <c r="AB45" i="13"/>
  <c r="Z47" i="13"/>
  <c r="AE47" i="13" s="1"/>
  <c r="G47" i="13"/>
  <c r="X47" i="13" s="1"/>
  <c r="G14" i="13"/>
  <c r="X14" i="13" s="1"/>
  <c r="Z15" i="13"/>
  <c r="AE15" i="13" s="1"/>
  <c r="G15" i="13"/>
  <c r="X15" i="13" s="1"/>
  <c r="W20" i="13"/>
  <c r="X20" i="13" s="1"/>
  <c r="X21" i="13"/>
  <c r="G22" i="13"/>
  <c r="X22" i="13" s="1"/>
  <c r="O23" i="13"/>
  <c r="W24" i="13"/>
  <c r="X24" i="13" s="1"/>
  <c r="X25" i="13"/>
  <c r="G26" i="13"/>
  <c r="X26" i="13" s="1"/>
  <c r="O31" i="13"/>
  <c r="W32" i="13"/>
  <c r="X32" i="13" s="1"/>
  <c r="X33" i="13"/>
  <c r="G34" i="13"/>
  <c r="X34" i="13" s="1"/>
  <c r="AB41" i="13"/>
  <c r="AD46" i="13"/>
  <c r="X48" i="13"/>
  <c r="AB13" i="13"/>
  <c r="X16" i="13"/>
  <c r="AA16" i="13"/>
  <c r="AB21" i="13"/>
  <c r="Z23" i="13"/>
  <c r="AE23" i="13" s="1"/>
  <c r="G23" i="13"/>
  <c r="AB24" i="13"/>
  <c r="AB25" i="13"/>
  <c r="Z27" i="13"/>
  <c r="AE27" i="13" s="1"/>
  <c r="G27" i="13"/>
  <c r="AB28" i="13"/>
  <c r="AB29" i="13"/>
  <c r="Z31" i="13"/>
  <c r="AE31" i="13" s="1"/>
  <c r="G31" i="13"/>
  <c r="X31" i="13" s="1"/>
  <c r="AB32" i="13"/>
  <c r="AB33" i="13"/>
  <c r="Z35" i="13"/>
  <c r="AE35" i="13" s="1"/>
  <c r="G35" i="13"/>
  <c r="AB36" i="13"/>
  <c r="AB37" i="13"/>
  <c r="Z39" i="13"/>
  <c r="AE39" i="13" s="1"/>
  <c r="G39" i="13"/>
  <c r="Z41" i="13"/>
  <c r="AE41" i="13" s="1"/>
  <c r="AD42" i="13"/>
  <c r="X44" i="13"/>
  <c r="AA44" i="13"/>
  <c r="X49" i="13"/>
  <c r="Z43" i="13"/>
  <c r="G43" i="13"/>
  <c r="X43" i="13" s="1"/>
  <c r="AB44" i="13"/>
  <c r="AD12" i="13" a="1"/>
  <c r="AD12" i="13" s="1"/>
  <c r="AB12" i="13" a="1"/>
  <c r="AB12" i="13" s="1"/>
  <c r="Z12" i="13" a="1"/>
  <c r="Z12" i="13" s="1"/>
  <c r="AC49" i="13" s="1"/>
  <c r="Z8" i="13"/>
  <c r="O13" i="13"/>
  <c r="X13" i="13" s="1"/>
  <c r="AA13" i="13"/>
  <c r="Z13" i="13"/>
  <c r="Z19" i="13"/>
  <c r="AE19" i="13" s="1"/>
  <c r="G19" i="13"/>
  <c r="X19" i="13" s="1"/>
  <c r="Z21" i="13"/>
  <c r="AE21" i="13" s="1"/>
  <c r="AD22" i="13"/>
  <c r="Z25" i="13"/>
  <c r="AE25" i="13" s="1"/>
  <c r="AD26" i="13"/>
  <c r="Z29" i="13"/>
  <c r="AE29" i="13" s="1"/>
  <c r="AD30" i="13"/>
  <c r="Z33" i="13"/>
  <c r="AE33" i="13" s="1"/>
  <c r="AD34" i="13"/>
  <c r="Z37" i="13"/>
  <c r="AE37" i="13" s="1"/>
  <c r="AD38" i="13"/>
  <c r="X40" i="13"/>
  <c r="AA40" i="13"/>
  <c r="AB49" i="13"/>
  <c r="AA17" i="13"/>
  <c r="AA21" i="13"/>
  <c r="AA25" i="13"/>
  <c r="AA29" i="13"/>
  <c r="AA33" i="13"/>
  <c r="AA37" i="13"/>
  <c r="AA41" i="13"/>
  <c r="AA45" i="13"/>
  <c r="AA49" i="13"/>
  <c r="AD49" i="13" l="1"/>
  <c r="AF49" i="13"/>
  <c r="AD17" i="13"/>
  <c r="AF17" i="13"/>
  <c r="AC43" i="13"/>
  <c r="AE43" i="13"/>
  <c r="AD29" i="13"/>
  <c r="AF29" i="13"/>
  <c r="AD41" i="13"/>
  <c r="AF41" i="13"/>
  <c r="AD25" i="13"/>
  <c r="AF25" i="13"/>
  <c r="AD14" i="13"/>
  <c r="AD44" i="13"/>
  <c r="AF44" i="13"/>
  <c r="X39" i="13"/>
  <c r="X35" i="13"/>
  <c r="X27" i="13"/>
  <c r="X23" i="13"/>
  <c r="AD43" i="13"/>
  <c r="AD19" i="13"/>
  <c r="AD48" i="13"/>
  <c r="AD28" i="13"/>
  <c r="AD35" i="13"/>
  <c r="AD24" i="13"/>
  <c r="AF24" i="13"/>
  <c r="AD33" i="13"/>
  <c r="AF33" i="13"/>
  <c r="AD13" i="13"/>
  <c r="AF13" i="13"/>
  <c r="AD45" i="13"/>
  <c r="AF45" i="13"/>
  <c r="AD16" i="13"/>
  <c r="AF16" i="13"/>
  <c r="AD37" i="13"/>
  <c r="AF37" i="13"/>
  <c r="AD21" i="13"/>
  <c r="AF21" i="13"/>
  <c r="AD40" i="13"/>
  <c r="AF40" i="13"/>
  <c r="AC13" i="13"/>
  <c r="AE13" i="13"/>
  <c r="AD18" i="13"/>
  <c r="AD47" i="13"/>
  <c r="AD32" i="13"/>
  <c r="AF32" i="13"/>
  <c r="AD36" i="13"/>
  <c r="AD39" i="13"/>
  <c r="H59" i="13" s="1"/>
  <c r="AC48" i="13"/>
  <c r="AC45" i="13"/>
  <c r="AC17" i="13"/>
  <c r="AC34" i="13"/>
  <c r="AC30" i="13"/>
  <c r="AC22" i="13"/>
  <c r="AC37" i="13"/>
  <c r="AC29" i="13"/>
  <c r="AC21" i="13"/>
  <c r="AC16" i="13"/>
  <c r="AC39" i="13"/>
  <c r="AC35" i="13"/>
  <c r="AC31" i="13"/>
  <c r="AC27" i="13"/>
  <c r="AC23" i="13"/>
  <c r="G57" i="13"/>
  <c r="H57" i="13"/>
  <c r="AC44" i="13"/>
  <c r="AC14" i="13"/>
  <c r="AC28" i="13"/>
  <c r="AC24" i="13"/>
  <c r="AC46" i="13"/>
  <c r="AC42" i="13"/>
  <c r="AC18" i="13"/>
  <c r="AC41" i="13"/>
  <c r="AC26" i="13"/>
  <c r="AC38" i="13"/>
  <c r="AC33" i="13"/>
  <c r="AC25" i="13"/>
  <c r="AC19" i="13"/>
  <c r="G59" i="13"/>
  <c r="AC40" i="13"/>
  <c r="AC15" i="13"/>
  <c r="AC47" i="13"/>
  <c r="AC36" i="13"/>
  <c r="AC20" i="13"/>
  <c r="AC32" i="13"/>
  <c r="H58" i="13" l="1"/>
  <c r="G58" i="13"/>
  <c r="F59" i="12"/>
  <c r="F58" i="12"/>
  <c r="F57" i="12"/>
  <c r="AA49" i="12"/>
  <c r="Z49" i="12"/>
  <c r="U49" i="12"/>
  <c r="W49" i="12" s="1"/>
  <c r="T49" i="12"/>
  <c r="M49" i="12"/>
  <c r="O49" i="12" s="1"/>
  <c r="L49" i="12"/>
  <c r="E49" i="12"/>
  <c r="D49" i="12"/>
  <c r="C49" i="12"/>
  <c r="AA48" i="12"/>
  <c r="Z48" i="12"/>
  <c r="U48" i="12"/>
  <c r="W48" i="12" s="1"/>
  <c r="T48" i="12"/>
  <c r="O48" i="12"/>
  <c r="M48" i="12"/>
  <c r="L48" i="12"/>
  <c r="E48" i="12"/>
  <c r="G48" i="12" s="1"/>
  <c r="D48" i="12"/>
  <c r="C48" i="12"/>
  <c r="AA47" i="12"/>
  <c r="Z47" i="12"/>
  <c r="U47" i="12"/>
  <c r="W47" i="12" s="1"/>
  <c r="T47" i="12"/>
  <c r="O47" i="12"/>
  <c r="M47" i="12"/>
  <c r="L47" i="12"/>
  <c r="E47" i="12"/>
  <c r="Y47" i="12" s="1"/>
  <c r="D47" i="12"/>
  <c r="C47" i="12"/>
  <c r="AA46" i="12"/>
  <c r="Z46" i="12"/>
  <c r="U46" i="12"/>
  <c r="W46" i="12" s="1"/>
  <c r="T46" i="12"/>
  <c r="M46" i="12"/>
  <c r="L46" i="12"/>
  <c r="G46" i="12"/>
  <c r="E46" i="12"/>
  <c r="D46" i="12"/>
  <c r="C46" i="12"/>
  <c r="AA45" i="12"/>
  <c r="Z45" i="12"/>
  <c r="U45" i="12"/>
  <c r="W45" i="12" s="1"/>
  <c r="T45" i="12"/>
  <c r="M45" i="12"/>
  <c r="O45" i="12" s="1"/>
  <c r="L45" i="12"/>
  <c r="E45" i="12"/>
  <c r="D45" i="12"/>
  <c r="C45" i="12"/>
  <c r="AA44" i="12"/>
  <c r="Z44" i="12"/>
  <c r="U44" i="12"/>
  <c r="W44" i="12" s="1"/>
  <c r="T44" i="12"/>
  <c r="O44" i="12"/>
  <c r="M44" i="12"/>
  <c r="L44" i="12"/>
  <c r="G44" i="12"/>
  <c r="E44" i="12"/>
  <c r="Y44" i="12" s="1"/>
  <c r="D44" i="12"/>
  <c r="C44" i="12"/>
  <c r="AA43" i="12"/>
  <c r="Z43" i="12"/>
  <c r="U43" i="12"/>
  <c r="W43" i="12" s="1"/>
  <c r="T43" i="12"/>
  <c r="O43" i="12"/>
  <c r="M43" i="12"/>
  <c r="L43" i="12"/>
  <c r="G43" i="12"/>
  <c r="E43" i="12"/>
  <c r="Y43" i="12" s="1"/>
  <c r="D43" i="12"/>
  <c r="C43" i="12"/>
  <c r="AA42" i="12"/>
  <c r="Z42" i="12"/>
  <c r="U42" i="12"/>
  <c r="W42" i="12" s="1"/>
  <c r="T42" i="12"/>
  <c r="M42" i="12"/>
  <c r="L42" i="12"/>
  <c r="E42" i="12"/>
  <c r="G42" i="12" s="1"/>
  <c r="D42" i="12"/>
  <c r="C42" i="12"/>
  <c r="AA41" i="12"/>
  <c r="Z41" i="12"/>
  <c r="W41" i="12"/>
  <c r="U41" i="12"/>
  <c r="T41" i="12"/>
  <c r="O41" i="12"/>
  <c r="M41" i="12"/>
  <c r="L41" i="12"/>
  <c r="E41" i="12"/>
  <c r="D41" i="12"/>
  <c r="C41" i="12"/>
  <c r="AA40" i="12"/>
  <c r="Z40" i="12"/>
  <c r="W40" i="12"/>
  <c r="U40" i="12"/>
  <c r="T40" i="12"/>
  <c r="O40" i="12"/>
  <c r="M40" i="12"/>
  <c r="L40" i="12"/>
  <c r="E40" i="12"/>
  <c r="D40" i="12"/>
  <c r="C40" i="12"/>
  <c r="AA39" i="12"/>
  <c r="Z39" i="12"/>
  <c r="U39" i="12"/>
  <c r="W39" i="12" s="1"/>
  <c r="T39" i="12"/>
  <c r="M39" i="12"/>
  <c r="O39" i="12" s="1"/>
  <c r="L39" i="12"/>
  <c r="G39" i="12"/>
  <c r="E39" i="12"/>
  <c r="D39" i="12"/>
  <c r="C39" i="12"/>
  <c r="AA38" i="12"/>
  <c r="Z38" i="12"/>
  <c r="U38" i="12"/>
  <c r="W38" i="12" s="1"/>
  <c r="T38" i="12"/>
  <c r="M38" i="12"/>
  <c r="L38" i="12"/>
  <c r="G38" i="12"/>
  <c r="E38" i="12"/>
  <c r="D38" i="12"/>
  <c r="C38" i="12"/>
  <c r="AA37" i="12"/>
  <c r="Z37" i="12"/>
  <c r="U37" i="12"/>
  <c r="W37" i="12" s="1"/>
  <c r="T37" i="12"/>
  <c r="O37" i="12"/>
  <c r="M37" i="12"/>
  <c r="L37" i="12"/>
  <c r="E37" i="12"/>
  <c r="D37" i="12"/>
  <c r="C37" i="12"/>
  <c r="AA36" i="12"/>
  <c r="Z36" i="12"/>
  <c r="W36" i="12"/>
  <c r="U36" i="12"/>
  <c r="T36" i="12"/>
  <c r="O36" i="12"/>
  <c r="M36" i="12"/>
  <c r="L36" i="12"/>
  <c r="E36" i="12"/>
  <c r="Y36" i="12" s="1"/>
  <c r="D36" i="12"/>
  <c r="C36" i="12"/>
  <c r="AA35" i="12"/>
  <c r="Z35" i="12"/>
  <c r="U35" i="12"/>
  <c r="W35" i="12" s="1"/>
  <c r="T35" i="12"/>
  <c r="M35" i="12"/>
  <c r="O35" i="12" s="1"/>
  <c r="L35" i="12"/>
  <c r="G35" i="12"/>
  <c r="E35" i="12"/>
  <c r="D35" i="12"/>
  <c r="C35" i="12"/>
  <c r="AA34" i="12"/>
  <c r="Z34" i="12"/>
  <c r="U34" i="12"/>
  <c r="W34" i="12" s="1"/>
  <c r="T34" i="12"/>
  <c r="M34" i="12"/>
  <c r="L34" i="12"/>
  <c r="E34" i="12"/>
  <c r="G34" i="12" s="1"/>
  <c r="D34" i="12"/>
  <c r="C34" i="12"/>
  <c r="AA33" i="12"/>
  <c r="Z33" i="12"/>
  <c r="W33" i="12"/>
  <c r="U33" i="12"/>
  <c r="T33" i="12"/>
  <c r="M33" i="12"/>
  <c r="O33" i="12" s="1"/>
  <c r="L33" i="12"/>
  <c r="E33" i="12"/>
  <c r="D33" i="12"/>
  <c r="C33" i="12"/>
  <c r="AA32" i="12"/>
  <c r="Z32" i="12"/>
  <c r="W32" i="12"/>
  <c r="U32" i="12"/>
  <c r="T32" i="12"/>
  <c r="M32" i="12"/>
  <c r="O32" i="12" s="1"/>
  <c r="L32" i="12"/>
  <c r="E32" i="12"/>
  <c r="G32" i="12" s="1"/>
  <c r="D32" i="12"/>
  <c r="C32" i="12"/>
  <c r="AA31" i="12"/>
  <c r="Z31" i="12"/>
  <c r="Y31" i="12"/>
  <c r="U31" i="12"/>
  <c r="W31" i="12" s="1"/>
  <c r="T31" i="12"/>
  <c r="M31" i="12"/>
  <c r="O31" i="12" s="1"/>
  <c r="L31" i="12"/>
  <c r="E31" i="12"/>
  <c r="G31" i="12" s="1"/>
  <c r="X31" i="12" s="1"/>
  <c r="D31" i="12"/>
  <c r="C31" i="12"/>
  <c r="AA30" i="12"/>
  <c r="Z30" i="12"/>
  <c r="U30" i="12"/>
  <c r="W30" i="12" s="1"/>
  <c r="T30" i="12"/>
  <c r="M30" i="12"/>
  <c r="L30" i="12"/>
  <c r="G30" i="12"/>
  <c r="E30" i="12"/>
  <c r="D30" i="12"/>
  <c r="C30" i="12"/>
  <c r="AA29" i="12"/>
  <c r="Z29" i="12"/>
  <c r="U29" i="12"/>
  <c r="W29" i="12" s="1"/>
  <c r="T29" i="12"/>
  <c r="M29" i="12"/>
  <c r="O29" i="12" s="1"/>
  <c r="L29" i="12"/>
  <c r="E29" i="12"/>
  <c r="D29" i="12"/>
  <c r="C29" i="12"/>
  <c r="AA28" i="12"/>
  <c r="Z28" i="12"/>
  <c r="Y28" i="12"/>
  <c r="W28" i="12"/>
  <c r="U28" i="12"/>
  <c r="T28" i="12"/>
  <c r="O28" i="12"/>
  <c r="M28" i="12"/>
  <c r="L28" i="12"/>
  <c r="E28" i="12"/>
  <c r="G28" i="12" s="1"/>
  <c r="X28" i="12" s="1"/>
  <c r="D28" i="12"/>
  <c r="C28" i="12"/>
  <c r="AA27" i="12"/>
  <c r="Z27" i="12"/>
  <c r="U27" i="12"/>
  <c r="W27" i="12" s="1"/>
  <c r="T27" i="12"/>
  <c r="O27" i="12"/>
  <c r="M27" i="12"/>
  <c r="L27" i="12"/>
  <c r="E27" i="12"/>
  <c r="G27" i="12" s="1"/>
  <c r="D27" i="12"/>
  <c r="C27" i="12"/>
  <c r="AA26" i="12"/>
  <c r="Z26" i="12"/>
  <c r="W26" i="12"/>
  <c r="U26" i="12"/>
  <c r="T26" i="12"/>
  <c r="M26" i="12"/>
  <c r="L26" i="12"/>
  <c r="E26" i="12"/>
  <c r="G26" i="12" s="1"/>
  <c r="D26" i="12"/>
  <c r="C26" i="12"/>
  <c r="AA25" i="12"/>
  <c r="Z25" i="12"/>
  <c r="W25" i="12"/>
  <c r="U25" i="12"/>
  <c r="T25" i="12"/>
  <c r="M25" i="12"/>
  <c r="O25" i="12" s="1"/>
  <c r="L25" i="12"/>
  <c r="E25" i="12"/>
  <c r="D25" i="12"/>
  <c r="C25" i="12"/>
  <c r="AA24" i="12"/>
  <c r="Z24" i="12"/>
  <c r="U24" i="12"/>
  <c r="W24" i="12" s="1"/>
  <c r="T24" i="12"/>
  <c r="M24" i="12"/>
  <c r="O24" i="12" s="1"/>
  <c r="L24" i="12"/>
  <c r="E24" i="12"/>
  <c r="D24" i="12"/>
  <c r="C24" i="12"/>
  <c r="AA23" i="12"/>
  <c r="Z23" i="12"/>
  <c r="U23" i="12"/>
  <c r="W23" i="12" s="1"/>
  <c r="T23" i="12"/>
  <c r="O23" i="12"/>
  <c r="M23" i="12"/>
  <c r="L23" i="12"/>
  <c r="E23" i="12"/>
  <c r="G23" i="12" s="1"/>
  <c r="D23" i="12"/>
  <c r="C23" i="12"/>
  <c r="AA22" i="12"/>
  <c r="Z22" i="12"/>
  <c r="W22" i="12"/>
  <c r="U22" i="12"/>
  <c r="T22" i="12"/>
  <c r="M22" i="12"/>
  <c r="L22" i="12"/>
  <c r="E22" i="12"/>
  <c r="G22" i="12" s="1"/>
  <c r="D22" i="12"/>
  <c r="C22" i="12"/>
  <c r="AA21" i="12"/>
  <c r="Z21" i="12"/>
  <c r="W21" i="12"/>
  <c r="U21" i="12"/>
  <c r="T21" i="12"/>
  <c r="M21" i="12"/>
  <c r="O21" i="12" s="1"/>
  <c r="L21" i="12"/>
  <c r="E21" i="12"/>
  <c r="D21" i="12"/>
  <c r="C21" i="12"/>
  <c r="AA20" i="12"/>
  <c r="Z20" i="12"/>
  <c r="U20" i="12"/>
  <c r="W20" i="12" s="1"/>
  <c r="T20" i="12"/>
  <c r="M20" i="12"/>
  <c r="O20" i="12" s="1"/>
  <c r="L20" i="12"/>
  <c r="E20" i="12"/>
  <c r="D20" i="12"/>
  <c r="C20" i="12"/>
  <c r="AA19" i="12"/>
  <c r="Z19" i="12"/>
  <c r="U19" i="12"/>
  <c r="W19" i="12" s="1"/>
  <c r="T19" i="12"/>
  <c r="O19" i="12"/>
  <c r="M19" i="12"/>
  <c r="L19" i="12"/>
  <c r="E19" i="12"/>
  <c r="G19" i="12" s="1"/>
  <c r="X19" i="12" s="1"/>
  <c r="D19" i="12"/>
  <c r="C19" i="12"/>
  <c r="AA18" i="12"/>
  <c r="Z18" i="12"/>
  <c r="U18" i="12"/>
  <c r="W18" i="12" s="1"/>
  <c r="T18" i="12"/>
  <c r="M18" i="12"/>
  <c r="L18" i="12"/>
  <c r="G18" i="12"/>
  <c r="E18" i="12"/>
  <c r="D18" i="12"/>
  <c r="C18" i="12"/>
  <c r="AA17" i="12"/>
  <c r="Z17" i="12"/>
  <c r="U17" i="12"/>
  <c r="W17" i="12" s="1"/>
  <c r="T17" i="12"/>
  <c r="M17" i="12"/>
  <c r="O17" i="12" s="1"/>
  <c r="L17" i="12"/>
  <c r="E17" i="12"/>
  <c r="D17" i="12"/>
  <c r="C17" i="12"/>
  <c r="AA16" i="12"/>
  <c r="Z16" i="12"/>
  <c r="U16" i="12"/>
  <c r="W16" i="12" s="1"/>
  <c r="T16" i="12"/>
  <c r="O16" i="12"/>
  <c r="M16" i="12"/>
  <c r="L16" i="12"/>
  <c r="G16" i="12"/>
  <c r="E16" i="12"/>
  <c r="Y16" i="12" s="1"/>
  <c r="D16" i="12"/>
  <c r="C16" i="12"/>
  <c r="AA15" i="12"/>
  <c r="Z15" i="12"/>
  <c r="U15" i="12"/>
  <c r="W15" i="12" s="1"/>
  <c r="T15" i="12"/>
  <c r="O15" i="12"/>
  <c r="M15" i="12"/>
  <c r="L15" i="12"/>
  <c r="E15" i="12"/>
  <c r="Y15" i="12" s="1"/>
  <c r="D15" i="12"/>
  <c r="C15" i="12"/>
  <c r="AA14" i="12"/>
  <c r="Z14" i="12"/>
  <c r="W14" i="12"/>
  <c r="U14" i="12"/>
  <c r="T14" i="12"/>
  <c r="M14" i="12"/>
  <c r="O14" i="12" s="1"/>
  <c r="L14" i="12"/>
  <c r="G14" i="12"/>
  <c r="E14" i="12"/>
  <c r="D14" i="12"/>
  <c r="C14" i="12"/>
  <c r="AA13" i="12"/>
  <c r="Z13" i="12"/>
  <c r="U13" i="12"/>
  <c r="W13" i="12" s="1"/>
  <c r="T13" i="12"/>
  <c r="O13" i="12"/>
  <c r="M13" i="12"/>
  <c r="L13" i="12"/>
  <c r="E13" i="12"/>
  <c r="D13" i="12"/>
  <c r="C13" i="12"/>
  <c r="AD11" i="12"/>
  <c r="AC11" i="12"/>
  <c r="AB11" i="12"/>
  <c r="W10" i="12"/>
  <c r="T10" i="12"/>
  <c r="O10" i="12"/>
  <c r="L10" i="12"/>
  <c r="X10" i="12" s="1"/>
  <c r="G10" i="12"/>
  <c r="P8" i="12" a="1"/>
  <c r="P8" i="12" s="1"/>
  <c r="AA12" i="12" s="1" a="1"/>
  <c r="AA12" i="12" s="1"/>
  <c r="E8" i="12"/>
  <c r="O8" i="12" s="1"/>
  <c r="E8" i="12" a="1"/>
  <c r="J5" i="12"/>
  <c r="F74" i="12" s="1"/>
  <c r="D5" i="12"/>
  <c r="X48" i="12" l="1"/>
  <c r="X32" i="12"/>
  <c r="Y14" i="12"/>
  <c r="Y20" i="12"/>
  <c r="AB20" i="12" s="1"/>
  <c r="Y24" i="12"/>
  <c r="Y27" i="12"/>
  <c r="X35" i="12"/>
  <c r="AD42" i="12"/>
  <c r="X44" i="12"/>
  <c r="Y48" i="12"/>
  <c r="AD46" i="12"/>
  <c r="G47" i="12"/>
  <c r="X47" i="12" s="1"/>
  <c r="X16" i="12"/>
  <c r="Y32" i="12"/>
  <c r="Y40" i="12"/>
  <c r="AB24" i="12"/>
  <c r="AC12" i="12" a="1"/>
  <c r="AC12" i="12" s="1"/>
  <c r="Z12" i="12" a="1"/>
  <c r="Z12" i="12" s="1"/>
  <c r="AC25" i="12" s="1"/>
  <c r="Z8" i="12"/>
  <c r="AB12" i="12" a="1"/>
  <c r="AB12" i="12" s="1"/>
  <c r="Y12" i="12" a="1"/>
  <c r="Y12" i="12" s="1"/>
  <c r="AB14" i="12" s="1"/>
  <c r="AD12" i="12" a="1"/>
  <c r="AD12" i="12" s="1"/>
  <c r="AD26" i="12"/>
  <c r="AC31" i="12"/>
  <c r="AC27" i="12"/>
  <c r="AD47" i="12"/>
  <c r="AD38" i="12"/>
  <c r="AD31" i="12"/>
  <c r="AD22" i="12"/>
  <c r="AD15" i="12"/>
  <c r="AD13" i="12"/>
  <c r="AD35" i="12"/>
  <c r="AD19" i="12"/>
  <c r="AD27" i="12"/>
  <c r="AD39" i="12"/>
  <c r="AD23" i="12"/>
  <c r="AD43" i="12"/>
  <c r="AD34" i="12"/>
  <c r="AD18" i="12"/>
  <c r="AB36" i="12"/>
  <c r="AD14" i="12"/>
  <c r="AD30" i="12"/>
  <c r="AB44" i="12"/>
  <c r="Y25" i="12"/>
  <c r="AB25" i="12" s="1"/>
  <c r="G25" i="12"/>
  <c r="X25" i="12" s="1"/>
  <c r="Y26" i="12"/>
  <c r="AB26" i="12" s="1"/>
  <c r="O26" i="12"/>
  <c r="AD45" i="12"/>
  <c r="G15" i="12"/>
  <c r="X15" i="12" s="1"/>
  <c r="Y21" i="12"/>
  <c r="AB21" i="12" s="1"/>
  <c r="G21" i="12"/>
  <c r="X21" i="12" s="1"/>
  <c r="Y22" i="12"/>
  <c r="AB22" i="12" s="1"/>
  <c r="O22" i="12"/>
  <c r="X22" i="12" s="1"/>
  <c r="Y23" i="12"/>
  <c r="AB23" i="12" s="1"/>
  <c r="G24" i="12"/>
  <c r="X24" i="12" s="1"/>
  <c r="AD25" i="12"/>
  <c r="AD32" i="12"/>
  <c r="Y37" i="12"/>
  <c r="AB37" i="12" s="1"/>
  <c r="G37" i="12"/>
  <c r="X37" i="12" s="1"/>
  <c r="Y38" i="12"/>
  <c r="AB38" i="12" s="1"/>
  <c r="O38" i="12"/>
  <c r="AC38" i="12"/>
  <c r="Y39" i="12"/>
  <c r="AB39" i="12" s="1"/>
  <c r="G40" i="12"/>
  <c r="X40" i="12" s="1"/>
  <c r="AD41" i="12"/>
  <c r="AD48" i="12"/>
  <c r="Y13" i="12"/>
  <c r="AB13" i="12" s="1"/>
  <c r="G13" i="12"/>
  <c r="X13" i="12" s="1"/>
  <c r="AB27" i="12"/>
  <c r="AD16" i="12"/>
  <c r="AC21" i="12"/>
  <c r="Y17" i="12"/>
  <c r="AB17" i="12" s="1"/>
  <c r="G17" i="12"/>
  <c r="X17" i="12" s="1"/>
  <c r="Y18" i="12"/>
  <c r="AB18" i="12" s="1"/>
  <c r="O18" i="12"/>
  <c r="X18" i="12" s="1"/>
  <c r="Y19" i="12"/>
  <c r="AB19" i="12" s="1"/>
  <c r="G20" i="12"/>
  <c r="X20" i="12" s="1"/>
  <c r="AD21" i="12"/>
  <c r="X26" i="12"/>
  <c r="X27" i="12"/>
  <c r="AD28" i="12"/>
  <c r="Y33" i="12"/>
  <c r="AB33" i="12" s="1"/>
  <c r="G33" i="12"/>
  <c r="X33" i="12" s="1"/>
  <c r="Y34" i="12"/>
  <c r="AB34" i="12" s="1"/>
  <c r="O34" i="12"/>
  <c r="X34" i="12" s="1"/>
  <c r="Y35" i="12"/>
  <c r="AB35" i="12" s="1"/>
  <c r="G36" i="12"/>
  <c r="X36" i="12" s="1"/>
  <c r="AD37" i="12"/>
  <c r="X43" i="12"/>
  <c r="AD44" i="12"/>
  <c r="Y49" i="12"/>
  <c r="AB49" i="12" s="1"/>
  <c r="G49" i="12"/>
  <c r="X49" i="12" s="1"/>
  <c r="AD49" i="12"/>
  <c r="AC13" i="12"/>
  <c r="AD20" i="12"/>
  <c r="AD29" i="12"/>
  <c r="AD36" i="12"/>
  <c r="Y41" i="12"/>
  <c r="AB41" i="12" s="1"/>
  <c r="G41" i="12"/>
  <c r="X41" i="12" s="1"/>
  <c r="Y42" i="12"/>
  <c r="AB42" i="12" s="1"/>
  <c r="O42" i="12"/>
  <c r="X42" i="12" s="1"/>
  <c r="X14" i="12"/>
  <c r="AD17" i="12"/>
  <c r="X23" i="12"/>
  <c r="AD24" i="12"/>
  <c r="Y29" i="12"/>
  <c r="AB29" i="12" s="1"/>
  <c r="G29" i="12"/>
  <c r="X29" i="12" s="1"/>
  <c r="Y30" i="12"/>
  <c r="AB30" i="12" s="1"/>
  <c r="O30" i="12"/>
  <c r="X30" i="12" s="1"/>
  <c r="AC30" i="12"/>
  <c r="AB31" i="12"/>
  <c r="AD33" i="12"/>
  <c r="X38" i="12"/>
  <c r="X39" i="12"/>
  <c r="AD40" i="12"/>
  <c r="Y45" i="12"/>
  <c r="AB45" i="12" s="1"/>
  <c r="G45" i="12"/>
  <c r="X45" i="12" s="1"/>
  <c r="AC45" i="12"/>
  <c r="Y46" i="12"/>
  <c r="AB46" i="12" s="1"/>
  <c r="O46" i="12"/>
  <c r="X46" i="12" s="1"/>
  <c r="AC46" i="12"/>
  <c r="AB47" i="12"/>
  <c r="AC33" i="12" l="1"/>
  <c r="AB16" i="12"/>
  <c r="AC48" i="12"/>
  <c r="AC32" i="12"/>
  <c r="AC16" i="12"/>
  <c r="AC44" i="12"/>
  <c r="AC39" i="12"/>
  <c r="AC36" i="12"/>
  <c r="AC20" i="12"/>
  <c r="AC28" i="12"/>
  <c r="AC14" i="12"/>
  <c r="AC40" i="12"/>
  <c r="AC35" i="12"/>
  <c r="AC24" i="12"/>
  <c r="AC19" i="12"/>
  <c r="AC23" i="12"/>
  <c r="AC41" i="12"/>
  <c r="AC17" i="12"/>
  <c r="AC29" i="12"/>
  <c r="AC42" i="12"/>
  <c r="AC26" i="12"/>
  <c r="AC34" i="12"/>
  <c r="AC18" i="12"/>
  <c r="AC49" i="12"/>
  <c r="AB43" i="12"/>
  <c r="AC43" i="12"/>
  <c r="G59" i="12"/>
  <c r="H59" i="12"/>
  <c r="AB40" i="12"/>
  <c r="AB15" i="12"/>
  <c r="AB48" i="12"/>
  <c r="AC15" i="12"/>
  <c r="AC37" i="12"/>
  <c r="AC22" i="12"/>
  <c r="AB32" i="12"/>
  <c r="AB28" i="12"/>
  <c r="AC47" i="12"/>
  <c r="H58" i="12" l="1"/>
  <c r="H57" i="12"/>
  <c r="G57" i="12"/>
  <c r="G58" i="12"/>
  <c r="F59" i="11" l="1"/>
  <c r="F58" i="11"/>
  <c r="F57" i="11"/>
  <c r="Z49" i="11"/>
  <c r="U49" i="11"/>
  <c r="W49" i="11" s="1"/>
  <c r="T49" i="11"/>
  <c r="M49" i="11"/>
  <c r="O49" i="11" s="1"/>
  <c r="L49" i="11"/>
  <c r="E49" i="11"/>
  <c r="Y49" i="11" s="1"/>
  <c r="D49" i="11"/>
  <c r="C49" i="11"/>
  <c r="U48" i="11"/>
  <c r="Z48" i="11" s="1"/>
  <c r="T48" i="11"/>
  <c r="M48" i="11"/>
  <c r="O48" i="11" s="1"/>
  <c r="L48" i="11"/>
  <c r="E48" i="11"/>
  <c r="Y48" i="11" s="1"/>
  <c r="D48" i="11"/>
  <c r="C48" i="11"/>
  <c r="U47" i="11"/>
  <c r="Z47" i="11" s="1"/>
  <c r="T47" i="11"/>
  <c r="M47" i="11"/>
  <c r="AA47" i="11" s="1"/>
  <c r="L47" i="11"/>
  <c r="E47" i="11"/>
  <c r="D47" i="11"/>
  <c r="C47" i="11"/>
  <c r="U46" i="11"/>
  <c r="W46" i="11" s="1"/>
  <c r="T46" i="11"/>
  <c r="M46" i="11"/>
  <c r="AA46" i="11" s="1"/>
  <c r="L46" i="11"/>
  <c r="E46" i="11"/>
  <c r="G46" i="11" s="1"/>
  <c r="D46" i="11"/>
  <c r="C46" i="11"/>
  <c r="Z45" i="11"/>
  <c r="Y45" i="11"/>
  <c r="U45" i="11"/>
  <c r="W45" i="11" s="1"/>
  <c r="T45" i="11"/>
  <c r="M45" i="11"/>
  <c r="O45" i="11" s="1"/>
  <c r="L45" i="11"/>
  <c r="E45" i="11"/>
  <c r="G45" i="11" s="1"/>
  <c r="D45" i="11"/>
  <c r="C45" i="11"/>
  <c r="Y44" i="11"/>
  <c r="U44" i="11"/>
  <c r="W44" i="11" s="1"/>
  <c r="T44" i="11"/>
  <c r="M44" i="11"/>
  <c r="O44" i="11" s="1"/>
  <c r="L44" i="11"/>
  <c r="G44" i="11"/>
  <c r="E44" i="11"/>
  <c r="D44" i="11"/>
  <c r="C44" i="11"/>
  <c r="AA43" i="11"/>
  <c r="U43" i="11"/>
  <c r="Z43" i="11" s="1"/>
  <c r="T43" i="11"/>
  <c r="O43" i="11"/>
  <c r="M43" i="11"/>
  <c r="L43" i="11"/>
  <c r="E43" i="11"/>
  <c r="D43" i="11"/>
  <c r="C43" i="11"/>
  <c r="U42" i="11"/>
  <c r="Z42" i="11" s="1"/>
  <c r="T42" i="11"/>
  <c r="M42" i="11"/>
  <c r="AA42" i="11" s="1"/>
  <c r="L42" i="11"/>
  <c r="E42" i="11"/>
  <c r="G42" i="11" s="1"/>
  <c r="D42" i="11"/>
  <c r="C42" i="11"/>
  <c r="Y41" i="11"/>
  <c r="U41" i="11"/>
  <c r="W41" i="11" s="1"/>
  <c r="T41" i="11"/>
  <c r="M41" i="11"/>
  <c r="AA41" i="11" s="1"/>
  <c r="L41" i="11"/>
  <c r="G41" i="11"/>
  <c r="E41" i="11"/>
  <c r="D41" i="11"/>
  <c r="C41" i="11"/>
  <c r="AA40" i="11"/>
  <c r="U40" i="11"/>
  <c r="W40" i="11" s="1"/>
  <c r="T40" i="11"/>
  <c r="M40" i="11"/>
  <c r="O40" i="11" s="1"/>
  <c r="L40" i="11"/>
  <c r="E40" i="11"/>
  <c r="Y40" i="11" s="1"/>
  <c r="D40" i="11"/>
  <c r="C40" i="11"/>
  <c r="W39" i="11"/>
  <c r="U39" i="11"/>
  <c r="Z39" i="11" s="1"/>
  <c r="T39" i="11"/>
  <c r="M39" i="11"/>
  <c r="AA39" i="11" s="1"/>
  <c r="L39" i="11"/>
  <c r="E39" i="11"/>
  <c r="D39" i="11"/>
  <c r="C39" i="11"/>
  <c r="U38" i="11"/>
  <c r="Z38" i="11" s="1"/>
  <c r="T38" i="11"/>
  <c r="M38" i="11"/>
  <c r="AA38" i="11" s="1"/>
  <c r="L38" i="11"/>
  <c r="G38" i="11"/>
  <c r="E38" i="11"/>
  <c r="Y38" i="11" s="1"/>
  <c r="D38" i="11"/>
  <c r="C38" i="11"/>
  <c r="Z37" i="11"/>
  <c r="U37" i="11"/>
  <c r="W37" i="11" s="1"/>
  <c r="T37" i="11"/>
  <c r="O37" i="11"/>
  <c r="M37" i="11"/>
  <c r="AA37" i="11" s="1"/>
  <c r="L37" i="11"/>
  <c r="E37" i="11"/>
  <c r="Y37" i="11" s="1"/>
  <c r="D37" i="11"/>
  <c r="C37" i="11"/>
  <c r="Z36" i="11"/>
  <c r="U36" i="11"/>
  <c r="W36" i="11" s="1"/>
  <c r="T36" i="11"/>
  <c r="M36" i="11"/>
  <c r="O36" i="11" s="1"/>
  <c r="L36" i="11"/>
  <c r="E36" i="11"/>
  <c r="Y36" i="11" s="1"/>
  <c r="D36" i="11"/>
  <c r="C36" i="11"/>
  <c r="U35" i="11"/>
  <c r="Z35" i="11" s="1"/>
  <c r="T35" i="11"/>
  <c r="M35" i="11"/>
  <c r="AA35" i="11" s="1"/>
  <c r="L35" i="11"/>
  <c r="E35" i="11"/>
  <c r="D35" i="11"/>
  <c r="C35" i="11"/>
  <c r="U34" i="11"/>
  <c r="Z34" i="11" s="1"/>
  <c r="T34" i="11"/>
  <c r="O34" i="11"/>
  <c r="M34" i="11"/>
  <c r="AA34" i="11" s="1"/>
  <c r="L34" i="11"/>
  <c r="E34" i="11"/>
  <c r="G34" i="11" s="1"/>
  <c r="D34" i="11"/>
  <c r="C34" i="11"/>
  <c r="Z33" i="11"/>
  <c r="Y33" i="11"/>
  <c r="U33" i="11"/>
  <c r="W33" i="11" s="1"/>
  <c r="T33" i="11"/>
  <c r="M33" i="11"/>
  <c r="AA33" i="11" s="1"/>
  <c r="L33" i="11"/>
  <c r="E33" i="11"/>
  <c r="G33" i="11" s="1"/>
  <c r="D33" i="11"/>
  <c r="C33" i="11"/>
  <c r="Z32" i="11"/>
  <c r="Y32" i="11"/>
  <c r="U32" i="11"/>
  <c r="W32" i="11" s="1"/>
  <c r="T32" i="11"/>
  <c r="M32" i="11"/>
  <c r="O32" i="11" s="1"/>
  <c r="L32" i="11"/>
  <c r="E32" i="11"/>
  <c r="G32" i="11" s="1"/>
  <c r="D32" i="11"/>
  <c r="C32" i="11"/>
  <c r="U31" i="11"/>
  <c r="Z31" i="11" s="1"/>
  <c r="T31" i="11"/>
  <c r="M31" i="11"/>
  <c r="AA31" i="11" s="1"/>
  <c r="L31" i="11"/>
  <c r="E31" i="11"/>
  <c r="D31" i="11"/>
  <c r="C31" i="11"/>
  <c r="W30" i="11"/>
  <c r="U30" i="11"/>
  <c r="Z30" i="11" s="1"/>
  <c r="T30" i="11"/>
  <c r="M30" i="11"/>
  <c r="AA30" i="11" s="1"/>
  <c r="L30" i="11"/>
  <c r="E30" i="11"/>
  <c r="G30" i="11" s="1"/>
  <c r="D30" i="11"/>
  <c r="C30" i="11"/>
  <c r="Y29" i="11"/>
  <c r="U29" i="11"/>
  <c r="W29" i="11" s="1"/>
  <c r="T29" i="11"/>
  <c r="M29" i="11"/>
  <c r="AA29" i="11" s="1"/>
  <c r="L29" i="11"/>
  <c r="E29" i="11"/>
  <c r="G29" i="11" s="1"/>
  <c r="D29" i="11"/>
  <c r="C29" i="11"/>
  <c r="Y28" i="11"/>
  <c r="U28" i="11"/>
  <c r="W28" i="11" s="1"/>
  <c r="T28" i="11"/>
  <c r="M28" i="11"/>
  <c r="O28" i="11" s="1"/>
  <c r="L28" i="11"/>
  <c r="G28" i="11"/>
  <c r="E28" i="11"/>
  <c r="D28" i="11"/>
  <c r="C28" i="11"/>
  <c r="AA27" i="11"/>
  <c r="U27" i="11"/>
  <c r="Z27" i="11" s="1"/>
  <c r="T27" i="11"/>
  <c r="O27" i="11"/>
  <c r="M27" i="11"/>
  <c r="L27" i="11"/>
  <c r="E27" i="11"/>
  <c r="D27" i="11"/>
  <c r="C27" i="11"/>
  <c r="Y26" i="11"/>
  <c r="U26" i="11"/>
  <c r="Z26" i="11" s="1"/>
  <c r="T26" i="11"/>
  <c r="O26" i="11"/>
  <c r="M26" i="11"/>
  <c r="AA26" i="11" s="1"/>
  <c r="L26" i="11"/>
  <c r="E26" i="11"/>
  <c r="G26" i="11" s="1"/>
  <c r="D26" i="11"/>
  <c r="C26" i="11"/>
  <c r="Y25" i="11"/>
  <c r="U25" i="11"/>
  <c r="W25" i="11" s="1"/>
  <c r="T25" i="11"/>
  <c r="M25" i="11"/>
  <c r="AA25" i="11" s="1"/>
  <c r="L25" i="11"/>
  <c r="G25" i="11"/>
  <c r="E25" i="11"/>
  <c r="D25" i="11"/>
  <c r="C25" i="11"/>
  <c r="AA24" i="11"/>
  <c r="Y24" i="11"/>
  <c r="U24" i="11"/>
  <c r="W24" i="11" s="1"/>
  <c r="T24" i="11"/>
  <c r="M24" i="11"/>
  <c r="O24" i="11" s="1"/>
  <c r="L24" i="11"/>
  <c r="E24" i="11"/>
  <c r="G24" i="11" s="1"/>
  <c r="D24" i="11"/>
  <c r="C24" i="11"/>
  <c r="U23" i="11"/>
  <c r="Z23" i="11" s="1"/>
  <c r="T23" i="11"/>
  <c r="O23" i="11"/>
  <c r="M23" i="11"/>
  <c r="AA23" i="11" s="1"/>
  <c r="L23" i="11"/>
  <c r="E23" i="11"/>
  <c r="D23" i="11"/>
  <c r="C23" i="11"/>
  <c r="W22" i="11"/>
  <c r="U22" i="11"/>
  <c r="Z22" i="11" s="1"/>
  <c r="T22" i="11"/>
  <c r="M22" i="11"/>
  <c r="AA22" i="11" s="1"/>
  <c r="L22" i="11"/>
  <c r="E22" i="11"/>
  <c r="Y22" i="11" s="1"/>
  <c r="D22" i="11"/>
  <c r="C22" i="11"/>
  <c r="U21" i="11"/>
  <c r="W21" i="11" s="1"/>
  <c r="T21" i="11"/>
  <c r="O21" i="11"/>
  <c r="M21" i="11"/>
  <c r="AA21" i="11" s="1"/>
  <c r="L21" i="11"/>
  <c r="E21" i="11"/>
  <c r="Y21" i="11" s="1"/>
  <c r="D21" i="11"/>
  <c r="C21" i="11"/>
  <c r="Z20" i="11"/>
  <c r="U20" i="11"/>
  <c r="W20" i="11" s="1"/>
  <c r="T20" i="11"/>
  <c r="M20" i="11"/>
  <c r="O20" i="11" s="1"/>
  <c r="L20" i="11"/>
  <c r="E20" i="11"/>
  <c r="Y20" i="11" s="1"/>
  <c r="D20" i="11"/>
  <c r="C20" i="11"/>
  <c r="U19" i="11"/>
  <c r="Z19" i="11" s="1"/>
  <c r="T19" i="11"/>
  <c r="M19" i="11"/>
  <c r="AA19" i="11" s="1"/>
  <c r="L19" i="11"/>
  <c r="E19" i="11"/>
  <c r="D19" i="11"/>
  <c r="C19" i="11"/>
  <c r="Y18" i="11"/>
  <c r="W18" i="11"/>
  <c r="U18" i="11"/>
  <c r="Z18" i="11" s="1"/>
  <c r="T18" i="11"/>
  <c r="M18" i="11"/>
  <c r="AA18" i="11" s="1"/>
  <c r="L18" i="11"/>
  <c r="E18" i="11"/>
  <c r="G18" i="11" s="1"/>
  <c r="D18" i="11"/>
  <c r="C18" i="11"/>
  <c r="Y17" i="11"/>
  <c r="U17" i="11"/>
  <c r="W17" i="11" s="1"/>
  <c r="T17" i="11"/>
  <c r="M17" i="11"/>
  <c r="AA17" i="11" s="1"/>
  <c r="L17" i="11"/>
  <c r="E17" i="11"/>
  <c r="G17" i="11" s="1"/>
  <c r="D17" i="11"/>
  <c r="C17" i="11"/>
  <c r="W16" i="11"/>
  <c r="U16" i="11"/>
  <c r="Z16" i="11" s="1"/>
  <c r="T16" i="11"/>
  <c r="M16" i="11"/>
  <c r="AA16" i="11" s="1"/>
  <c r="L16" i="11"/>
  <c r="E16" i="11"/>
  <c r="G16" i="11" s="1"/>
  <c r="D16" i="11"/>
  <c r="C16" i="11"/>
  <c r="Y15" i="11"/>
  <c r="U15" i="11"/>
  <c r="W15" i="11" s="1"/>
  <c r="T15" i="11"/>
  <c r="M15" i="11"/>
  <c r="AA15" i="11" s="1"/>
  <c r="L15" i="11"/>
  <c r="G15" i="11"/>
  <c r="E15" i="11"/>
  <c r="D15" i="11"/>
  <c r="C15" i="11"/>
  <c r="AA14" i="11"/>
  <c r="U14" i="11"/>
  <c r="W14" i="11" s="1"/>
  <c r="T14" i="11"/>
  <c r="M14" i="11"/>
  <c r="O14" i="11" s="1"/>
  <c r="L14" i="11"/>
  <c r="E14" i="11"/>
  <c r="Y14" i="11" s="1"/>
  <c r="D14" i="11"/>
  <c r="C14" i="11"/>
  <c r="AA13" i="11"/>
  <c r="W13" i="11"/>
  <c r="U13" i="11"/>
  <c r="Z13" i="11" s="1"/>
  <c r="T13" i="11"/>
  <c r="M13" i="11"/>
  <c r="O13" i="11" s="1"/>
  <c r="L13" i="11"/>
  <c r="E13" i="11"/>
  <c r="Y13" i="11" s="1"/>
  <c r="D13" i="11"/>
  <c r="C13" i="11"/>
  <c r="AD12" i="11" a="1"/>
  <c r="AD12" i="11" s="1"/>
  <c r="AD11" i="11"/>
  <c r="AC11" i="11"/>
  <c r="AB11" i="11"/>
  <c r="W10" i="11"/>
  <c r="T10" i="11"/>
  <c r="O10" i="11"/>
  <c r="L10" i="11"/>
  <c r="X10" i="11" s="1"/>
  <c r="G10" i="11"/>
  <c r="P8" i="11" a="1"/>
  <c r="P8" i="11" s="1"/>
  <c r="E8" i="11" a="1"/>
  <c r="E8" i="11" s="1"/>
  <c r="O8" i="11" s="1"/>
  <c r="J5" i="11"/>
  <c r="F74" i="11" s="1"/>
  <c r="D5" i="11"/>
  <c r="X18" i="11" l="1"/>
  <c r="AC12" i="11" a="1"/>
  <c r="AC12" i="11" s="1"/>
  <c r="Z12" i="11" a="1"/>
  <c r="Z12" i="11" s="1"/>
  <c r="G14" i="11"/>
  <c r="X14" i="11" s="1"/>
  <c r="O16" i="11"/>
  <c r="O18" i="11"/>
  <c r="Z17" i="11"/>
  <c r="AC17" i="11" s="1"/>
  <c r="AC26" i="11"/>
  <c r="Y34" i="11"/>
  <c r="AC37" i="11"/>
  <c r="AC42" i="11"/>
  <c r="AC49" i="11"/>
  <c r="AB12" i="11" a="1"/>
  <c r="AB12" i="11" s="1"/>
  <c r="X15" i="11"/>
  <c r="AA20" i="11"/>
  <c r="G21" i="11"/>
  <c r="X16" i="11"/>
  <c r="O17" i="11"/>
  <c r="W19" i="11"/>
  <c r="G20" i="11"/>
  <c r="X21" i="11"/>
  <c r="AC13" i="11"/>
  <c r="Z14" i="11"/>
  <c r="O15" i="11"/>
  <c r="Z15" i="11"/>
  <c r="AC15" i="11" s="1"/>
  <c r="X17" i="11"/>
  <c r="W26" i="11"/>
  <c r="X26" i="11" s="1"/>
  <c r="O30" i="11"/>
  <c r="X30" i="11" s="1"/>
  <c r="Y30" i="11"/>
  <c r="O33" i="11"/>
  <c r="W35" i="11"/>
  <c r="AA36" i="11"/>
  <c r="G37" i="11"/>
  <c r="X37" i="11" s="1"/>
  <c r="O39" i="11"/>
  <c r="G40" i="11"/>
  <c r="W42" i="11"/>
  <c r="W47" i="11"/>
  <c r="W48" i="11"/>
  <c r="Z28" i="11"/>
  <c r="O29" i="11"/>
  <c r="Z29" i="11"/>
  <c r="AC29" i="11" s="1"/>
  <c r="W31" i="11"/>
  <c r="AA32" i="11"/>
  <c r="O35" i="11"/>
  <c r="G36" i="11"/>
  <c r="X36" i="11" s="1"/>
  <c r="W38" i="11"/>
  <c r="O42" i="11"/>
  <c r="X42" i="11" s="1"/>
  <c r="Y42" i="11"/>
  <c r="Z44" i="11"/>
  <c r="AC44" i="11" s="1"/>
  <c r="G49" i="11"/>
  <c r="X49" i="11" s="1"/>
  <c r="Z24" i="11"/>
  <c r="O25" i="11"/>
  <c r="Z25" i="11"/>
  <c r="W27" i="11"/>
  <c r="AA28" i="11"/>
  <c r="O31" i="11"/>
  <c r="W34" i="11"/>
  <c r="X34" i="11" s="1"/>
  <c r="O38" i="11"/>
  <c r="X38" i="11" s="1"/>
  <c r="Z40" i="11"/>
  <c r="O41" i="11"/>
  <c r="Z41" i="11"/>
  <c r="AC41" i="11" s="1"/>
  <c r="W43" i="11"/>
  <c r="AA44" i="11"/>
  <c r="O46" i="11"/>
  <c r="X46" i="11" s="1"/>
  <c r="AC14" i="11"/>
  <c r="AC16" i="11"/>
  <c r="AC18" i="11"/>
  <c r="AC33" i="11"/>
  <c r="AC38" i="11"/>
  <c r="AC45" i="11"/>
  <c r="AC20" i="11"/>
  <c r="AC34" i="11"/>
  <c r="AC22" i="11"/>
  <c r="AC19" i="11"/>
  <c r="AC25" i="11"/>
  <c r="AC30" i="11"/>
  <c r="Y23" i="11"/>
  <c r="G23" i="11"/>
  <c r="AC28" i="11"/>
  <c r="AC32" i="11"/>
  <c r="Y35" i="11"/>
  <c r="G35" i="11"/>
  <c r="X35" i="11" s="1"/>
  <c r="Y43" i="11"/>
  <c r="G43" i="11"/>
  <c r="O22" i="11"/>
  <c r="AC27" i="11"/>
  <c r="AC35" i="11"/>
  <c r="AC39" i="11"/>
  <c r="X40" i="11"/>
  <c r="AC24" i="11"/>
  <c r="Y27" i="11"/>
  <c r="G27" i="11"/>
  <c r="AC36" i="11"/>
  <c r="Y39" i="11"/>
  <c r="G39" i="11"/>
  <c r="Y16" i="11"/>
  <c r="O19" i="11"/>
  <c r="X20" i="11"/>
  <c r="AC31" i="11"/>
  <c r="X32" i="11"/>
  <c r="AC43" i="11"/>
  <c r="X44" i="11"/>
  <c r="Y46" i="11"/>
  <c r="O47" i="11"/>
  <c r="AA48" i="11"/>
  <c r="G13" i="11"/>
  <c r="X13" i="11" s="1"/>
  <c r="Y19" i="11"/>
  <c r="G19" i="11"/>
  <c r="G22" i="11"/>
  <c r="X22" i="11" s="1"/>
  <c r="W23" i="11"/>
  <c r="X25" i="11"/>
  <c r="X29" i="11"/>
  <c r="X33" i="11"/>
  <c r="X41" i="11"/>
  <c r="X45" i="11"/>
  <c r="Y47" i="11"/>
  <c r="G47" i="11"/>
  <c r="Y31" i="11"/>
  <c r="G31" i="11"/>
  <c r="X31" i="11" s="1"/>
  <c r="AC40" i="11"/>
  <c r="AC48" i="11"/>
  <c r="Z8" i="11"/>
  <c r="AC23" i="11"/>
  <c r="X24" i="11"/>
  <c r="X28" i="11"/>
  <c r="Y12" i="11" a="1"/>
  <c r="Y12" i="11" s="1"/>
  <c r="AB14" i="11" s="1"/>
  <c r="AA12" i="11" a="1"/>
  <c r="AA12" i="11" s="1"/>
  <c r="AD19" i="11" s="1"/>
  <c r="Z21" i="11"/>
  <c r="AC21" i="11" s="1"/>
  <c r="AB28" i="11"/>
  <c r="AC47" i="11"/>
  <c r="AA45" i="11"/>
  <c r="Z46" i="11"/>
  <c r="AC46" i="11" s="1"/>
  <c r="AA49" i="11"/>
  <c r="AD49" i="11" s="1"/>
  <c r="G48" i="11"/>
  <c r="G58" i="11" l="1"/>
  <c r="H58" i="11"/>
  <c r="X19" i="11"/>
  <c r="X27" i="11"/>
  <c r="AD45" i="11"/>
  <c r="AB40" i="11"/>
  <c r="X39" i="11"/>
  <c r="X43" i="11"/>
  <c r="AB47" i="11"/>
  <c r="AB44" i="11"/>
  <c r="AB24" i="11"/>
  <c r="X48" i="11"/>
  <c r="AB49" i="11"/>
  <c r="AB36" i="11"/>
  <c r="AB37" i="11"/>
  <c r="AB29" i="11"/>
  <c r="AB48" i="11"/>
  <c r="AB19" i="11"/>
  <c r="AB46" i="11"/>
  <c r="AD34" i="11"/>
  <c r="AD43" i="11"/>
  <c r="AB33" i="11"/>
  <c r="AD39" i="11"/>
  <c r="AD44" i="11"/>
  <c r="AD28" i="11"/>
  <c r="AD13" i="11"/>
  <c r="AD33" i="11"/>
  <c r="AD41" i="11"/>
  <c r="AD25" i="11"/>
  <c r="AB13" i="11"/>
  <c r="AD22" i="11"/>
  <c r="AB45" i="11"/>
  <c r="AB32" i="11"/>
  <c r="AB20" i="11"/>
  <c r="AD26" i="11"/>
  <c r="AD35" i="11"/>
  <c r="AD27" i="11"/>
  <c r="X47" i="11"/>
  <c r="AD18" i="11"/>
  <c r="AD31" i="11"/>
  <c r="AD42" i="11"/>
  <c r="AB25" i="11"/>
  <c r="AB18" i="11"/>
  <c r="AB15" i="11"/>
  <c r="AB21" i="11"/>
  <c r="AD24" i="11"/>
  <c r="AD36" i="11"/>
  <c r="AD21" i="11"/>
  <c r="AD48" i="11"/>
  <c r="AB16" i="11"/>
  <c r="AB39" i="11"/>
  <c r="AD30" i="11"/>
  <c r="AB43" i="11"/>
  <c r="AB35" i="11"/>
  <c r="X23" i="11"/>
  <c r="AD37" i="11"/>
  <c r="AB22" i="11"/>
  <c r="AB17" i="11"/>
  <c r="AD15" i="11"/>
  <c r="AD32" i="11"/>
  <c r="AD14" i="11"/>
  <c r="AD17" i="11"/>
  <c r="AD23" i="11"/>
  <c r="AB38" i="11"/>
  <c r="AB26" i="11"/>
  <c r="AB42" i="11"/>
  <c r="AB34" i="11"/>
  <c r="AB30" i="11"/>
  <c r="AB31" i="11"/>
  <c r="AD38" i="11"/>
  <c r="AD46" i="11"/>
  <c r="AB27" i="11"/>
  <c r="AB41" i="11"/>
  <c r="AB23" i="11"/>
  <c r="AD20" i="11"/>
  <c r="AD40" i="11"/>
  <c r="AD47" i="11"/>
  <c r="AD16" i="11"/>
  <c r="AD29" i="11"/>
  <c r="G57" i="11" l="1"/>
  <c r="H57" i="11"/>
  <c r="H59" i="11"/>
  <c r="G59" i="11"/>
  <c r="F59" i="10" l="1"/>
  <c r="F58" i="10"/>
  <c r="F57" i="10"/>
  <c r="Z49" i="10"/>
  <c r="AE49" i="10" s="1"/>
  <c r="C44" i="17" s="1"/>
  <c r="T44" i="17" s="1"/>
  <c r="Y49" i="10"/>
  <c r="U49" i="10"/>
  <c r="W49" i="10" s="1"/>
  <c r="T49" i="10"/>
  <c r="M49" i="10"/>
  <c r="O49" i="10" s="1"/>
  <c r="L49" i="10"/>
  <c r="E49" i="10"/>
  <c r="G49" i="10" s="1"/>
  <c r="D49" i="10"/>
  <c r="C49" i="10"/>
  <c r="Y48" i="10"/>
  <c r="U48" i="10"/>
  <c r="W48" i="10" s="1"/>
  <c r="T48" i="10"/>
  <c r="M48" i="10"/>
  <c r="O48" i="10" s="1"/>
  <c r="L48" i="10"/>
  <c r="E48" i="10"/>
  <c r="G48" i="10" s="1"/>
  <c r="D48" i="10"/>
  <c r="C48" i="10"/>
  <c r="AA47" i="10"/>
  <c r="AF47" i="10" s="1"/>
  <c r="D42" i="17" s="1"/>
  <c r="U42" i="17" s="1"/>
  <c r="Y47" i="10"/>
  <c r="W47" i="10"/>
  <c r="U47" i="10"/>
  <c r="T47" i="10"/>
  <c r="O47" i="10"/>
  <c r="M47" i="10"/>
  <c r="L47" i="10"/>
  <c r="E47" i="10"/>
  <c r="D47" i="10"/>
  <c r="C47" i="10"/>
  <c r="Y46" i="10"/>
  <c r="U46" i="10"/>
  <c r="W46" i="10" s="1"/>
  <c r="T46" i="10"/>
  <c r="M46" i="10"/>
  <c r="L46" i="10"/>
  <c r="G46" i="10"/>
  <c r="E46" i="10"/>
  <c r="Z46" i="10" s="1"/>
  <c r="AE46" i="10" s="1"/>
  <c r="C41" i="17" s="1"/>
  <c r="T41" i="17" s="1"/>
  <c r="D46" i="10"/>
  <c r="C46" i="10"/>
  <c r="Z45" i="10"/>
  <c r="AE45" i="10" s="1"/>
  <c r="C40" i="17" s="1"/>
  <c r="T40" i="17" s="1"/>
  <c r="Y45" i="10"/>
  <c r="U45" i="10"/>
  <c r="W45" i="10" s="1"/>
  <c r="T45" i="10"/>
  <c r="M45" i="10"/>
  <c r="O45" i="10" s="1"/>
  <c r="L45" i="10"/>
  <c r="E45" i="10"/>
  <c r="G45" i="10" s="1"/>
  <c r="X45" i="10" s="1"/>
  <c r="D45" i="10"/>
  <c r="C45" i="10"/>
  <c r="Y44" i="10"/>
  <c r="W44" i="10"/>
  <c r="U44" i="10"/>
  <c r="T44" i="10"/>
  <c r="M44" i="10"/>
  <c r="O44" i="10" s="1"/>
  <c r="L44" i="10"/>
  <c r="G44" i="10"/>
  <c r="E44" i="10"/>
  <c r="Z44" i="10" s="1"/>
  <c r="AE44" i="10" s="1"/>
  <c r="C39" i="17" s="1"/>
  <c r="T39" i="17" s="1"/>
  <c r="D44" i="10"/>
  <c r="C44" i="10"/>
  <c r="Y43" i="10"/>
  <c r="U43" i="10"/>
  <c r="W43" i="10" s="1"/>
  <c r="T43" i="10"/>
  <c r="O43" i="10"/>
  <c r="M43" i="10"/>
  <c r="L43" i="10"/>
  <c r="E43" i="10"/>
  <c r="D43" i="10"/>
  <c r="C43" i="10"/>
  <c r="Y42" i="10"/>
  <c r="W42" i="10"/>
  <c r="U42" i="10"/>
  <c r="T42" i="10"/>
  <c r="M42" i="10"/>
  <c r="AA42" i="10" s="1"/>
  <c r="AF42" i="10" s="1"/>
  <c r="D37" i="17" s="1"/>
  <c r="U37" i="17" s="1"/>
  <c r="L42" i="10"/>
  <c r="E42" i="10"/>
  <c r="Z42" i="10" s="1"/>
  <c r="AE42" i="10" s="1"/>
  <c r="C37" i="17" s="1"/>
  <c r="T37" i="17" s="1"/>
  <c r="D42" i="10"/>
  <c r="C42" i="10"/>
  <c r="Z41" i="10"/>
  <c r="AE41" i="10" s="1"/>
  <c r="C36" i="17" s="1"/>
  <c r="T36" i="17" s="1"/>
  <c r="Y41" i="10"/>
  <c r="U41" i="10"/>
  <c r="W41" i="10" s="1"/>
  <c r="T41" i="10"/>
  <c r="M41" i="10"/>
  <c r="O41" i="10" s="1"/>
  <c r="L41" i="10"/>
  <c r="G41" i="10"/>
  <c r="X41" i="10" s="1"/>
  <c r="E41" i="10"/>
  <c r="D41" i="10"/>
  <c r="C41" i="10"/>
  <c r="Y40" i="10"/>
  <c r="U40" i="10"/>
  <c r="W40" i="10" s="1"/>
  <c r="T40" i="10"/>
  <c r="M40" i="10"/>
  <c r="O40" i="10" s="1"/>
  <c r="L40" i="10"/>
  <c r="E40" i="10"/>
  <c r="G40" i="10" s="1"/>
  <c r="D40" i="10"/>
  <c r="C40" i="10"/>
  <c r="AA39" i="10"/>
  <c r="AF39" i="10" s="1"/>
  <c r="D34" i="17" s="1"/>
  <c r="U34" i="17" s="1"/>
  <c r="Y39" i="10"/>
  <c r="U39" i="10"/>
  <c r="W39" i="10" s="1"/>
  <c r="T39" i="10"/>
  <c r="O39" i="10"/>
  <c r="M39" i="10"/>
  <c r="L39" i="10"/>
  <c r="E39" i="10"/>
  <c r="D39" i="10"/>
  <c r="C39" i="10"/>
  <c r="Y38" i="10"/>
  <c r="U38" i="10"/>
  <c r="W38" i="10" s="1"/>
  <c r="T38" i="10"/>
  <c r="M38" i="10"/>
  <c r="L38" i="10"/>
  <c r="E38" i="10"/>
  <c r="Z38" i="10" s="1"/>
  <c r="AE38" i="10" s="1"/>
  <c r="C33" i="17" s="1"/>
  <c r="T33" i="17" s="1"/>
  <c r="D38" i="10"/>
  <c r="C38" i="10"/>
  <c r="Y37" i="10"/>
  <c r="U37" i="10"/>
  <c r="W37" i="10" s="1"/>
  <c r="T37" i="10"/>
  <c r="M37" i="10"/>
  <c r="O37" i="10" s="1"/>
  <c r="L37" i="10"/>
  <c r="E37" i="10"/>
  <c r="Z37" i="10" s="1"/>
  <c r="AE37" i="10" s="1"/>
  <c r="C32" i="17" s="1"/>
  <c r="T32" i="17" s="1"/>
  <c r="D37" i="10"/>
  <c r="C37" i="10"/>
  <c r="Y36" i="10"/>
  <c r="U36" i="10"/>
  <c r="W36" i="10" s="1"/>
  <c r="T36" i="10"/>
  <c r="M36" i="10"/>
  <c r="O36" i="10" s="1"/>
  <c r="L36" i="10"/>
  <c r="E36" i="10"/>
  <c r="G36" i="10" s="1"/>
  <c r="D36" i="10"/>
  <c r="C36" i="10"/>
  <c r="Y35" i="10"/>
  <c r="W35" i="10"/>
  <c r="U35" i="10"/>
  <c r="T35" i="10"/>
  <c r="M35" i="10"/>
  <c r="AA35" i="10" s="1"/>
  <c r="AF35" i="10" s="1"/>
  <c r="D30" i="17" s="1"/>
  <c r="U30" i="17" s="1"/>
  <c r="L35" i="10"/>
  <c r="E35" i="10"/>
  <c r="D35" i="10"/>
  <c r="C35" i="10"/>
  <c r="Y34" i="10"/>
  <c r="U34" i="10"/>
  <c r="W34" i="10" s="1"/>
  <c r="T34" i="10"/>
  <c r="M34" i="10"/>
  <c r="AA34" i="10" s="1"/>
  <c r="AF34" i="10" s="1"/>
  <c r="D29" i="17" s="1"/>
  <c r="U29" i="17" s="1"/>
  <c r="L34" i="10"/>
  <c r="G34" i="10"/>
  <c r="E34" i="10"/>
  <c r="Z34" i="10" s="1"/>
  <c r="AE34" i="10" s="1"/>
  <c r="C29" i="17" s="1"/>
  <c r="T29" i="17" s="1"/>
  <c r="D34" i="10"/>
  <c r="C34" i="10"/>
  <c r="Z33" i="10"/>
  <c r="AE33" i="10" s="1"/>
  <c r="C28" i="17" s="1"/>
  <c r="T28" i="17" s="1"/>
  <c r="Y33" i="10"/>
  <c r="U33" i="10"/>
  <c r="W33" i="10" s="1"/>
  <c r="T33" i="10"/>
  <c r="O33" i="10"/>
  <c r="M33" i="10"/>
  <c r="L33" i="10"/>
  <c r="E33" i="10"/>
  <c r="G33" i="10" s="1"/>
  <c r="D33" i="10"/>
  <c r="C33" i="10"/>
  <c r="Y32" i="10"/>
  <c r="U32" i="10"/>
  <c r="W32" i="10" s="1"/>
  <c r="T32" i="10"/>
  <c r="M32" i="10"/>
  <c r="O32" i="10" s="1"/>
  <c r="L32" i="10"/>
  <c r="E32" i="10"/>
  <c r="G32" i="10" s="1"/>
  <c r="D32" i="10"/>
  <c r="C32" i="10"/>
  <c r="Y31" i="10"/>
  <c r="U31" i="10"/>
  <c r="W31" i="10" s="1"/>
  <c r="T31" i="10"/>
  <c r="M31" i="10"/>
  <c r="O31" i="10" s="1"/>
  <c r="L31" i="10"/>
  <c r="E31" i="10"/>
  <c r="D31" i="10"/>
  <c r="C31" i="10"/>
  <c r="Y30" i="10"/>
  <c r="W30" i="10"/>
  <c r="U30" i="10"/>
  <c r="T30" i="10"/>
  <c r="M30" i="10"/>
  <c r="AA30" i="10" s="1"/>
  <c r="AF30" i="10" s="1"/>
  <c r="D25" i="17" s="1"/>
  <c r="U25" i="17" s="1"/>
  <c r="L30" i="10"/>
  <c r="E30" i="10"/>
  <c r="Z30" i="10" s="1"/>
  <c r="AE30" i="10" s="1"/>
  <c r="C25" i="17" s="1"/>
  <c r="T25" i="17" s="1"/>
  <c r="D30" i="10"/>
  <c r="C30" i="10"/>
  <c r="Y29" i="10"/>
  <c r="U29" i="10"/>
  <c r="W29" i="10" s="1"/>
  <c r="T29" i="10"/>
  <c r="M29" i="10"/>
  <c r="AA29" i="10" s="1"/>
  <c r="AF29" i="10" s="1"/>
  <c r="D24" i="17" s="1"/>
  <c r="U24" i="17" s="1"/>
  <c r="L29" i="10"/>
  <c r="G29" i="10"/>
  <c r="E29" i="10"/>
  <c r="Z29" i="10" s="1"/>
  <c r="AE29" i="10" s="1"/>
  <c r="C24" i="17" s="1"/>
  <c r="T24" i="17" s="1"/>
  <c r="D29" i="10"/>
  <c r="C29" i="10"/>
  <c r="Z28" i="10"/>
  <c r="AE28" i="10" s="1"/>
  <c r="C23" i="17" s="1"/>
  <c r="T23" i="17" s="1"/>
  <c r="Y28" i="10"/>
  <c r="U28" i="10"/>
  <c r="W28" i="10" s="1"/>
  <c r="T28" i="10"/>
  <c r="M28" i="10"/>
  <c r="O28" i="10" s="1"/>
  <c r="L28" i="10"/>
  <c r="G28" i="10"/>
  <c r="E28" i="10"/>
  <c r="D28" i="10"/>
  <c r="C28" i="10"/>
  <c r="AA27" i="10"/>
  <c r="AF27" i="10" s="1"/>
  <c r="D22" i="17" s="1"/>
  <c r="U22" i="17" s="1"/>
  <c r="Y27" i="10"/>
  <c r="W27" i="10"/>
  <c r="U27" i="10"/>
  <c r="T27" i="10"/>
  <c r="M27" i="10"/>
  <c r="O27" i="10" s="1"/>
  <c r="L27" i="10"/>
  <c r="E27" i="10"/>
  <c r="D27" i="10"/>
  <c r="C27" i="10"/>
  <c r="Y26" i="10"/>
  <c r="U26" i="10"/>
  <c r="W26" i="10" s="1"/>
  <c r="T26" i="10"/>
  <c r="O26" i="10"/>
  <c r="M26" i="10"/>
  <c r="L26" i="10"/>
  <c r="E26" i="10"/>
  <c r="Z26" i="10" s="1"/>
  <c r="AE26" i="10" s="1"/>
  <c r="C21" i="17" s="1"/>
  <c r="T21" i="17" s="1"/>
  <c r="D26" i="10"/>
  <c r="C26" i="10"/>
  <c r="Z25" i="10"/>
  <c r="AE25" i="10" s="1"/>
  <c r="C20" i="17" s="1"/>
  <c r="T20" i="17" s="1"/>
  <c r="Y25" i="10"/>
  <c r="U25" i="10"/>
  <c r="W25" i="10" s="1"/>
  <c r="T25" i="10"/>
  <c r="M25" i="10"/>
  <c r="O25" i="10" s="1"/>
  <c r="L25" i="10"/>
  <c r="G25" i="10"/>
  <c r="E25" i="10"/>
  <c r="D25" i="10"/>
  <c r="C25" i="10"/>
  <c r="Z24" i="10"/>
  <c r="AE24" i="10" s="1"/>
  <c r="C19" i="17" s="1"/>
  <c r="T19" i="17" s="1"/>
  <c r="Y24" i="10"/>
  <c r="U24" i="10"/>
  <c r="W24" i="10" s="1"/>
  <c r="T24" i="10"/>
  <c r="M24" i="10"/>
  <c r="O24" i="10" s="1"/>
  <c r="L24" i="10"/>
  <c r="E24" i="10"/>
  <c r="G24" i="10" s="1"/>
  <c r="D24" i="10"/>
  <c r="C24" i="10"/>
  <c r="AA23" i="10"/>
  <c r="AF23" i="10" s="1"/>
  <c r="D18" i="17" s="1"/>
  <c r="U18" i="17" s="1"/>
  <c r="Y23" i="10"/>
  <c r="U23" i="10"/>
  <c r="W23" i="10" s="1"/>
  <c r="T23" i="10"/>
  <c r="M23" i="10"/>
  <c r="O23" i="10" s="1"/>
  <c r="L23" i="10"/>
  <c r="E23" i="10"/>
  <c r="D23" i="10"/>
  <c r="C23" i="10"/>
  <c r="Y22" i="10"/>
  <c r="U22" i="10"/>
  <c r="W22" i="10" s="1"/>
  <c r="T22" i="10"/>
  <c r="O22" i="10"/>
  <c r="M22" i="10"/>
  <c r="L22" i="10"/>
  <c r="G22" i="10"/>
  <c r="X22" i="10" s="1"/>
  <c r="E22" i="10"/>
  <c r="Z22" i="10" s="1"/>
  <c r="AE22" i="10" s="1"/>
  <c r="C17" i="17" s="1"/>
  <c r="T17" i="17" s="1"/>
  <c r="D22" i="10"/>
  <c r="C22" i="10"/>
  <c r="Z21" i="10"/>
  <c r="AE21" i="10" s="1"/>
  <c r="C16" i="17" s="1"/>
  <c r="T16" i="17" s="1"/>
  <c r="Y21" i="10"/>
  <c r="U21" i="10"/>
  <c r="W21" i="10" s="1"/>
  <c r="T21" i="10"/>
  <c r="M21" i="10"/>
  <c r="O21" i="10" s="1"/>
  <c r="L21" i="10"/>
  <c r="E21" i="10"/>
  <c r="G21" i="10" s="1"/>
  <c r="X21" i="10" s="1"/>
  <c r="D21" i="10"/>
  <c r="C21" i="10"/>
  <c r="Y20" i="10"/>
  <c r="W20" i="10"/>
  <c r="U20" i="10"/>
  <c r="T20" i="10"/>
  <c r="M20" i="10"/>
  <c r="O20" i="10" s="1"/>
  <c r="L20" i="10"/>
  <c r="E20" i="10"/>
  <c r="G20" i="10" s="1"/>
  <c r="D20" i="10"/>
  <c r="C20" i="10"/>
  <c r="Y19" i="10"/>
  <c r="W19" i="10"/>
  <c r="U19" i="10"/>
  <c r="T19" i="10"/>
  <c r="M19" i="10"/>
  <c r="AA19" i="10" s="1"/>
  <c r="AF19" i="10" s="1"/>
  <c r="D14" i="17" s="1"/>
  <c r="U14" i="17" s="1"/>
  <c r="L19" i="10"/>
  <c r="E19" i="10"/>
  <c r="D19" i="10"/>
  <c r="C19" i="10"/>
  <c r="Y18" i="10"/>
  <c r="U18" i="10"/>
  <c r="W18" i="10" s="1"/>
  <c r="T18" i="10"/>
  <c r="O18" i="10"/>
  <c r="M18" i="10"/>
  <c r="AA18" i="10" s="1"/>
  <c r="AF18" i="10" s="1"/>
  <c r="D13" i="17" s="1"/>
  <c r="U13" i="17" s="1"/>
  <c r="L18" i="10"/>
  <c r="E18" i="10"/>
  <c r="Z18" i="10" s="1"/>
  <c r="AE18" i="10" s="1"/>
  <c r="C13" i="17" s="1"/>
  <c r="T13" i="17" s="1"/>
  <c r="D18" i="10"/>
  <c r="C18" i="10"/>
  <c r="Y17" i="10"/>
  <c r="U17" i="10"/>
  <c r="W17" i="10" s="1"/>
  <c r="T17" i="10"/>
  <c r="M17" i="10"/>
  <c r="O17" i="10" s="1"/>
  <c r="L17" i="10"/>
  <c r="G17" i="10"/>
  <c r="E17" i="10"/>
  <c r="Z17" i="10" s="1"/>
  <c r="AE17" i="10" s="1"/>
  <c r="C12" i="17" s="1"/>
  <c r="T12" i="17" s="1"/>
  <c r="D17" i="10"/>
  <c r="C17" i="10"/>
  <c r="Z16" i="10"/>
  <c r="AE16" i="10" s="1"/>
  <c r="C11" i="17" s="1"/>
  <c r="T11" i="17" s="1"/>
  <c r="Y16" i="10"/>
  <c r="U16" i="10"/>
  <c r="W16" i="10" s="1"/>
  <c r="T16" i="10"/>
  <c r="M16" i="10"/>
  <c r="O16" i="10" s="1"/>
  <c r="L16" i="10"/>
  <c r="E16" i="10"/>
  <c r="G16" i="10" s="1"/>
  <c r="D16" i="10"/>
  <c r="C16" i="10"/>
  <c r="Y15" i="10"/>
  <c r="U15" i="10"/>
  <c r="AA15" i="10" s="1"/>
  <c r="AF15" i="10" s="1"/>
  <c r="D10" i="17" s="1"/>
  <c r="U10" i="17" s="1"/>
  <c r="T15" i="10"/>
  <c r="M15" i="10"/>
  <c r="O15" i="10" s="1"/>
  <c r="L15" i="10"/>
  <c r="E15" i="10"/>
  <c r="D15" i="10"/>
  <c r="C15" i="10"/>
  <c r="Y14" i="10"/>
  <c r="U14" i="10"/>
  <c r="W14" i="10" s="1"/>
  <c r="T14" i="10"/>
  <c r="M14" i="10"/>
  <c r="O14" i="10" s="1"/>
  <c r="L14" i="10"/>
  <c r="G14" i="10"/>
  <c r="E14" i="10"/>
  <c r="Z14" i="10" s="1"/>
  <c r="AE14" i="10" s="1"/>
  <c r="C9" i="17" s="1"/>
  <c r="T9" i="17" s="1"/>
  <c r="D14" i="10"/>
  <c r="C14" i="10"/>
  <c r="Y13" i="10"/>
  <c r="U13" i="10"/>
  <c r="W13" i="10" s="1"/>
  <c r="T13" i="10"/>
  <c r="M13" i="10"/>
  <c r="L13" i="10"/>
  <c r="E13" i="10"/>
  <c r="Z13" i="10" s="1"/>
  <c r="AE13" i="10" s="1"/>
  <c r="C8" i="17" s="1"/>
  <c r="T8" i="17" s="1"/>
  <c r="D13" i="10"/>
  <c r="C13" i="10"/>
  <c r="AD11" i="10"/>
  <c r="AC11" i="10"/>
  <c r="AB11" i="10"/>
  <c r="W10" i="10"/>
  <c r="T10" i="10"/>
  <c r="O10" i="10"/>
  <c r="L10" i="10"/>
  <c r="G10" i="10"/>
  <c r="X10" i="10" s="1"/>
  <c r="P8" i="10" a="1"/>
  <c r="P8" i="10" s="1"/>
  <c r="E8" i="10" a="1"/>
  <c r="E8" i="10" s="1"/>
  <c r="O8" i="10" s="1"/>
  <c r="J5" i="10"/>
  <c r="F74" i="10" s="1"/>
  <c r="D5" i="10"/>
  <c r="G13" i="10" l="1"/>
  <c r="W15" i="10"/>
  <c r="X34" i="10"/>
  <c r="Z40" i="10"/>
  <c r="AE40" i="10" s="1"/>
  <c r="C35" i="17" s="1"/>
  <c r="T35" i="17" s="1"/>
  <c r="Z20" i="10"/>
  <c r="AE20" i="10" s="1"/>
  <c r="C15" i="17" s="1"/>
  <c r="T15" i="17" s="1"/>
  <c r="AA22" i="10"/>
  <c r="AF22" i="10" s="1"/>
  <c r="D17" i="17" s="1"/>
  <c r="U17" i="17" s="1"/>
  <c r="O30" i="10"/>
  <c r="Z32" i="10"/>
  <c r="AE32" i="10" s="1"/>
  <c r="C27" i="17" s="1"/>
  <c r="T27" i="17" s="1"/>
  <c r="O35" i="10"/>
  <c r="Z36" i="10"/>
  <c r="AE36" i="10" s="1"/>
  <c r="C31" i="17" s="1"/>
  <c r="T31" i="17" s="1"/>
  <c r="G37" i="10"/>
  <c r="X37" i="10" s="1"/>
  <c r="AA38" i="10"/>
  <c r="AF38" i="10" s="1"/>
  <c r="D33" i="17" s="1"/>
  <c r="U33" i="17" s="1"/>
  <c r="O42" i="10"/>
  <c r="AA14" i="10"/>
  <c r="AF14" i="10" s="1"/>
  <c r="D9" i="17" s="1"/>
  <c r="U9" i="17" s="1"/>
  <c r="X14" i="10"/>
  <c r="O38" i="10"/>
  <c r="G42" i="10"/>
  <c r="X42" i="10" s="1"/>
  <c r="AA43" i="10"/>
  <c r="AF43" i="10" s="1"/>
  <c r="D38" i="17" s="1"/>
  <c r="U38" i="17" s="1"/>
  <c r="AA46" i="10"/>
  <c r="AF46" i="10" s="1"/>
  <c r="D41" i="17" s="1"/>
  <c r="U41" i="17" s="1"/>
  <c r="Z48" i="10"/>
  <c r="AE48" i="10" s="1"/>
  <c r="C43" i="17" s="1"/>
  <c r="T43" i="17" s="1"/>
  <c r="AA26" i="10"/>
  <c r="AF26" i="10" s="1"/>
  <c r="D21" i="17" s="1"/>
  <c r="U21" i="17" s="1"/>
  <c r="O29" i="10"/>
  <c r="X29" i="10" s="1"/>
  <c r="AA31" i="10"/>
  <c r="AF31" i="10" s="1"/>
  <c r="D26" i="17" s="1"/>
  <c r="U26" i="17" s="1"/>
  <c r="O34" i="10"/>
  <c r="G38" i="10"/>
  <c r="X38" i="10" s="1"/>
  <c r="O46" i="10"/>
  <c r="X46" i="10" s="1"/>
  <c r="AD12" i="10" a="1"/>
  <c r="AD12" i="10" s="1"/>
  <c r="AC12" i="10" a="1"/>
  <c r="AC12" i="10" s="1"/>
  <c r="AA12" i="10" a="1"/>
  <c r="AA12" i="10" s="1"/>
  <c r="AD29" i="10" s="1"/>
  <c r="Y12" i="10" a="1"/>
  <c r="Y12" i="10" s="1"/>
  <c r="AB38" i="10" s="1"/>
  <c r="AB12" i="10" a="1"/>
  <c r="AB12" i="10" s="1"/>
  <c r="Z12" i="10" a="1"/>
  <c r="Z12" i="10" s="1"/>
  <c r="AC49" i="10" s="1"/>
  <c r="Z8" i="10"/>
  <c r="AB26" i="10"/>
  <c r="AB42" i="10"/>
  <c r="AD43" i="10"/>
  <c r="AD19" i="10"/>
  <c r="AB34" i="10"/>
  <c r="Z15" i="10"/>
  <c r="G15" i="10"/>
  <c r="X15" i="10" s="1"/>
  <c r="AD26" i="10"/>
  <c r="AB29" i="10"/>
  <c r="Z31" i="10"/>
  <c r="G31" i="10"/>
  <c r="X31" i="10" s="1"/>
  <c r="AB32" i="10"/>
  <c r="Z47" i="10"/>
  <c r="G47" i="10"/>
  <c r="X47" i="10" s="1"/>
  <c r="AD18" i="10"/>
  <c r="Z23" i="10"/>
  <c r="G23" i="10"/>
  <c r="X23" i="10" s="1"/>
  <c r="AD27" i="10"/>
  <c r="AB13" i="10"/>
  <c r="AD15" i="10"/>
  <c r="X16" i="10"/>
  <c r="AA16" i="10"/>
  <c r="O19" i="10"/>
  <c r="AB21" i="10"/>
  <c r="AD23" i="10"/>
  <c r="X24" i="10"/>
  <c r="AA24" i="10"/>
  <c r="X28" i="10"/>
  <c r="AA28" i="10"/>
  <c r="AD30" i="10"/>
  <c r="AD31" i="10"/>
  <c r="AA33" i="10"/>
  <c r="AB33" i="10"/>
  <c r="Z35" i="10"/>
  <c r="G35" i="10"/>
  <c r="X35" i="10" s="1"/>
  <c r="AB36" i="10"/>
  <c r="AB37" i="10"/>
  <c r="Z39" i="10"/>
  <c r="G39" i="10"/>
  <c r="X39" i="10" s="1"/>
  <c r="AB40" i="10"/>
  <c r="AB41" i="10"/>
  <c r="Z43" i="10"/>
  <c r="G43" i="10"/>
  <c r="X43" i="10" s="1"/>
  <c r="AB44" i="10"/>
  <c r="AB45" i="10"/>
  <c r="AD47" i="10"/>
  <c r="X48" i="10"/>
  <c r="AA48" i="10"/>
  <c r="O13" i="10"/>
  <c r="X13" i="10" s="1"/>
  <c r="AA13" i="10"/>
  <c r="AD14" i="10"/>
  <c r="X17" i="10"/>
  <c r="G18" i="10"/>
  <c r="X18" i="10" s="1"/>
  <c r="Z19" i="10"/>
  <c r="G19" i="10"/>
  <c r="AD22" i="10"/>
  <c r="X25" i="10"/>
  <c r="G26" i="10"/>
  <c r="X26" i="10" s="1"/>
  <c r="X32" i="10"/>
  <c r="AA32" i="10"/>
  <c r="AD34" i="10"/>
  <c r="AD35" i="10"/>
  <c r="AD38" i="10"/>
  <c r="AD39" i="10"/>
  <c r="AD42" i="10"/>
  <c r="AD46" i="10"/>
  <c r="X49" i="10"/>
  <c r="AB17" i="10"/>
  <c r="X20" i="10"/>
  <c r="AA20" i="10"/>
  <c r="AB25" i="10"/>
  <c r="Z27" i="10"/>
  <c r="G27" i="10"/>
  <c r="X27" i="10" s="1"/>
  <c r="AB28" i="10"/>
  <c r="G30" i="10"/>
  <c r="X30" i="10" s="1"/>
  <c r="X33" i="10"/>
  <c r="X36" i="10"/>
  <c r="AA36" i="10"/>
  <c r="X40" i="10"/>
  <c r="AA40" i="10"/>
  <c r="X44" i="10"/>
  <c r="AA44" i="10"/>
  <c r="AB49" i="10"/>
  <c r="AA17" i="10"/>
  <c r="AA21" i="10"/>
  <c r="AA25" i="10"/>
  <c r="AA37" i="10"/>
  <c r="AA41" i="10"/>
  <c r="AA45" i="10"/>
  <c r="AA49" i="10"/>
  <c r="AD44" i="10" l="1"/>
  <c r="AF44" i="10"/>
  <c r="D39" i="17" s="1"/>
  <c r="U39" i="17" s="1"/>
  <c r="AC19" i="10"/>
  <c r="AE19" i="10"/>
  <c r="C14" i="17" s="1"/>
  <c r="T14" i="17" s="1"/>
  <c r="AC43" i="10"/>
  <c r="AE43" i="10"/>
  <c r="C38" i="17" s="1"/>
  <c r="T38" i="17" s="1"/>
  <c r="AD24" i="10"/>
  <c r="AF24" i="10"/>
  <c r="D19" i="17" s="1"/>
  <c r="U19" i="17" s="1"/>
  <c r="AD45" i="10"/>
  <c r="AF45" i="10"/>
  <c r="D40" i="17" s="1"/>
  <c r="U40" i="17" s="1"/>
  <c r="AD32" i="10"/>
  <c r="AF32" i="10"/>
  <c r="D27" i="17" s="1"/>
  <c r="U27" i="17" s="1"/>
  <c r="AD17" i="10"/>
  <c r="AF17" i="10"/>
  <c r="D12" i="17" s="1"/>
  <c r="U12" i="17" s="1"/>
  <c r="AC27" i="10"/>
  <c r="AE27" i="10"/>
  <c r="C22" i="17" s="1"/>
  <c r="T22" i="17" s="1"/>
  <c r="AC36" i="10"/>
  <c r="AC20" i="10"/>
  <c r="AD48" i="10"/>
  <c r="AF48" i="10"/>
  <c r="D43" i="17" s="1"/>
  <c r="U43" i="17" s="1"/>
  <c r="AD33" i="10"/>
  <c r="AF33" i="10"/>
  <c r="D28" i="17" s="1"/>
  <c r="U28" i="17" s="1"/>
  <c r="AD28" i="10"/>
  <c r="AF28" i="10"/>
  <c r="D23" i="17" s="1"/>
  <c r="U23" i="17" s="1"/>
  <c r="AC48" i="10"/>
  <c r="AC37" i="10"/>
  <c r="AD25" i="10"/>
  <c r="AF25" i="10"/>
  <c r="D20" i="17" s="1"/>
  <c r="U20" i="17" s="1"/>
  <c r="AD20" i="10"/>
  <c r="AF20" i="10"/>
  <c r="D15" i="17" s="1"/>
  <c r="U15" i="17" s="1"/>
  <c r="AC39" i="10"/>
  <c r="AE39" i="10"/>
  <c r="C34" i="17" s="1"/>
  <c r="T34" i="17" s="1"/>
  <c r="AC35" i="10"/>
  <c r="AE35" i="10"/>
  <c r="C30" i="17" s="1"/>
  <c r="T30" i="17" s="1"/>
  <c r="AD21" i="10"/>
  <c r="AF21" i="10"/>
  <c r="D16" i="17" s="1"/>
  <c r="U16" i="17" s="1"/>
  <c r="AC44" i="10"/>
  <c r="AD41" i="10"/>
  <c r="AF41" i="10"/>
  <c r="D36" i="17" s="1"/>
  <c r="U36" i="17" s="1"/>
  <c r="AD40" i="10"/>
  <c r="AF40" i="10"/>
  <c r="D35" i="17" s="1"/>
  <c r="U35" i="17" s="1"/>
  <c r="AD37" i="10"/>
  <c r="AF37" i="10"/>
  <c r="D32" i="17" s="1"/>
  <c r="U32" i="17" s="1"/>
  <c r="AC40" i="10"/>
  <c r="X19" i="10"/>
  <c r="AC32" i="10"/>
  <c r="AC23" i="10"/>
  <c r="AE23" i="10"/>
  <c r="C18" i="17" s="1"/>
  <c r="T18" i="17" s="1"/>
  <c r="AC31" i="10"/>
  <c r="AE31" i="10"/>
  <c r="C26" i="17" s="1"/>
  <c r="T26" i="17" s="1"/>
  <c r="AC24" i="10"/>
  <c r="AD49" i="10"/>
  <c r="AF49" i="10"/>
  <c r="D44" i="17" s="1"/>
  <c r="U44" i="17" s="1"/>
  <c r="AD36" i="10"/>
  <c r="AF36" i="10"/>
  <c r="D31" i="17" s="1"/>
  <c r="U31" i="17" s="1"/>
  <c r="AD13" i="10"/>
  <c r="G59" i="10" s="1"/>
  <c r="AF13" i="10"/>
  <c r="D8" i="17" s="1"/>
  <c r="U8" i="17" s="1"/>
  <c r="AC47" i="10"/>
  <c r="AE47" i="10"/>
  <c r="C42" i="17" s="1"/>
  <c r="T42" i="17" s="1"/>
  <c r="AC21" i="10"/>
  <c r="AC42" i="10"/>
  <c r="AD16" i="10"/>
  <c r="AF16" i="10"/>
  <c r="D11" i="17" s="1"/>
  <c r="U11" i="17" s="1"/>
  <c r="AC16" i="10"/>
  <c r="AC28" i="10"/>
  <c r="AC15" i="10"/>
  <c r="AE15" i="10"/>
  <c r="C10" i="17" s="1"/>
  <c r="T10" i="17" s="1"/>
  <c r="AC33" i="10"/>
  <c r="AC29" i="10"/>
  <c r="AC13" i="10"/>
  <c r="AC45" i="10"/>
  <c r="AC38" i="10"/>
  <c r="AC34" i="10"/>
  <c r="AC46" i="10"/>
  <c r="AC30" i="10"/>
  <c r="AC22" i="10"/>
  <c r="AC14" i="10"/>
  <c r="AC26" i="10"/>
  <c r="AC25" i="10"/>
  <c r="H59" i="10"/>
  <c r="AC17" i="10"/>
  <c r="AC18" i="10"/>
  <c r="AB48" i="10"/>
  <c r="AB24" i="10"/>
  <c r="AB20" i="10"/>
  <c r="AB16" i="10"/>
  <c r="AB43" i="10"/>
  <c r="AB39" i="10"/>
  <c r="AB35" i="10"/>
  <c r="AB47" i="10"/>
  <c r="AB31" i="10"/>
  <c r="AB23" i="10"/>
  <c r="AB15" i="10"/>
  <c r="AB27" i="10"/>
  <c r="AB22" i="10"/>
  <c r="AB19" i="10"/>
  <c r="AB46" i="10"/>
  <c r="AB30" i="10"/>
  <c r="AB14" i="10"/>
  <c r="G57" i="10" s="1"/>
  <c r="AC41" i="10"/>
  <c r="AB18" i="10"/>
  <c r="H57" i="10" l="1"/>
  <c r="H58" i="10"/>
  <c r="G58" i="10"/>
  <c r="Y12" i="9" l="1"/>
  <c r="Y16" i="9"/>
  <c r="Y20" i="9"/>
  <c r="Y24" i="9"/>
  <c r="Y28" i="9"/>
  <c r="Y32" i="9"/>
  <c r="Y36" i="9"/>
  <c r="Y40" i="9"/>
  <c r="Y44" i="9"/>
  <c r="Y48" i="9"/>
  <c r="X9" i="9"/>
  <c r="X13" i="9"/>
  <c r="X17" i="9"/>
  <c r="X21" i="9"/>
  <c r="X25" i="9"/>
  <c r="X29" i="9"/>
  <c r="X33" i="9"/>
  <c r="X37" i="9"/>
  <c r="X41" i="9"/>
  <c r="X45" i="9"/>
  <c r="X49" i="9"/>
  <c r="U10" i="9"/>
  <c r="U14" i="9"/>
  <c r="U18" i="9"/>
  <c r="U22" i="9"/>
  <c r="U26" i="9"/>
  <c r="U30" i="9"/>
  <c r="U34" i="9"/>
  <c r="U38" i="9"/>
  <c r="U42" i="9"/>
  <c r="U46" i="9"/>
  <c r="U50" i="9"/>
  <c r="M9" i="9"/>
  <c r="U9" i="9" s="1"/>
  <c r="M10" i="9"/>
  <c r="M11" i="9"/>
  <c r="U11" i="9" s="1"/>
  <c r="M12" i="9"/>
  <c r="U12" i="9" s="1"/>
  <c r="M13" i="9"/>
  <c r="U13" i="9" s="1"/>
  <c r="M14" i="9"/>
  <c r="M15" i="9"/>
  <c r="U15" i="9" s="1"/>
  <c r="M16" i="9"/>
  <c r="U16" i="9" s="1"/>
  <c r="M17" i="9"/>
  <c r="U17" i="9" s="1"/>
  <c r="M18" i="9"/>
  <c r="M19" i="9"/>
  <c r="U19" i="9" s="1"/>
  <c r="M20" i="9"/>
  <c r="U20" i="9" s="1"/>
  <c r="M21" i="9"/>
  <c r="U21" i="9" s="1"/>
  <c r="M22" i="9"/>
  <c r="M23" i="9"/>
  <c r="U23" i="9" s="1"/>
  <c r="M24" i="9"/>
  <c r="U24" i="9" s="1"/>
  <c r="M25" i="9"/>
  <c r="U25" i="9" s="1"/>
  <c r="M26" i="9"/>
  <c r="M27" i="9"/>
  <c r="U27" i="9" s="1"/>
  <c r="M28" i="9"/>
  <c r="U28" i="9" s="1"/>
  <c r="M29" i="9"/>
  <c r="U29" i="9" s="1"/>
  <c r="M30" i="9"/>
  <c r="M31" i="9"/>
  <c r="U31" i="9" s="1"/>
  <c r="M32" i="9"/>
  <c r="U32" i="9" s="1"/>
  <c r="M33" i="9"/>
  <c r="U33" i="9" s="1"/>
  <c r="M34" i="9"/>
  <c r="M35" i="9"/>
  <c r="U35" i="9" s="1"/>
  <c r="M36" i="9"/>
  <c r="U36" i="9" s="1"/>
  <c r="M37" i="9"/>
  <c r="U37" i="9" s="1"/>
  <c r="M38" i="9"/>
  <c r="M39" i="9"/>
  <c r="U39" i="9" s="1"/>
  <c r="M40" i="9"/>
  <c r="U40" i="9" s="1"/>
  <c r="M41" i="9"/>
  <c r="U41" i="9" s="1"/>
  <c r="M42" i="9"/>
  <c r="M43" i="9"/>
  <c r="U43" i="9" s="1"/>
  <c r="M44" i="9"/>
  <c r="U44" i="9" s="1"/>
  <c r="M45" i="9"/>
  <c r="U45" i="9" s="1"/>
  <c r="M46" i="9"/>
  <c r="M47" i="9"/>
  <c r="U47" i="9" s="1"/>
  <c r="M48" i="9"/>
  <c r="U48" i="9" s="1"/>
  <c r="M49" i="9"/>
  <c r="U49" i="9" s="1"/>
  <c r="M50" i="9"/>
  <c r="M51" i="9"/>
  <c r="U51" i="9" s="1"/>
  <c r="M8" i="9"/>
  <c r="U8" i="9" s="1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11" i="2"/>
  <c r="L9" i="9"/>
  <c r="Y9" i="9" s="1"/>
  <c r="L10" i="9"/>
  <c r="Y10" i="9" s="1"/>
  <c r="L11" i="9"/>
  <c r="Y11" i="9" s="1"/>
  <c r="L12" i="9"/>
  <c r="L13" i="9"/>
  <c r="Y13" i="9" s="1"/>
  <c r="L14" i="9"/>
  <c r="Y14" i="9" s="1"/>
  <c r="L15" i="9"/>
  <c r="Y15" i="9" s="1"/>
  <c r="L16" i="9"/>
  <c r="L17" i="9"/>
  <c r="Y17" i="9" s="1"/>
  <c r="L18" i="9"/>
  <c r="Y18" i="9" s="1"/>
  <c r="L19" i="9"/>
  <c r="Y19" i="9" s="1"/>
  <c r="L20" i="9"/>
  <c r="L21" i="9"/>
  <c r="Y21" i="9" s="1"/>
  <c r="L22" i="9"/>
  <c r="Y22" i="9" s="1"/>
  <c r="L23" i="9"/>
  <c r="Y23" i="9" s="1"/>
  <c r="L24" i="9"/>
  <c r="L25" i="9"/>
  <c r="Y25" i="9" s="1"/>
  <c r="L26" i="9"/>
  <c r="Y26" i="9" s="1"/>
  <c r="L27" i="9"/>
  <c r="Y27" i="9" s="1"/>
  <c r="L28" i="9"/>
  <c r="L29" i="9"/>
  <c r="Y29" i="9" s="1"/>
  <c r="L30" i="9"/>
  <c r="Y30" i="9" s="1"/>
  <c r="L31" i="9"/>
  <c r="Y31" i="9" s="1"/>
  <c r="L32" i="9"/>
  <c r="L33" i="9"/>
  <c r="Y33" i="9" s="1"/>
  <c r="L34" i="9"/>
  <c r="Y34" i="9" s="1"/>
  <c r="L35" i="9"/>
  <c r="Y35" i="9" s="1"/>
  <c r="L36" i="9"/>
  <c r="L37" i="9"/>
  <c r="Y37" i="9" s="1"/>
  <c r="L38" i="9"/>
  <c r="Y38" i="9" s="1"/>
  <c r="L39" i="9"/>
  <c r="Y39" i="9" s="1"/>
  <c r="L40" i="9"/>
  <c r="L41" i="9"/>
  <c r="Y41" i="9" s="1"/>
  <c r="L42" i="9"/>
  <c r="Y42" i="9" s="1"/>
  <c r="L43" i="9"/>
  <c r="Y43" i="9" s="1"/>
  <c r="L44" i="9"/>
  <c r="L45" i="9"/>
  <c r="Y45" i="9" s="1"/>
  <c r="L46" i="9"/>
  <c r="Y46" i="9" s="1"/>
  <c r="L47" i="9"/>
  <c r="Y47" i="9" s="1"/>
  <c r="L48" i="9"/>
  <c r="L49" i="9"/>
  <c r="Y49" i="9" s="1"/>
  <c r="L50" i="9"/>
  <c r="Y50" i="9" s="1"/>
  <c r="L51" i="9"/>
  <c r="L8" i="9"/>
  <c r="Y8" i="9" s="1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8" i="9"/>
  <c r="Z9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S12" i="3"/>
  <c r="T12" i="3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T11" i="3"/>
  <c r="S11" i="3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8" i="9"/>
  <c r="S12" i="4"/>
  <c r="T12" i="4"/>
  <c r="S13" i="4"/>
  <c r="T13" i="4"/>
  <c r="S14" i="4"/>
  <c r="T14" i="4"/>
  <c r="S15" i="4"/>
  <c r="T15" i="4"/>
  <c r="S16" i="4"/>
  <c r="T16" i="4"/>
  <c r="S17" i="4"/>
  <c r="T17" i="4"/>
  <c r="S18" i="4"/>
  <c r="T18" i="4"/>
  <c r="S19" i="4"/>
  <c r="T19" i="4"/>
  <c r="S20" i="4"/>
  <c r="T20" i="4"/>
  <c r="S21" i="4"/>
  <c r="T21" i="4"/>
  <c r="S22" i="4"/>
  <c r="T22" i="4"/>
  <c r="S23" i="4"/>
  <c r="T23" i="4"/>
  <c r="S24" i="4"/>
  <c r="T24" i="4"/>
  <c r="S25" i="4"/>
  <c r="T25" i="4"/>
  <c r="S26" i="4"/>
  <c r="T26" i="4"/>
  <c r="S27" i="4"/>
  <c r="T27" i="4"/>
  <c r="S28" i="4"/>
  <c r="T28" i="4"/>
  <c r="S29" i="4"/>
  <c r="T29" i="4"/>
  <c r="S30" i="4"/>
  <c r="T30" i="4"/>
  <c r="S31" i="4"/>
  <c r="T31" i="4"/>
  <c r="S32" i="4"/>
  <c r="T32" i="4"/>
  <c r="S33" i="4"/>
  <c r="T33" i="4"/>
  <c r="S34" i="4"/>
  <c r="T34" i="4"/>
  <c r="S35" i="4"/>
  <c r="T35" i="4"/>
  <c r="S36" i="4"/>
  <c r="T36" i="4"/>
  <c r="S37" i="4"/>
  <c r="T37" i="4"/>
  <c r="S38" i="4"/>
  <c r="T38" i="4"/>
  <c r="S39" i="4"/>
  <c r="T39" i="4"/>
  <c r="S40" i="4"/>
  <c r="T40" i="4"/>
  <c r="S41" i="4"/>
  <c r="T41" i="4"/>
  <c r="S42" i="4"/>
  <c r="T42" i="4"/>
  <c r="S43" i="4"/>
  <c r="T43" i="4"/>
  <c r="S44" i="4"/>
  <c r="T44" i="4"/>
  <c r="S45" i="4"/>
  <c r="T45" i="4"/>
  <c r="S46" i="4"/>
  <c r="T46" i="4"/>
  <c r="S47" i="4"/>
  <c r="T47" i="4"/>
  <c r="S48" i="4"/>
  <c r="T48" i="4"/>
  <c r="S49" i="4"/>
  <c r="T49" i="4"/>
  <c r="S50" i="4"/>
  <c r="T50" i="4"/>
  <c r="S51" i="4"/>
  <c r="T51" i="4"/>
  <c r="S52" i="4"/>
  <c r="T52" i="4"/>
  <c r="S53" i="4"/>
  <c r="T53" i="4"/>
  <c r="S54" i="4"/>
  <c r="T54" i="4"/>
  <c r="Z11" i="4"/>
  <c r="Y11" i="4"/>
  <c r="W11" i="4"/>
  <c r="V11" i="4"/>
  <c r="S11" i="4"/>
  <c r="T11" i="4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8" i="9"/>
  <c r="F9" i="9"/>
  <c r="F10" i="9"/>
  <c r="X10" i="9" s="1"/>
  <c r="F11" i="9"/>
  <c r="X11" i="9" s="1"/>
  <c r="F12" i="9"/>
  <c r="X12" i="9" s="1"/>
  <c r="F13" i="9"/>
  <c r="F14" i="9"/>
  <c r="X14" i="9" s="1"/>
  <c r="F15" i="9"/>
  <c r="X15" i="9" s="1"/>
  <c r="F16" i="9"/>
  <c r="X16" i="9" s="1"/>
  <c r="F17" i="9"/>
  <c r="F18" i="9"/>
  <c r="X18" i="9" s="1"/>
  <c r="F19" i="9"/>
  <c r="X19" i="9" s="1"/>
  <c r="F20" i="9"/>
  <c r="X20" i="9" s="1"/>
  <c r="F21" i="9"/>
  <c r="F22" i="9"/>
  <c r="X22" i="9" s="1"/>
  <c r="F23" i="9"/>
  <c r="X23" i="9" s="1"/>
  <c r="F24" i="9"/>
  <c r="X24" i="9" s="1"/>
  <c r="F25" i="9"/>
  <c r="F26" i="9"/>
  <c r="X26" i="9" s="1"/>
  <c r="F27" i="9"/>
  <c r="X27" i="9" s="1"/>
  <c r="F28" i="9"/>
  <c r="X28" i="9" s="1"/>
  <c r="F29" i="9"/>
  <c r="F30" i="9"/>
  <c r="X30" i="9" s="1"/>
  <c r="F31" i="9"/>
  <c r="X31" i="9" s="1"/>
  <c r="F32" i="9"/>
  <c r="X32" i="9" s="1"/>
  <c r="F33" i="9"/>
  <c r="F34" i="9"/>
  <c r="X34" i="9" s="1"/>
  <c r="F35" i="9"/>
  <c r="X35" i="9" s="1"/>
  <c r="F36" i="9"/>
  <c r="X36" i="9" s="1"/>
  <c r="F37" i="9"/>
  <c r="F38" i="9"/>
  <c r="X38" i="9" s="1"/>
  <c r="F39" i="9"/>
  <c r="X39" i="9" s="1"/>
  <c r="F40" i="9"/>
  <c r="X40" i="9" s="1"/>
  <c r="F41" i="9"/>
  <c r="F42" i="9"/>
  <c r="X42" i="9" s="1"/>
  <c r="F43" i="9"/>
  <c r="X43" i="9" s="1"/>
  <c r="F44" i="9"/>
  <c r="X44" i="9" s="1"/>
  <c r="F45" i="9"/>
  <c r="F46" i="9"/>
  <c r="X46" i="9" s="1"/>
  <c r="F47" i="9"/>
  <c r="X47" i="9" s="1"/>
  <c r="F48" i="9"/>
  <c r="X48" i="9" s="1"/>
  <c r="F49" i="9"/>
  <c r="F50" i="9"/>
  <c r="X50" i="9" s="1"/>
  <c r="F51" i="9"/>
  <c r="F8" i="9"/>
  <c r="X8" i="9" s="1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V48" i="9" s="1"/>
  <c r="E49" i="9"/>
  <c r="E50" i="9"/>
  <c r="E51" i="9"/>
  <c r="E8" i="9"/>
  <c r="S7" i="6"/>
  <c r="U7" i="6"/>
  <c r="X12" i="6"/>
  <c r="AA12" i="6" s="1"/>
  <c r="X13" i="6"/>
  <c r="AA13" i="6" s="1"/>
  <c r="X14" i="6"/>
  <c r="X15" i="6"/>
  <c r="X16" i="6"/>
  <c r="AA16" i="6" s="1"/>
  <c r="X17" i="6"/>
  <c r="AA17" i="6" s="1"/>
  <c r="X18" i="6"/>
  <c r="X19" i="6"/>
  <c r="X20" i="6"/>
  <c r="AA20" i="6" s="1"/>
  <c r="X21" i="6"/>
  <c r="AA21" i="6" s="1"/>
  <c r="X22" i="6"/>
  <c r="X23" i="6"/>
  <c r="X24" i="6"/>
  <c r="X25" i="6"/>
  <c r="AA25" i="6" s="1"/>
  <c r="X26" i="6"/>
  <c r="X27" i="6"/>
  <c r="X28" i="6"/>
  <c r="AA28" i="6" s="1"/>
  <c r="X29" i="6"/>
  <c r="AA29" i="6" s="1"/>
  <c r="X30" i="6"/>
  <c r="X31" i="6"/>
  <c r="X32" i="6"/>
  <c r="AA32" i="6" s="1"/>
  <c r="X33" i="6"/>
  <c r="AA33" i="6" s="1"/>
  <c r="X34" i="6"/>
  <c r="X35" i="6"/>
  <c r="X36" i="6"/>
  <c r="AA36" i="6" s="1"/>
  <c r="X37" i="6"/>
  <c r="AA37" i="6" s="1"/>
  <c r="X38" i="6"/>
  <c r="X39" i="6"/>
  <c r="X40" i="6"/>
  <c r="X41" i="6"/>
  <c r="AA41" i="6" s="1"/>
  <c r="X42" i="6"/>
  <c r="X43" i="6"/>
  <c r="X44" i="6"/>
  <c r="AA44" i="6" s="1"/>
  <c r="X45" i="6"/>
  <c r="AA45" i="6" s="1"/>
  <c r="X46" i="6"/>
  <c r="X47" i="6"/>
  <c r="X48" i="6"/>
  <c r="AA48" i="6" s="1"/>
  <c r="X49" i="6"/>
  <c r="AA49" i="6" s="1"/>
  <c r="X50" i="6"/>
  <c r="X51" i="6"/>
  <c r="X52" i="6"/>
  <c r="AA52" i="6" s="1"/>
  <c r="X53" i="6"/>
  <c r="AA53" i="6" s="1"/>
  <c r="X54" i="6"/>
  <c r="AA14" i="6"/>
  <c r="AA15" i="6"/>
  <c r="AA18" i="6"/>
  <c r="AA19" i="6"/>
  <c r="AA22" i="6"/>
  <c r="AA23" i="6"/>
  <c r="AA24" i="6"/>
  <c r="AA26" i="6"/>
  <c r="AA27" i="6"/>
  <c r="AA30" i="6"/>
  <c r="AA31" i="6"/>
  <c r="AA34" i="6"/>
  <c r="AA35" i="6"/>
  <c r="AA38" i="6"/>
  <c r="AA39" i="6"/>
  <c r="AA40" i="6"/>
  <c r="AA42" i="6"/>
  <c r="AA43" i="6"/>
  <c r="AA46" i="6"/>
  <c r="AA47" i="6"/>
  <c r="AA50" i="6"/>
  <c r="AA51" i="6"/>
  <c r="AA54" i="6"/>
  <c r="AA9" i="6"/>
  <c r="T7" i="6"/>
  <c r="D9" i="9"/>
  <c r="W9" i="9" s="1"/>
  <c r="D10" i="9"/>
  <c r="W10" i="9" s="1"/>
  <c r="D11" i="9"/>
  <c r="W11" i="9" s="1"/>
  <c r="D12" i="9"/>
  <c r="D13" i="9"/>
  <c r="W13" i="9" s="1"/>
  <c r="D14" i="9"/>
  <c r="W14" i="9" s="1"/>
  <c r="D15" i="9"/>
  <c r="W15" i="9" s="1"/>
  <c r="D16" i="9"/>
  <c r="D17" i="9"/>
  <c r="W17" i="9" s="1"/>
  <c r="D18" i="9"/>
  <c r="W18" i="9" s="1"/>
  <c r="D19" i="9"/>
  <c r="W19" i="9" s="1"/>
  <c r="D20" i="9"/>
  <c r="D21" i="9"/>
  <c r="W21" i="9" s="1"/>
  <c r="D22" i="9"/>
  <c r="W22" i="9" s="1"/>
  <c r="D23" i="9"/>
  <c r="W23" i="9" s="1"/>
  <c r="D24" i="9"/>
  <c r="D25" i="9"/>
  <c r="W25" i="9" s="1"/>
  <c r="D26" i="9"/>
  <c r="W26" i="9" s="1"/>
  <c r="D27" i="9"/>
  <c r="W27" i="9" s="1"/>
  <c r="D28" i="9"/>
  <c r="D29" i="9"/>
  <c r="W29" i="9" s="1"/>
  <c r="D30" i="9"/>
  <c r="W30" i="9" s="1"/>
  <c r="D31" i="9"/>
  <c r="W31" i="9" s="1"/>
  <c r="D32" i="9"/>
  <c r="D33" i="9"/>
  <c r="W33" i="9" s="1"/>
  <c r="D34" i="9"/>
  <c r="W34" i="9" s="1"/>
  <c r="D35" i="9"/>
  <c r="W35" i="9" s="1"/>
  <c r="D36" i="9"/>
  <c r="D37" i="9"/>
  <c r="W37" i="9" s="1"/>
  <c r="D38" i="9"/>
  <c r="W38" i="9" s="1"/>
  <c r="D39" i="9"/>
  <c r="W39" i="9" s="1"/>
  <c r="D40" i="9"/>
  <c r="D41" i="9"/>
  <c r="W41" i="9" s="1"/>
  <c r="D42" i="9"/>
  <c r="W42" i="9" s="1"/>
  <c r="D43" i="9"/>
  <c r="W43" i="9" s="1"/>
  <c r="D44" i="9"/>
  <c r="D45" i="9"/>
  <c r="W45" i="9" s="1"/>
  <c r="D46" i="9"/>
  <c r="W46" i="9" s="1"/>
  <c r="D47" i="9"/>
  <c r="W47" i="9" s="1"/>
  <c r="D48" i="9"/>
  <c r="W48" i="9" s="1"/>
  <c r="D49" i="9"/>
  <c r="W49" i="9" s="1"/>
  <c r="D50" i="9"/>
  <c r="W50" i="9" s="1"/>
  <c r="D51" i="9"/>
  <c r="D8" i="9"/>
  <c r="C9" i="9"/>
  <c r="V9" i="9" s="1"/>
  <c r="C10" i="9"/>
  <c r="V10" i="9" s="1"/>
  <c r="C11" i="9"/>
  <c r="V11" i="9" s="1"/>
  <c r="C12" i="9"/>
  <c r="C13" i="9"/>
  <c r="V13" i="9" s="1"/>
  <c r="C14" i="9"/>
  <c r="V14" i="9" s="1"/>
  <c r="C15" i="9"/>
  <c r="V15" i="9" s="1"/>
  <c r="C16" i="9"/>
  <c r="C17" i="9"/>
  <c r="V17" i="9" s="1"/>
  <c r="C18" i="9"/>
  <c r="V18" i="9" s="1"/>
  <c r="C19" i="9"/>
  <c r="V19" i="9" s="1"/>
  <c r="C20" i="9"/>
  <c r="C21" i="9"/>
  <c r="V21" i="9" s="1"/>
  <c r="C22" i="9"/>
  <c r="V22" i="9" s="1"/>
  <c r="C23" i="9"/>
  <c r="V23" i="9" s="1"/>
  <c r="C24" i="9"/>
  <c r="C25" i="9"/>
  <c r="V25" i="9" s="1"/>
  <c r="C26" i="9"/>
  <c r="V26" i="9" s="1"/>
  <c r="C27" i="9"/>
  <c r="V27" i="9" s="1"/>
  <c r="C28" i="9"/>
  <c r="C29" i="9"/>
  <c r="V29" i="9" s="1"/>
  <c r="C30" i="9"/>
  <c r="V30" i="9" s="1"/>
  <c r="C31" i="9"/>
  <c r="V31" i="9" s="1"/>
  <c r="C32" i="9"/>
  <c r="C33" i="9"/>
  <c r="V33" i="9" s="1"/>
  <c r="C34" i="9"/>
  <c r="V34" i="9" s="1"/>
  <c r="C35" i="9"/>
  <c r="V35" i="9" s="1"/>
  <c r="C36" i="9"/>
  <c r="C37" i="9"/>
  <c r="V37" i="9" s="1"/>
  <c r="C38" i="9"/>
  <c r="V38" i="9" s="1"/>
  <c r="C39" i="9"/>
  <c r="V39" i="9" s="1"/>
  <c r="C40" i="9"/>
  <c r="C41" i="9"/>
  <c r="V41" i="9" s="1"/>
  <c r="C42" i="9"/>
  <c r="V42" i="9" s="1"/>
  <c r="C43" i="9"/>
  <c r="V43" i="9" s="1"/>
  <c r="C44" i="9"/>
  <c r="C45" i="9"/>
  <c r="V45" i="9" s="1"/>
  <c r="C46" i="9"/>
  <c r="V46" i="9" s="1"/>
  <c r="C47" i="9"/>
  <c r="V47" i="9" s="1"/>
  <c r="C48" i="9"/>
  <c r="C49" i="9"/>
  <c r="V49" i="9" s="1"/>
  <c r="C50" i="9"/>
  <c r="V50" i="9" s="1"/>
  <c r="C51" i="9"/>
  <c r="V51" i="9" s="1"/>
  <c r="C8" i="9"/>
  <c r="V8" i="9" l="1"/>
  <c r="V44" i="9"/>
  <c r="V36" i="9"/>
  <c r="V32" i="9"/>
  <c r="V28" i="9"/>
  <c r="V24" i="9"/>
  <c r="V20" i="9"/>
  <c r="V16" i="9"/>
  <c r="V12" i="9"/>
  <c r="W8" i="9"/>
  <c r="W44" i="9"/>
  <c r="W40" i="9"/>
  <c r="W36" i="9"/>
  <c r="W32" i="9"/>
  <c r="W28" i="9"/>
  <c r="W24" i="9"/>
  <c r="W20" i="9"/>
  <c r="W16" i="9"/>
  <c r="W12" i="9"/>
  <c r="V40" i="9"/>
  <c r="X11" i="6"/>
  <c r="AA11" i="6" s="1"/>
  <c r="X7" i="9" l="1"/>
  <c r="W7" i="9"/>
  <c r="V7" i="9"/>
  <c r="U7" i="9"/>
  <c r="C81" i="7"/>
  <c r="C80" i="7"/>
  <c r="C79" i="7"/>
  <c r="D73" i="7"/>
  <c r="D72" i="7"/>
  <c r="B72" i="7"/>
  <c r="B70" i="7"/>
  <c r="T55" i="7"/>
  <c r="W55" i="7" s="1"/>
  <c r="Q55" i="7"/>
  <c r="P55" i="7"/>
  <c r="S55" i="7" s="1"/>
  <c r="V55" i="7" s="1"/>
  <c r="O55" i="7"/>
  <c r="H55" i="7"/>
  <c r="L55" i="7" s="1"/>
  <c r="W54" i="7"/>
  <c r="T54" i="7"/>
  <c r="S54" i="7"/>
  <c r="V54" i="7" s="1"/>
  <c r="Q54" i="7"/>
  <c r="P54" i="7"/>
  <c r="O54" i="7"/>
  <c r="H54" i="7"/>
  <c r="L54" i="7" s="1"/>
  <c r="Q53" i="7"/>
  <c r="P53" i="7"/>
  <c r="O53" i="7"/>
  <c r="L53" i="7"/>
  <c r="H53" i="7"/>
  <c r="Q52" i="7"/>
  <c r="T52" i="7" s="1"/>
  <c r="W52" i="7" s="1"/>
  <c r="P52" i="7"/>
  <c r="O52" i="7"/>
  <c r="H52" i="7"/>
  <c r="L52" i="7" s="1"/>
  <c r="T51" i="7"/>
  <c r="W51" i="7" s="1"/>
  <c r="Q51" i="7"/>
  <c r="P51" i="7"/>
  <c r="S51" i="7" s="1"/>
  <c r="V51" i="7" s="1"/>
  <c r="O51" i="7"/>
  <c r="H51" i="7"/>
  <c r="L51" i="7" s="1"/>
  <c r="T50" i="7"/>
  <c r="W50" i="7" s="1"/>
  <c r="S50" i="7"/>
  <c r="V50" i="7" s="1"/>
  <c r="Q50" i="7"/>
  <c r="P50" i="7"/>
  <c r="O50" i="7"/>
  <c r="H50" i="7"/>
  <c r="L50" i="7" s="1"/>
  <c r="S49" i="7"/>
  <c r="V49" i="7" s="1"/>
  <c r="R49" i="7"/>
  <c r="U49" i="7" s="1"/>
  <c r="Q49" i="7"/>
  <c r="P49" i="7"/>
  <c r="O49" i="7"/>
  <c r="L49" i="7"/>
  <c r="H49" i="7"/>
  <c r="R48" i="7"/>
  <c r="U48" i="7" s="1"/>
  <c r="Q48" i="7"/>
  <c r="T48" i="7" s="1"/>
  <c r="W48" i="7" s="1"/>
  <c r="P48" i="7"/>
  <c r="O48" i="7"/>
  <c r="H48" i="7"/>
  <c r="L48" i="7" s="1"/>
  <c r="Q47" i="7"/>
  <c r="T47" i="7" s="1"/>
  <c r="W47" i="7" s="1"/>
  <c r="P47" i="7"/>
  <c r="S47" i="7" s="1"/>
  <c r="V47" i="7" s="1"/>
  <c r="O47" i="7"/>
  <c r="H47" i="7"/>
  <c r="L47" i="7" s="1"/>
  <c r="T46" i="7"/>
  <c r="W46" i="7" s="1"/>
  <c r="Q46" i="7"/>
  <c r="P46" i="7"/>
  <c r="S46" i="7" s="1"/>
  <c r="V46" i="7" s="1"/>
  <c r="O46" i="7"/>
  <c r="R46" i="7" s="1"/>
  <c r="U46" i="7" s="1"/>
  <c r="H46" i="7"/>
  <c r="L46" i="7" s="1"/>
  <c r="S45" i="7"/>
  <c r="V45" i="7" s="1"/>
  <c r="Q45" i="7"/>
  <c r="P45" i="7"/>
  <c r="O45" i="7"/>
  <c r="R45" i="7" s="1"/>
  <c r="U45" i="7" s="1"/>
  <c r="L45" i="7"/>
  <c r="H45" i="7"/>
  <c r="Q44" i="7"/>
  <c r="T44" i="7" s="1"/>
  <c r="W44" i="7" s="1"/>
  <c r="P44" i="7"/>
  <c r="O44" i="7"/>
  <c r="H44" i="7"/>
  <c r="L44" i="7" s="1"/>
  <c r="T43" i="7"/>
  <c r="W43" i="7" s="1"/>
  <c r="Q43" i="7"/>
  <c r="P43" i="7"/>
  <c r="S43" i="7" s="1"/>
  <c r="V43" i="7" s="1"/>
  <c r="O43" i="7"/>
  <c r="H43" i="7"/>
  <c r="L43" i="7" s="1"/>
  <c r="T42" i="7"/>
  <c r="W42" i="7" s="1"/>
  <c r="S42" i="7"/>
  <c r="V42" i="7" s="1"/>
  <c r="Q42" i="7"/>
  <c r="P42" i="7"/>
  <c r="O42" i="7"/>
  <c r="H42" i="7"/>
  <c r="L42" i="7" s="1"/>
  <c r="S41" i="7"/>
  <c r="V41" i="7" s="1"/>
  <c r="R41" i="7"/>
  <c r="U41" i="7" s="1"/>
  <c r="Q41" i="7"/>
  <c r="P41" i="7"/>
  <c r="O41" i="7"/>
  <c r="L41" i="7"/>
  <c r="H41" i="7"/>
  <c r="R40" i="7"/>
  <c r="U40" i="7" s="1"/>
  <c r="Q40" i="7"/>
  <c r="T40" i="7" s="1"/>
  <c r="W40" i="7" s="1"/>
  <c r="P40" i="7"/>
  <c r="O40" i="7"/>
  <c r="H40" i="7"/>
  <c r="L40" i="7" s="1"/>
  <c r="Q39" i="7"/>
  <c r="T39" i="7" s="1"/>
  <c r="W39" i="7" s="1"/>
  <c r="P39" i="7"/>
  <c r="S39" i="7" s="1"/>
  <c r="V39" i="7" s="1"/>
  <c r="O39" i="7"/>
  <c r="H39" i="7"/>
  <c r="L39" i="7" s="1"/>
  <c r="T38" i="7"/>
  <c r="W38" i="7" s="1"/>
  <c r="Q38" i="7"/>
  <c r="P38" i="7"/>
  <c r="S38" i="7" s="1"/>
  <c r="V38" i="7" s="1"/>
  <c r="O38" i="7"/>
  <c r="R38" i="7" s="1"/>
  <c r="U38" i="7" s="1"/>
  <c r="H38" i="7"/>
  <c r="L38" i="7" s="1"/>
  <c r="S37" i="7"/>
  <c r="V37" i="7" s="1"/>
  <c r="Q37" i="7"/>
  <c r="P37" i="7"/>
  <c r="O37" i="7"/>
  <c r="R37" i="7" s="1"/>
  <c r="U37" i="7" s="1"/>
  <c r="L37" i="7"/>
  <c r="H37" i="7"/>
  <c r="Q36" i="7"/>
  <c r="T36" i="7" s="1"/>
  <c r="W36" i="7" s="1"/>
  <c r="P36" i="7"/>
  <c r="O36" i="7"/>
  <c r="H36" i="7"/>
  <c r="L36" i="7" s="1"/>
  <c r="T35" i="7"/>
  <c r="W35" i="7" s="1"/>
  <c r="Q35" i="7"/>
  <c r="P35" i="7"/>
  <c r="S35" i="7" s="1"/>
  <c r="V35" i="7" s="1"/>
  <c r="O35" i="7"/>
  <c r="H35" i="7"/>
  <c r="L35" i="7" s="1"/>
  <c r="T34" i="7"/>
  <c r="W34" i="7" s="1"/>
  <c r="S34" i="7"/>
  <c r="V34" i="7" s="1"/>
  <c r="Q34" i="7"/>
  <c r="P34" i="7"/>
  <c r="O34" i="7"/>
  <c r="H34" i="7"/>
  <c r="L34" i="7" s="1"/>
  <c r="S33" i="7"/>
  <c r="V33" i="7" s="1"/>
  <c r="R33" i="7"/>
  <c r="U33" i="7" s="1"/>
  <c r="Q33" i="7"/>
  <c r="P33" i="7"/>
  <c r="O33" i="7"/>
  <c r="L33" i="7"/>
  <c r="H33" i="7"/>
  <c r="R32" i="7"/>
  <c r="U32" i="7" s="1"/>
  <c r="Q32" i="7"/>
  <c r="T32" i="7" s="1"/>
  <c r="W32" i="7" s="1"/>
  <c r="P32" i="7"/>
  <c r="O32" i="7"/>
  <c r="H32" i="7"/>
  <c r="L32" i="7" s="1"/>
  <c r="Q31" i="7"/>
  <c r="T31" i="7" s="1"/>
  <c r="W31" i="7" s="1"/>
  <c r="P31" i="7"/>
  <c r="S31" i="7" s="1"/>
  <c r="V31" i="7" s="1"/>
  <c r="O31" i="7"/>
  <c r="H31" i="7"/>
  <c r="L31" i="7" s="1"/>
  <c r="T30" i="7"/>
  <c r="W30" i="7" s="1"/>
  <c r="Q30" i="7"/>
  <c r="P30" i="7"/>
  <c r="S30" i="7" s="1"/>
  <c r="V30" i="7" s="1"/>
  <c r="O30" i="7"/>
  <c r="R30" i="7" s="1"/>
  <c r="U30" i="7" s="1"/>
  <c r="H30" i="7"/>
  <c r="L30" i="7" s="1"/>
  <c r="S29" i="7"/>
  <c r="V29" i="7" s="1"/>
  <c r="Q29" i="7"/>
  <c r="P29" i="7"/>
  <c r="O29" i="7"/>
  <c r="R29" i="7" s="1"/>
  <c r="U29" i="7" s="1"/>
  <c r="L29" i="7"/>
  <c r="H29" i="7"/>
  <c r="Q28" i="7"/>
  <c r="T28" i="7" s="1"/>
  <c r="W28" i="7" s="1"/>
  <c r="P28" i="7"/>
  <c r="O28" i="7"/>
  <c r="H28" i="7"/>
  <c r="L28" i="7" s="1"/>
  <c r="T27" i="7"/>
  <c r="W27" i="7" s="1"/>
  <c r="Q27" i="7"/>
  <c r="P27" i="7"/>
  <c r="S27" i="7" s="1"/>
  <c r="V27" i="7" s="1"/>
  <c r="O27" i="7"/>
  <c r="H27" i="7"/>
  <c r="L27" i="7" s="1"/>
  <c r="T26" i="7"/>
  <c r="W26" i="7" s="1"/>
  <c r="S26" i="7"/>
  <c r="V26" i="7" s="1"/>
  <c r="Q26" i="7"/>
  <c r="P26" i="7"/>
  <c r="O26" i="7"/>
  <c r="H26" i="7"/>
  <c r="L26" i="7" s="1"/>
  <c r="S25" i="7"/>
  <c r="V25" i="7" s="1"/>
  <c r="R25" i="7"/>
  <c r="U25" i="7" s="1"/>
  <c r="Q25" i="7"/>
  <c r="P25" i="7"/>
  <c r="O25" i="7"/>
  <c r="L25" i="7"/>
  <c r="H25" i="7"/>
  <c r="R24" i="7"/>
  <c r="U24" i="7" s="1"/>
  <c r="Q24" i="7"/>
  <c r="T24" i="7" s="1"/>
  <c r="W24" i="7" s="1"/>
  <c r="P24" i="7"/>
  <c r="O24" i="7"/>
  <c r="H24" i="7"/>
  <c r="L24" i="7" s="1"/>
  <c r="Q23" i="7"/>
  <c r="T23" i="7" s="1"/>
  <c r="W23" i="7" s="1"/>
  <c r="P23" i="7"/>
  <c r="S23" i="7" s="1"/>
  <c r="V23" i="7" s="1"/>
  <c r="O23" i="7"/>
  <c r="H23" i="7"/>
  <c r="L23" i="7" s="1"/>
  <c r="T22" i="7"/>
  <c r="W22" i="7" s="1"/>
  <c r="Q22" i="7"/>
  <c r="P22" i="7"/>
  <c r="S22" i="7" s="1"/>
  <c r="V22" i="7" s="1"/>
  <c r="O22" i="7"/>
  <c r="R22" i="7" s="1"/>
  <c r="U22" i="7" s="1"/>
  <c r="H22" i="7"/>
  <c r="L22" i="7" s="1"/>
  <c r="S21" i="7"/>
  <c r="V21" i="7" s="1"/>
  <c r="Q21" i="7"/>
  <c r="P21" i="7"/>
  <c r="O21" i="7"/>
  <c r="R21" i="7" s="1"/>
  <c r="U21" i="7" s="1"/>
  <c r="L21" i="7"/>
  <c r="H21" i="7"/>
  <c r="Q20" i="7"/>
  <c r="T20" i="7" s="1"/>
  <c r="W20" i="7" s="1"/>
  <c r="P20" i="7"/>
  <c r="O20" i="7"/>
  <c r="H20" i="7"/>
  <c r="L20" i="7" s="1"/>
  <c r="T19" i="7"/>
  <c r="W19" i="7" s="1"/>
  <c r="Q19" i="7"/>
  <c r="P19" i="7"/>
  <c r="S19" i="7" s="1"/>
  <c r="V19" i="7" s="1"/>
  <c r="O19" i="7"/>
  <c r="H19" i="7"/>
  <c r="L19" i="7" s="1"/>
  <c r="T18" i="7"/>
  <c r="W18" i="7" s="1"/>
  <c r="S18" i="7"/>
  <c r="V18" i="7" s="1"/>
  <c r="Q18" i="7"/>
  <c r="P18" i="7"/>
  <c r="O18" i="7"/>
  <c r="H18" i="7"/>
  <c r="L18" i="7" s="1"/>
  <c r="S17" i="7"/>
  <c r="V17" i="7" s="1"/>
  <c r="R17" i="7"/>
  <c r="U17" i="7" s="1"/>
  <c r="Q17" i="7"/>
  <c r="P17" i="7"/>
  <c r="O17" i="7"/>
  <c r="L17" i="7"/>
  <c r="H17" i="7"/>
  <c r="R16" i="7"/>
  <c r="U16" i="7" s="1"/>
  <c r="Q16" i="7"/>
  <c r="T16" i="7" s="1"/>
  <c r="W16" i="7" s="1"/>
  <c r="P16" i="7"/>
  <c r="O16" i="7"/>
  <c r="H16" i="7"/>
  <c r="L16" i="7" s="1"/>
  <c r="Q15" i="7"/>
  <c r="T15" i="7" s="1"/>
  <c r="W15" i="7" s="1"/>
  <c r="P15" i="7"/>
  <c r="S15" i="7" s="1"/>
  <c r="V15" i="7" s="1"/>
  <c r="O15" i="7"/>
  <c r="H15" i="7"/>
  <c r="L15" i="7" s="1"/>
  <c r="T14" i="7"/>
  <c r="W14" i="7" s="1"/>
  <c r="Q14" i="7"/>
  <c r="P14" i="7"/>
  <c r="S14" i="7" s="1"/>
  <c r="V14" i="7" s="1"/>
  <c r="O14" i="7"/>
  <c r="R14" i="7" s="1"/>
  <c r="U14" i="7" s="1"/>
  <c r="H14" i="7"/>
  <c r="L14" i="7" s="1"/>
  <c r="S13" i="7"/>
  <c r="V13" i="7" s="1"/>
  <c r="Q13" i="7"/>
  <c r="P13" i="7"/>
  <c r="O13" i="7"/>
  <c r="R13" i="7" s="1"/>
  <c r="U13" i="7" s="1"/>
  <c r="L13" i="7"/>
  <c r="H13" i="7"/>
  <c r="Q12" i="7"/>
  <c r="T12" i="7" s="1"/>
  <c r="W12" i="7" s="1"/>
  <c r="P12" i="7"/>
  <c r="O12" i="7"/>
  <c r="H12" i="7"/>
  <c r="L12" i="7" s="1"/>
  <c r="W10" i="7"/>
  <c r="V10" i="7"/>
  <c r="U10" i="7"/>
  <c r="P10" i="7"/>
  <c r="O10" i="7"/>
  <c r="L9" i="7"/>
  <c r="K9" i="7"/>
  <c r="J9" i="7"/>
  <c r="I9" i="7"/>
  <c r="H9" i="7"/>
  <c r="G9" i="7"/>
  <c r="F9" i="7"/>
  <c r="E9" i="7"/>
  <c r="Q8" i="7"/>
  <c r="T53" i="7" s="1"/>
  <c r="W53" i="7" s="1"/>
  <c r="P8" i="7"/>
  <c r="O8" i="7"/>
  <c r="L7" i="7"/>
  <c r="L6" i="7"/>
  <c r="K5" i="7"/>
  <c r="J5" i="7"/>
  <c r="I5" i="7"/>
  <c r="E5" i="7"/>
  <c r="R55" i="7" l="1"/>
  <c r="U55" i="7" s="1"/>
  <c r="R51" i="7"/>
  <c r="U51" i="7" s="1"/>
  <c r="R47" i="7"/>
  <c r="U47" i="7" s="1"/>
  <c r="R43" i="7"/>
  <c r="U43" i="7" s="1"/>
  <c r="R39" i="7"/>
  <c r="U39" i="7" s="1"/>
  <c r="R35" i="7"/>
  <c r="U35" i="7" s="1"/>
  <c r="R31" i="7"/>
  <c r="U31" i="7" s="1"/>
  <c r="R27" i="7"/>
  <c r="U27" i="7" s="1"/>
  <c r="R23" i="7"/>
  <c r="U23" i="7" s="1"/>
  <c r="R19" i="7"/>
  <c r="U19" i="7" s="1"/>
  <c r="R15" i="7"/>
  <c r="U15" i="7" s="1"/>
  <c r="R18" i="7"/>
  <c r="U18" i="7" s="1"/>
  <c r="R26" i="7"/>
  <c r="U26" i="7" s="1"/>
  <c r="R34" i="7"/>
  <c r="U34" i="7" s="1"/>
  <c r="R42" i="7"/>
  <c r="U42" i="7" s="1"/>
  <c r="R50" i="7"/>
  <c r="U50" i="7" s="1"/>
  <c r="R54" i="7"/>
  <c r="U54" i="7" s="1"/>
  <c r="S52" i="7"/>
  <c r="V52" i="7" s="1"/>
  <c r="S48" i="7"/>
  <c r="V48" i="7" s="1"/>
  <c r="S44" i="7"/>
  <c r="V44" i="7" s="1"/>
  <c r="S40" i="7"/>
  <c r="V40" i="7" s="1"/>
  <c r="S36" i="7"/>
  <c r="V36" i="7" s="1"/>
  <c r="S32" i="7"/>
  <c r="V32" i="7" s="1"/>
  <c r="S28" i="7"/>
  <c r="V28" i="7" s="1"/>
  <c r="S24" i="7"/>
  <c r="V24" i="7" s="1"/>
  <c r="S20" i="7"/>
  <c r="V20" i="7" s="1"/>
  <c r="S16" i="7"/>
  <c r="V16" i="7" s="1"/>
  <c r="S12" i="7"/>
  <c r="V12" i="7" s="1"/>
  <c r="S53" i="7"/>
  <c r="V53" i="7" s="1"/>
  <c r="R12" i="7"/>
  <c r="U12" i="7" s="1"/>
  <c r="R20" i="7"/>
  <c r="U20" i="7" s="1"/>
  <c r="R28" i="7"/>
  <c r="U28" i="7" s="1"/>
  <c r="R36" i="7"/>
  <c r="U36" i="7" s="1"/>
  <c r="R44" i="7"/>
  <c r="U44" i="7" s="1"/>
  <c r="R52" i="7"/>
  <c r="U52" i="7" s="1"/>
  <c r="R53" i="7"/>
  <c r="U53" i="7" s="1"/>
  <c r="T13" i="7"/>
  <c r="W13" i="7" s="1"/>
  <c r="E81" i="7" s="1"/>
  <c r="F81" i="7" s="1"/>
  <c r="T17" i="7"/>
  <c r="W17" i="7" s="1"/>
  <c r="T21" i="7"/>
  <c r="W21" i="7" s="1"/>
  <c r="T25" i="7"/>
  <c r="W25" i="7" s="1"/>
  <c r="T29" i="7"/>
  <c r="W29" i="7" s="1"/>
  <c r="T33" i="7"/>
  <c r="W33" i="7" s="1"/>
  <c r="T37" i="7"/>
  <c r="W37" i="7" s="1"/>
  <c r="T41" i="7"/>
  <c r="W41" i="7" s="1"/>
  <c r="T45" i="7"/>
  <c r="W45" i="7" s="1"/>
  <c r="T49" i="7"/>
  <c r="W49" i="7" s="1"/>
  <c r="E79" i="7" l="1"/>
  <c r="F79" i="7" s="1"/>
  <c r="D79" i="7"/>
  <c r="E80" i="7"/>
  <c r="F80" i="7" s="1"/>
  <c r="D81" i="7"/>
  <c r="D80" i="7"/>
  <c r="C71" i="6" l="1"/>
  <c r="C70" i="6"/>
  <c r="C69" i="6"/>
  <c r="Q54" i="6"/>
  <c r="O54" i="6"/>
  <c r="K54" i="6"/>
  <c r="T54" i="6" s="1"/>
  <c r="W54" i="6" s="1"/>
  <c r="Z54" i="6" s="1"/>
  <c r="J54" i="6"/>
  <c r="U54" i="6" s="1"/>
  <c r="I54" i="6"/>
  <c r="E54" i="6"/>
  <c r="S54" i="6" s="1"/>
  <c r="V54" i="6" s="1"/>
  <c r="Y54" i="6" s="1"/>
  <c r="D54" i="6"/>
  <c r="C54" i="6"/>
  <c r="Q53" i="6"/>
  <c r="O53" i="6"/>
  <c r="K53" i="6"/>
  <c r="T53" i="6" s="1"/>
  <c r="W53" i="6" s="1"/>
  <c r="Z53" i="6" s="1"/>
  <c r="J53" i="6"/>
  <c r="U53" i="6" s="1"/>
  <c r="I53" i="6"/>
  <c r="E53" i="6"/>
  <c r="P53" i="6" s="1"/>
  <c r="D53" i="6"/>
  <c r="C53" i="6"/>
  <c r="Q52" i="6"/>
  <c r="O52" i="6"/>
  <c r="K52" i="6"/>
  <c r="T52" i="6" s="1"/>
  <c r="W52" i="6" s="1"/>
  <c r="Z52" i="6" s="1"/>
  <c r="J52" i="6"/>
  <c r="U52" i="6" s="1"/>
  <c r="I52" i="6"/>
  <c r="P52" i="6" s="1"/>
  <c r="E52" i="6"/>
  <c r="S52" i="6" s="1"/>
  <c r="V52" i="6" s="1"/>
  <c r="Y52" i="6" s="1"/>
  <c r="D52" i="6"/>
  <c r="C52" i="6"/>
  <c r="S51" i="6"/>
  <c r="V51" i="6" s="1"/>
  <c r="Y51" i="6" s="1"/>
  <c r="Q51" i="6"/>
  <c r="O51" i="6"/>
  <c r="K51" i="6"/>
  <c r="T51" i="6" s="1"/>
  <c r="W51" i="6" s="1"/>
  <c r="Z51" i="6" s="1"/>
  <c r="J51" i="6"/>
  <c r="U51" i="6" s="1"/>
  <c r="I51" i="6"/>
  <c r="E51" i="6"/>
  <c r="D51" i="6"/>
  <c r="C51" i="6"/>
  <c r="Q50" i="6"/>
  <c r="O50" i="6"/>
  <c r="K50" i="6"/>
  <c r="T50" i="6" s="1"/>
  <c r="W50" i="6" s="1"/>
  <c r="Z50" i="6" s="1"/>
  <c r="J50" i="6"/>
  <c r="U50" i="6" s="1"/>
  <c r="I50" i="6"/>
  <c r="E50" i="6"/>
  <c r="S50" i="6" s="1"/>
  <c r="V50" i="6" s="1"/>
  <c r="Y50" i="6" s="1"/>
  <c r="D50" i="6"/>
  <c r="C50" i="6"/>
  <c r="Q49" i="6"/>
  <c r="O49" i="6"/>
  <c r="K49" i="6"/>
  <c r="T49" i="6" s="1"/>
  <c r="W49" i="6" s="1"/>
  <c r="Z49" i="6" s="1"/>
  <c r="J49" i="6"/>
  <c r="U49" i="6" s="1"/>
  <c r="I49" i="6"/>
  <c r="E49" i="6"/>
  <c r="D49" i="6"/>
  <c r="C49" i="6"/>
  <c r="Q48" i="6"/>
  <c r="O48" i="6"/>
  <c r="K48" i="6"/>
  <c r="T48" i="6" s="1"/>
  <c r="W48" i="6" s="1"/>
  <c r="Z48" i="6" s="1"/>
  <c r="J48" i="6"/>
  <c r="U48" i="6" s="1"/>
  <c r="I48" i="6"/>
  <c r="E48" i="6"/>
  <c r="S48" i="6" s="1"/>
  <c r="V48" i="6" s="1"/>
  <c r="Y48" i="6" s="1"/>
  <c r="D48" i="6"/>
  <c r="C48" i="6"/>
  <c r="Q47" i="6"/>
  <c r="O47" i="6"/>
  <c r="K47" i="6"/>
  <c r="T47" i="6" s="1"/>
  <c r="W47" i="6" s="1"/>
  <c r="Z47" i="6" s="1"/>
  <c r="J47" i="6"/>
  <c r="U47" i="6" s="1"/>
  <c r="I47" i="6"/>
  <c r="E47" i="6"/>
  <c r="S47" i="6" s="1"/>
  <c r="V47" i="6" s="1"/>
  <c r="Y47" i="6" s="1"/>
  <c r="D47" i="6"/>
  <c r="C47" i="6"/>
  <c r="Q46" i="6"/>
  <c r="O46" i="6"/>
  <c r="K46" i="6"/>
  <c r="T46" i="6" s="1"/>
  <c r="W46" i="6" s="1"/>
  <c r="Z46" i="6" s="1"/>
  <c r="J46" i="6"/>
  <c r="U46" i="6" s="1"/>
  <c r="I46" i="6"/>
  <c r="E46" i="6"/>
  <c r="S46" i="6" s="1"/>
  <c r="V46" i="6" s="1"/>
  <c r="Y46" i="6" s="1"/>
  <c r="D46" i="6"/>
  <c r="C46" i="6"/>
  <c r="Q45" i="6"/>
  <c r="O45" i="6"/>
  <c r="K45" i="6"/>
  <c r="T45" i="6" s="1"/>
  <c r="W45" i="6" s="1"/>
  <c r="Z45" i="6" s="1"/>
  <c r="J45" i="6"/>
  <c r="U45" i="6" s="1"/>
  <c r="I45" i="6"/>
  <c r="E45" i="6"/>
  <c r="D45" i="6"/>
  <c r="C45" i="6"/>
  <c r="Q44" i="6"/>
  <c r="O44" i="6"/>
  <c r="K44" i="6"/>
  <c r="T44" i="6" s="1"/>
  <c r="W44" i="6" s="1"/>
  <c r="Z44" i="6" s="1"/>
  <c r="J44" i="6"/>
  <c r="U44" i="6" s="1"/>
  <c r="I44" i="6"/>
  <c r="E44" i="6"/>
  <c r="S44" i="6" s="1"/>
  <c r="V44" i="6" s="1"/>
  <c r="Y44" i="6" s="1"/>
  <c r="D44" i="6"/>
  <c r="C44" i="6"/>
  <c r="Q43" i="6"/>
  <c r="O43" i="6"/>
  <c r="K43" i="6"/>
  <c r="T43" i="6" s="1"/>
  <c r="W43" i="6" s="1"/>
  <c r="Z43" i="6" s="1"/>
  <c r="J43" i="6"/>
  <c r="U43" i="6" s="1"/>
  <c r="I43" i="6"/>
  <c r="E43" i="6"/>
  <c r="S43" i="6" s="1"/>
  <c r="V43" i="6" s="1"/>
  <c r="Y43" i="6" s="1"/>
  <c r="D43" i="6"/>
  <c r="C43" i="6"/>
  <c r="T42" i="6"/>
  <c r="Q42" i="6"/>
  <c r="O42" i="6"/>
  <c r="K42" i="6"/>
  <c r="J42" i="6"/>
  <c r="U42" i="6" s="1"/>
  <c r="I42" i="6"/>
  <c r="E42" i="6"/>
  <c r="S42" i="6" s="1"/>
  <c r="V42" i="6" s="1"/>
  <c r="Y42" i="6" s="1"/>
  <c r="D42" i="6"/>
  <c r="C42" i="6"/>
  <c r="S41" i="6"/>
  <c r="V41" i="6" s="1"/>
  <c r="Y41" i="6" s="1"/>
  <c r="Q41" i="6"/>
  <c r="O41" i="6"/>
  <c r="K41" i="6"/>
  <c r="T41" i="6" s="1"/>
  <c r="W41" i="6" s="1"/>
  <c r="Z41" i="6" s="1"/>
  <c r="J41" i="6"/>
  <c r="U41" i="6" s="1"/>
  <c r="I41" i="6"/>
  <c r="E41" i="6"/>
  <c r="D41" i="6"/>
  <c r="C41" i="6"/>
  <c r="Q40" i="6"/>
  <c r="O40" i="6"/>
  <c r="K40" i="6"/>
  <c r="T40" i="6" s="1"/>
  <c r="W40" i="6" s="1"/>
  <c r="Z40" i="6" s="1"/>
  <c r="J40" i="6"/>
  <c r="U40" i="6" s="1"/>
  <c r="I40" i="6"/>
  <c r="P40" i="6" s="1"/>
  <c r="E40" i="6"/>
  <c r="S40" i="6" s="1"/>
  <c r="V40" i="6" s="1"/>
  <c r="Y40" i="6" s="1"/>
  <c r="D40" i="6"/>
  <c r="C40" i="6"/>
  <c r="Q39" i="6"/>
  <c r="O39" i="6"/>
  <c r="K39" i="6"/>
  <c r="T39" i="6" s="1"/>
  <c r="W39" i="6" s="1"/>
  <c r="Z39" i="6" s="1"/>
  <c r="J39" i="6"/>
  <c r="U39" i="6" s="1"/>
  <c r="I39" i="6"/>
  <c r="E39" i="6"/>
  <c r="D39" i="6"/>
  <c r="C39" i="6"/>
  <c r="W38" i="6"/>
  <c r="Z38" i="6" s="1"/>
  <c r="S38" i="6"/>
  <c r="V38" i="6" s="1"/>
  <c r="Y38" i="6" s="1"/>
  <c r="Q38" i="6"/>
  <c r="O38" i="6"/>
  <c r="K38" i="6"/>
  <c r="T38" i="6" s="1"/>
  <c r="J38" i="6"/>
  <c r="U38" i="6" s="1"/>
  <c r="I38" i="6"/>
  <c r="E38" i="6"/>
  <c r="D38" i="6"/>
  <c r="C38" i="6"/>
  <c r="U37" i="6"/>
  <c r="Q37" i="6"/>
  <c r="O37" i="6"/>
  <c r="K37" i="6"/>
  <c r="T37" i="6" s="1"/>
  <c r="W37" i="6" s="1"/>
  <c r="Z37" i="6" s="1"/>
  <c r="J37" i="6"/>
  <c r="I37" i="6"/>
  <c r="E37" i="6"/>
  <c r="S37" i="6" s="1"/>
  <c r="V37" i="6" s="1"/>
  <c r="Y37" i="6" s="1"/>
  <c r="D37" i="6"/>
  <c r="C37" i="6"/>
  <c r="W36" i="6"/>
  <c r="Z36" i="6" s="1"/>
  <c r="U36" i="6"/>
  <c r="Q36" i="6"/>
  <c r="O36" i="6"/>
  <c r="K36" i="6"/>
  <c r="T36" i="6" s="1"/>
  <c r="J36" i="6"/>
  <c r="I36" i="6"/>
  <c r="P36" i="6" s="1"/>
  <c r="E36" i="6"/>
  <c r="S36" i="6" s="1"/>
  <c r="V36" i="6" s="1"/>
  <c r="Y36" i="6" s="1"/>
  <c r="D36" i="6"/>
  <c r="C36" i="6"/>
  <c r="U35" i="6"/>
  <c r="Q35" i="6"/>
  <c r="O35" i="6"/>
  <c r="K35" i="6"/>
  <c r="T35" i="6" s="1"/>
  <c r="W35" i="6" s="1"/>
  <c r="Z35" i="6" s="1"/>
  <c r="J35" i="6"/>
  <c r="I35" i="6"/>
  <c r="E35" i="6"/>
  <c r="S35" i="6" s="1"/>
  <c r="V35" i="6" s="1"/>
  <c r="Y35" i="6" s="1"/>
  <c r="D35" i="6"/>
  <c r="C35" i="6"/>
  <c r="U34" i="6"/>
  <c r="Q34" i="6"/>
  <c r="O34" i="6"/>
  <c r="K34" i="6"/>
  <c r="T34" i="6" s="1"/>
  <c r="W34" i="6" s="1"/>
  <c r="Z34" i="6" s="1"/>
  <c r="J34" i="6"/>
  <c r="I34" i="6"/>
  <c r="E34" i="6"/>
  <c r="S34" i="6" s="1"/>
  <c r="V34" i="6" s="1"/>
  <c r="Y34" i="6" s="1"/>
  <c r="D34" i="6"/>
  <c r="C34" i="6"/>
  <c r="T33" i="6"/>
  <c r="W33" i="6" s="1"/>
  <c r="Z33" i="6" s="1"/>
  <c r="Q33" i="6"/>
  <c r="O33" i="6"/>
  <c r="K33" i="6"/>
  <c r="J33" i="6"/>
  <c r="U33" i="6" s="1"/>
  <c r="I33" i="6"/>
  <c r="E33" i="6"/>
  <c r="S33" i="6" s="1"/>
  <c r="V33" i="6" s="1"/>
  <c r="Y33" i="6" s="1"/>
  <c r="D33" i="6"/>
  <c r="C33" i="6"/>
  <c r="U32" i="6"/>
  <c r="S32" i="6"/>
  <c r="V32" i="6" s="1"/>
  <c r="Y32" i="6" s="1"/>
  <c r="Q32" i="6"/>
  <c r="O32" i="6"/>
  <c r="K32" i="6"/>
  <c r="T32" i="6" s="1"/>
  <c r="W32" i="6" s="1"/>
  <c r="Z32" i="6" s="1"/>
  <c r="J32" i="6"/>
  <c r="I32" i="6"/>
  <c r="E32" i="6"/>
  <c r="D32" i="6"/>
  <c r="C32" i="6"/>
  <c r="U31" i="6"/>
  <c r="Q31" i="6"/>
  <c r="O31" i="6"/>
  <c r="K31" i="6"/>
  <c r="T31" i="6" s="1"/>
  <c r="W31" i="6" s="1"/>
  <c r="Z31" i="6" s="1"/>
  <c r="J31" i="6"/>
  <c r="I31" i="6"/>
  <c r="E31" i="6"/>
  <c r="S31" i="6" s="1"/>
  <c r="V31" i="6" s="1"/>
  <c r="Y31" i="6" s="1"/>
  <c r="D31" i="6"/>
  <c r="C31" i="6"/>
  <c r="W30" i="6"/>
  <c r="Z30" i="6" s="1"/>
  <c r="S30" i="6"/>
  <c r="V30" i="6" s="1"/>
  <c r="Y30" i="6" s="1"/>
  <c r="Q30" i="6"/>
  <c r="O30" i="6"/>
  <c r="K30" i="6"/>
  <c r="T30" i="6" s="1"/>
  <c r="J30" i="6"/>
  <c r="U30" i="6" s="1"/>
  <c r="I30" i="6"/>
  <c r="E30" i="6"/>
  <c r="D30" i="6"/>
  <c r="C30" i="6"/>
  <c r="U29" i="6"/>
  <c r="Q29" i="6"/>
  <c r="O29" i="6"/>
  <c r="K29" i="6"/>
  <c r="T29" i="6" s="1"/>
  <c r="W29" i="6" s="1"/>
  <c r="Z29" i="6" s="1"/>
  <c r="J29" i="6"/>
  <c r="I29" i="6"/>
  <c r="E29" i="6"/>
  <c r="S29" i="6" s="1"/>
  <c r="V29" i="6" s="1"/>
  <c r="Y29" i="6" s="1"/>
  <c r="D29" i="6"/>
  <c r="C29" i="6"/>
  <c r="W28" i="6"/>
  <c r="Z28" i="6" s="1"/>
  <c r="U28" i="6"/>
  <c r="Q28" i="6"/>
  <c r="O28" i="6"/>
  <c r="K28" i="6"/>
  <c r="T28" i="6" s="1"/>
  <c r="J28" i="6"/>
  <c r="I28" i="6"/>
  <c r="P28" i="6" s="1"/>
  <c r="E28" i="6"/>
  <c r="S28" i="6" s="1"/>
  <c r="V28" i="6" s="1"/>
  <c r="Y28" i="6" s="1"/>
  <c r="D28" i="6"/>
  <c r="C28" i="6"/>
  <c r="U27" i="6"/>
  <c r="Q27" i="6"/>
  <c r="O27" i="6"/>
  <c r="K27" i="6"/>
  <c r="T27" i="6" s="1"/>
  <c r="W27" i="6" s="1"/>
  <c r="Z27" i="6" s="1"/>
  <c r="J27" i="6"/>
  <c r="I27" i="6"/>
  <c r="E27" i="6"/>
  <c r="S27" i="6" s="1"/>
  <c r="V27" i="6" s="1"/>
  <c r="Y27" i="6" s="1"/>
  <c r="D27" i="6"/>
  <c r="C27" i="6"/>
  <c r="U26" i="6"/>
  <c r="Q26" i="6"/>
  <c r="O26" i="6"/>
  <c r="K26" i="6"/>
  <c r="T26" i="6" s="1"/>
  <c r="W26" i="6" s="1"/>
  <c r="Z26" i="6" s="1"/>
  <c r="J26" i="6"/>
  <c r="I26" i="6"/>
  <c r="E26" i="6"/>
  <c r="S26" i="6" s="1"/>
  <c r="V26" i="6" s="1"/>
  <c r="Y26" i="6" s="1"/>
  <c r="D26" i="6"/>
  <c r="C26" i="6"/>
  <c r="T25" i="6"/>
  <c r="W25" i="6" s="1"/>
  <c r="Z25" i="6" s="1"/>
  <c r="Q25" i="6"/>
  <c r="O25" i="6"/>
  <c r="K25" i="6"/>
  <c r="J25" i="6"/>
  <c r="U25" i="6" s="1"/>
  <c r="I25" i="6"/>
  <c r="E25" i="6"/>
  <c r="S25" i="6" s="1"/>
  <c r="V25" i="6" s="1"/>
  <c r="Y25" i="6" s="1"/>
  <c r="D25" i="6"/>
  <c r="C25" i="6"/>
  <c r="U24" i="6"/>
  <c r="S24" i="6"/>
  <c r="V24" i="6" s="1"/>
  <c r="Y24" i="6" s="1"/>
  <c r="Q24" i="6"/>
  <c r="O24" i="6"/>
  <c r="K24" i="6"/>
  <c r="T24" i="6" s="1"/>
  <c r="W24" i="6" s="1"/>
  <c r="Z24" i="6" s="1"/>
  <c r="J24" i="6"/>
  <c r="I24" i="6"/>
  <c r="E24" i="6"/>
  <c r="D24" i="6"/>
  <c r="C24" i="6"/>
  <c r="U23" i="6"/>
  <c r="Q23" i="6"/>
  <c r="O23" i="6"/>
  <c r="K23" i="6"/>
  <c r="T23" i="6" s="1"/>
  <c r="W23" i="6" s="1"/>
  <c r="Z23" i="6" s="1"/>
  <c r="J23" i="6"/>
  <c r="I23" i="6"/>
  <c r="E23" i="6"/>
  <c r="S23" i="6" s="1"/>
  <c r="V23" i="6" s="1"/>
  <c r="Y23" i="6" s="1"/>
  <c r="D23" i="6"/>
  <c r="C23" i="6"/>
  <c r="W22" i="6"/>
  <c r="Z22" i="6" s="1"/>
  <c r="S22" i="6"/>
  <c r="V22" i="6" s="1"/>
  <c r="Y22" i="6" s="1"/>
  <c r="Q22" i="6"/>
  <c r="O22" i="6"/>
  <c r="K22" i="6"/>
  <c r="T22" i="6" s="1"/>
  <c r="J22" i="6"/>
  <c r="U22" i="6" s="1"/>
  <c r="I22" i="6"/>
  <c r="E22" i="6"/>
  <c r="D22" i="6"/>
  <c r="C22" i="6"/>
  <c r="U21" i="6"/>
  <c r="Q21" i="6"/>
  <c r="O21" i="6"/>
  <c r="K21" i="6"/>
  <c r="T21" i="6" s="1"/>
  <c r="W21" i="6" s="1"/>
  <c r="Z21" i="6" s="1"/>
  <c r="J21" i="6"/>
  <c r="I21" i="6"/>
  <c r="E21" i="6"/>
  <c r="S21" i="6" s="1"/>
  <c r="V21" i="6" s="1"/>
  <c r="Y21" i="6" s="1"/>
  <c r="D21" i="6"/>
  <c r="C21" i="6"/>
  <c r="W20" i="6"/>
  <c r="Z20" i="6" s="1"/>
  <c r="Q20" i="6"/>
  <c r="O20" i="6"/>
  <c r="K20" i="6"/>
  <c r="T20" i="6" s="1"/>
  <c r="J20" i="6"/>
  <c r="U20" i="6" s="1"/>
  <c r="I20" i="6"/>
  <c r="P20" i="6" s="1"/>
  <c r="E20" i="6"/>
  <c r="S20" i="6" s="1"/>
  <c r="V20" i="6" s="1"/>
  <c r="Y20" i="6" s="1"/>
  <c r="D20" i="6"/>
  <c r="C20" i="6"/>
  <c r="U19" i="6"/>
  <c r="Q19" i="6"/>
  <c r="O19" i="6"/>
  <c r="K19" i="6"/>
  <c r="T19" i="6" s="1"/>
  <c r="W19" i="6" s="1"/>
  <c r="Z19" i="6" s="1"/>
  <c r="J19" i="6"/>
  <c r="I19" i="6"/>
  <c r="E19" i="6"/>
  <c r="S19" i="6" s="1"/>
  <c r="V19" i="6" s="1"/>
  <c r="Y19" i="6" s="1"/>
  <c r="D19" i="6"/>
  <c r="C19" i="6"/>
  <c r="U18" i="6"/>
  <c r="Q18" i="6"/>
  <c r="O18" i="6"/>
  <c r="K18" i="6"/>
  <c r="T18" i="6" s="1"/>
  <c r="W18" i="6" s="1"/>
  <c r="Z18" i="6" s="1"/>
  <c r="J18" i="6"/>
  <c r="I18" i="6"/>
  <c r="E18" i="6"/>
  <c r="S18" i="6" s="1"/>
  <c r="V18" i="6" s="1"/>
  <c r="Y18" i="6" s="1"/>
  <c r="D18" i="6"/>
  <c r="C18" i="6"/>
  <c r="T17" i="6"/>
  <c r="W17" i="6" s="1"/>
  <c r="Z17" i="6" s="1"/>
  <c r="Q17" i="6"/>
  <c r="O17" i="6"/>
  <c r="K17" i="6"/>
  <c r="J17" i="6"/>
  <c r="U17" i="6" s="1"/>
  <c r="I17" i="6"/>
  <c r="E17" i="6"/>
  <c r="S17" i="6" s="1"/>
  <c r="V17" i="6" s="1"/>
  <c r="Y17" i="6" s="1"/>
  <c r="D17" i="6"/>
  <c r="C17" i="6"/>
  <c r="U16" i="6"/>
  <c r="S16" i="6"/>
  <c r="V16" i="6" s="1"/>
  <c r="Y16" i="6" s="1"/>
  <c r="Q16" i="6"/>
  <c r="O16" i="6"/>
  <c r="K16" i="6"/>
  <c r="T16" i="6" s="1"/>
  <c r="W16" i="6" s="1"/>
  <c r="Z16" i="6" s="1"/>
  <c r="J16" i="6"/>
  <c r="I16" i="6"/>
  <c r="E16" i="6"/>
  <c r="D16" i="6"/>
  <c r="C16" i="6"/>
  <c r="U15" i="6"/>
  <c r="Q15" i="6"/>
  <c r="O15" i="6"/>
  <c r="K15" i="6"/>
  <c r="T15" i="6" s="1"/>
  <c r="W15" i="6" s="1"/>
  <c r="Z15" i="6" s="1"/>
  <c r="J15" i="6"/>
  <c r="I15" i="6"/>
  <c r="E15" i="6"/>
  <c r="S15" i="6" s="1"/>
  <c r="V15" i="6" s="1"/>
  <c r="Y15" i="6" s="1"/>
  <c r="D15" i="6"/>
  <c r="C15" i="6"/>
  <c r="W14" i="6"/>
  <c r="Z14" i="6" s="1"/>
  <c r="S14" i="6"/>
  <c r="V14" i="6" s="1"/>
  <c r="Y14" i="6" s="1"/>
  <c r="Q14" i="6"/>
  <c r="O14" i="6"/>
  <c r="K14" i="6"/>
  <c r="T14" i="6" s="1"/>
  <c r="J14" i="6"/>
  <c r="U14" i="6" s="1"/>
  <c r="I14" i="6"/>
  <c r="E14" i="6"/>
  <c r="D14" i="6"/>
  <c r="C14" i="6"/>
  <c r="U13" i="6"/>
  <c r="Q13" i="6"/>
  <c r="O13" i="6"/>
  <c r="K13" i="6"/>
  <c r="T13" i="6" s="1"/>
  <c r="W13" i="6" s="1"/>
  <c r="Z13" i="6" s="1"/>
  <c r="J13" i="6"/>
  <c r="I13" i="6"/>
  <c r="E13" i="6"/>
  <c r="S13" i="6" s="1"/>
  <c r="V13" i="6" s="1"/>
  <c r="Y13" i="6" s="1"/>
  <c r="D13" i="6"/>
  <c r="C13" i="6"/>
  <c r="S12" i="6"/>
  <c r="V12" i="6" s="1"/>
  <c r="Y12" i="6" s="1"/>
  <c r="Q12" i="6"/>
  <c r="O12" i="6"/>
  <c r="K12" i="6"/>
  <c r="T12" i="6" s="1"/>
  <c r="W12" i="6" s="1"/>
  <c r="Z12" i="6" s="1"/>
  <c r="J12" i="6"/>
  <c r="U12" i="6" s="1"/>
  <c r="I12" i="6"/>
  <c r="E12" i="6"/>
  <c r="D12" i="6"/>
  <c r="C12" i="6"/>
  <c r="U11" i="6"/>
  <c r="Q11" i="6"/>
  <c r="O11" i="6"/>
  <c r="K11" i="6"/>
  <c r="T11" i="6" s="1"/>
  <c r="W11" i="6" s="1"/>
  <c r="Z11" i="6" s="1"/>
  <c r="J11" i="6"/>
  <c r="I11" i="6"/>
  <c r="E11" i="6"/>
  <c r="S11" i="6" s="1"/>
  <c r="V11" i="6" s="1"/>
  <c r="Y11" i="6" s="1"/>
  <c r="D11" i="6"/>
  <c r="C11" i="6"/>
  <c r="Z9" i="6"/>
  <c r="Y9" i="6"/>
  <c r="T9" i="6"/>
  <c r="S9" i="6"/>
  <c r="P8" i="6"/>
  <c r="O8" i="6"/>
  <c r="N8" i="6"/>
  <c r="M8" i="6"/>
  <c r="L8" i="6"/>
  <c r="K8" i="6"/>
  <c r="J8" i="6"/>
  <c r="H8" i="6"/>
  <c r="G8" i="6"/>
  <c r="F8" i="6"/>
  <c r="E8" i="6"/>
  <c r="P7" i="6"/>
  <c r="I7" i="6"/>
  <c r="I8" i="6" s="1"/>
  <c r="P5" i="6"/>
  <c r="E3" i="6"/>
  <c r="B62" i="6" s="1"/>
  <c r="I2" i="6"/>
  <c r="X1" i="6"/>
  <c r="D63" i="6" s="1"/>
  <c r="S1" i="6"/>
  <c r="D62" i="6" s="1"/>
  <c r="P1" i="6"/>
  <c r="L1" i="6"/>
  <c r="B1" i="6"/>
  <c r="B61" i="6" s="1"/>
  <c r="P18" i="6" l="1"/>
  <c r="P26" i="6"/>
  <c r="P34" i="6"/>
  <c r="P48" i="6"/>
  <c r="P49" i="6"/>
  <c r="P54" i="6"/>
  <c r="P12" i="6"/>
  <c r="P16" i="6"/>
  <c r="P24" i="6"/>
  <c r="P32" i="6"/>
  <c r="P44" i="6"/>
  <c r="P45" i="6"/>
  <c r="P50" i="6"/>
  <c r="P14" i="6"/>
  <c r="P22" i="6"/>
  <c r="P30" i="6"/>
  <c r="P38" i="6"/>
  <c r="P39" i="6"/>
  <c r="P42" i="6"/>
  <c r="P46" i="6"/>
  <c r="P11" i="6"/>
  <c r="P13" i="6"/>
  <c r="P15" i="6"/>
  <c r="P19" i="6"/>
  <c r="P21" i="6"/>
  <c r="P23" i="6"/>
  <c r="P25" i="6"/>
  <c r="P27" i="6"/>
  <c r="P31" i="6"/>
  <c r="S39" i="6"/>
  <c r="V39" i="6" s="1"/>
  <c r="Y39" i="6" s="1"/>
  <c r="S53" i="6"/>
  <c r="V53" i="6" s="1"/>
  <c r="Y53" i="6" s="1"/>
  <c r="P17" i="6"/>
  <c r="P29" i="6"/>
  <c r="P33" i="6"/>
  <c r="P35" i="6"/>
  <c r="P37" i="6"/>
  <c r="P43" i="6"/>
  <c r="S45" i="6"/>
  <c r="V45" i="6" s="1"/>
  <c r="Y45" i="6" s="1"/>
  <c r="P47" i="6"/>
  <c r="S49" i="6"/>
  <c r="V49" i="6" s="1"/>
  <c r="Y49" i="6" s="1"/>
  <c r="P51" i="6"/>
  <c r="P41" i="6"/>
  <c r="W42" i="6"/>
  <c r="Z42" i="6" s="1"/>
  <c r="D70" i="6" s="1"/>
  <c r="D69" i="6" l="1"/>
  <c r="F70" i="6"/>
  <c r="F69" i="6"/>
  <c r="F71" i="6"/>
  <c r="D71" i="6"/>
  <c r="C71" i="5" l="1"/>
  <c r="C70" i="5"/>
  <c r="T47" i="5"/>
  <c r="Q47" i="5"/>
  <c r="O47" i="5"/>
  <c r="K47" i="5"/>
  <c r="S47" i="5" s="1"/>
  <c r="J47" i="5"/>
  <c r="I47" i="5"/>
  <c r="E47" i="5"/>
  <c r="D47" i="5"/>
  <c r="C47" i="5"/>
  <c r="T46" i="5"/>
  <c r="Q46" i="5"/>
  <c r="O46" i="5"/>
  <c r="K46" i="5"/>
  <c r="S46" i="5" s="1"/>
  <c r="J46" i="5"/>
  <c r="I46" i="5"/>
  <c r="E46" i="5"/>
  <c r="D46" i="5"/>
  <c r="C46" i="5"/>
  <c r="T45" i="5"/>
  <c r="Q45" i="5"/>
  <c r="O45" i="5"/>
  <c r="K45" i="5"/>
  <c r="S45" i="5" s="1"/>
  <c r="J45" i="5"/>
  <c r="I45" i="5"/>
  <c r="E45" i="5"/>
  <c r="D45" i="5"/>
  <c r="C45" i="5"/>
  <c r="T44" i="5"/>
  <c r="Q44" i="5"/>
  <c r="O44" i="5"/>
  <c r="K44" i="5"/>
  <c r="S44" i="5" s="1"/>
  <c r="J44" i="5"/>
  <c r="I44" i="5"/>
  <c r="E44" i="5"/>
  <c r="D44" i="5"/>
  <c r="C44" i="5"/>
  <c r="T43" i="5"/>
  <c r="Q43" i="5"/>
  <c r="O43" i="5"/>
  <c r="K43" i="5"/>
  <c r="S43" i="5" s="1"/>
  <c r="J43" i="5"/>
  <c r="I43" i="5"/>
  <c r="E43" i="5"/>
  <c r="D43" i="5"/>
  <c r="C43" i="5"/>
  <c r="T42" i="5"/>
  <c r="Q42" i="5"/>
  <c r="O42" i="5"/>
  <c r="K42" i="5"/>
  <c r="S42" i="5" s="1"/>
  <c r="J42" i="5"/>
  <c r="I42" i="5"/>
  <c r="E42" i="5"/>
  <c r="D42" i="5"/>
  <c r="C42" i="5"/>
  <c r="T41" i="5"/>
  <c r="Q41" i="5"/>
  <c r="O41" i="5"/>
  <c r="K41" i="5"/>
  <c r="S41" i="5" s="1"/>
  <c r="J41" i="5"/>
  <c r="I41" i="5"/>
  <c r="E41" i="5"/>
  <c r="D41" i="5"/>
  <c r="C41" i="5"/>
  <c r="T40" i="5"/>
  <c r="S40" i="5"/>
  <c r="V40" i="5" s="1"/>
  <c r="X40" i="5" s="1"/>
  <c r="Q40" i="5"/>
  <c r="O40" i="5"/>
  <c r="K40" i="5"/>
  <c r="J40" i="5"/>
  <c r="I40" i="5"/>
  <c r="E40" i="5"/>
  <c r="D40" i="5"/>
  <c r="C40" i="5"/>
  <c r="T39" i="5"/>
  <c r="S39" i="5"/>
  <c r="V39" i="5" s="1"/>
  <c r="X39" i="5" s="1"/>
  <c r="Q39" i="5"/>
  <c r="O39" i="5"/>
  <c r="K39" i="5"/>
  <c r="J39" i="5"/>
  <c r="I39" i="5"/>
  <c r="E39" i="5"/>
  <c r="D39" i="5"/>
  <c r="C39" i="5"/>
  <c r="T38" i="5"/>
  <c r="S38" i="5"/>
  <c r="V38" i="5" s="1"/>
  <c r="X38" i="5" s="1"/>
  <c r="Q38" i="5"/>
  <c r="O38" i="5"/>
  <c r="K38" i="5"/>
  <c r="J38" i="5"/>
  <c r="I38" i="5"/>
  <c r="E38" i="5"/>
  <c r="D38" i="5"/>
  <c r="C38" i="5"/>
  <c r="T37" i="5"/>
  <c r="S37" i="5"/>
  <c r="V37" i="5" s="1"/>
  <c r="X37" i="5" s="1"/>
  <c r="Q37" i="5"/>
  <c r="O37" i="5"/>
  <c r="K37" i="5"/>
  <c r="J37" i="5"/>
  <c r="I37" i="5"/>
  <c r="E37" i="5"/>
  <c r="D37" i="5"/>
  <c r="C37" i="5"/>
  <c r="T36" i="5"/>
  <c r="S36" i="5"/>
  <c r="V36" i="5" s="1"/>
  <c r="X36" i="5" s="1"/>
  <c r="Q36" i="5"/>
  <c r="O36" i="5"/>
  <c r="K36" i="5"/>
  <c r="J36" i="5"/>
  <c r="I36" i="5"/>
  <c r="E36" i="5"/>
  <c r="D36" i="5"/>
  <c r="C36" i="5"/>
  <c r="T35" i="5"/>
  <c r="Q35" i="5"/>
  <c r="O35" i="5"/>
  <c r="K35" i="5"/>
  <c r="S35" i="5" s="1"/>
  <c r="V35" i="5" s="1"/>
  <c r="X35" i="5" s="1"/>
  <c r="J35" i="5"/>
  <c r="I35" i="5"/>
  <c r="E35" i="5"/>
  <c r="D35" i="5"/>
  <c r="C35" i="5"/>
  <c r="T34" i="5"/>
  <c r="Q34" i="5"/>
  <c r="O34" i="5"/>
  <c r="K34" i="5"/>
  <c r="S34" i="5" s="1"/>
  <c r="V34" i="5" s="1"/>
  <c r="X34" i="5" s="1"/>
  <c r="J34" i="5"/>
  <c r="I34" i="5"/>
  <c r="E34" i="5"/>
  <c r="D34" i="5"/>
  <c r="C34" i="5"/>
  <c r="T33" i="5"/>
  <c r="Q33" i="5"/>
  <c r="O33" i="5"/>
  <c r="K33" i="5"/>
  <c r="S33" i="5" s="1"/>
  <c r="V33" i="5" s="1"/>
  <c r="X33" i="5" s="1"/>
  <c r="J33" i="5"/>
  <c r="I33" i="5"/>
  <c r="E33" i="5"/>
  <c r="D33" i="5"/>
  <c r="C33" i="5"/>
  <c r="T32" i="5"/>
  <c r="Q32" i="5"/>
  <c r="O32" i="5"/>
  <c r="K32" i="5"/>
  <c r="S32" i="5" s="1"/>
  <c r="V32" i="5" s="1"/>
  <c r="X32" i="5" s="1"/>
  <c r="J32" i="5"/>
  <c r="I32" i="5"/>
  <c r="E32" i="5"/>
  <c r="D32" i="5"/>
  <c r="C32" i="5"/>
  <c r="T31" i="5"/>
  <c r="Q31" i="5"/>
  <c r="O31" i="5"/>
  <c r="K31" i="5"/>
  <c r="S31" i="5" s="1"/>
  <c r="V31" i="5" s="1"/>
  <c r="X31" i="5" s="1"/>
  <c r="J31" i="5"/>
  <c r="I31" i="5"/>
  <c r="E31" i="5"/>
  <c r="D31" i="5"/>
  <c r="C31" i="5"/>
  <c r="T30" i="5"/>
  <c r="Q30" i="5"/>
  <c r="O30" i="5"/>
  <c r="K30" i="5"/>
  <c r="S30" i="5" s="1"/>
  <c r="V30" i="5" s="1"/>
  <c r="X30" i="5" s="1"/>
  <c r="J30" i="5"/>
  <c r="I30" i="5"/>
  <c r="E30" i="5"/>
  <c r="D30" i="5"/>
  <c r="C30" i="5"/>
  <c r="T29" i="5"/>
  <c r="Q29" i="5"/>
  <c r="O29" i="5"/>
  <c r="K29" i="5"/>
  <c r="S29" i="5" s="1"/>
  <c r="V29" i="5" s="1"/>
  <c r="X29" i="5" s="1"/>
  <c r="J29" i="5"/>
  <c r="I29" i="5"/>
  <c r="E29" i="5"/>
  <c r="D29" i="5"/>
  <c r="C29" i="5"/>
  <c r="T28" i="5"/>
  <c r="Q28" i="5"/>
  <c r="O28" i="5"/>
  <c r="K28" i="5"/>
  <c r="S28" i="5" s="1"/>
  <c r="V28" i="5" s="1"/>
  <c r="X28" i="5" s="1"/>
  <c r="J28" i="5"/>
  <c r="I28" i="5"/>
  <c r="E28" i="5"/>
  <c r="D28" i="5"/>
  <c r="C28" i="5"/>
  <c r="T27" i="5"/>
  <c r="Q27" i="5"/>
  <c r="O27" i="5"/>
  <c r="K27" i="5"/>
  <c r="S27" i="5" s="1"/>
  <c r="V27" i="5" s="1"/>
  <c r="X27" i="5" s="1"/>
  <c r="J27" i="5"/>
  <c r="I27" i="5"/>
  <c r="E27" i="5"/>
  <c r="D27" i="5"/>
  <c r="C27" i="5"/>
  <c r="T26" i="5"/>
  <c r="Q26" i="5"/>
  <c r="O26" i="5"/>
  <c r="K26" i="5"/>
  <c r="S26" i="5" s="1"/>
  <c r="V26" i="5" s="1"/>
  <c r="X26" i="5" s="1"/>
  <c r="J26" i="5"/>
  <c r="I26" i="5"/>
  <c r="E26" i="5"/>
  <c r="D26" i="5"/>
  <c r="C26" i="5"/>
  <c r="T25" i="5"/>
  <c r="Q25" i="5"/>
  <c r="O25" i="5"/>
  <c r="K25" i="5"/>
  <c r="S25" i="5" s="1"/>
  <c r="V25" i="5" s="1"/>
  <c r="X25" i="5" s="1"/>
  <c r="J25" i="5"/>
  <c r="I25" i="5"/>
  <c r="E25" i="5"/>
  <c r="D25" i="5"/>
  <c r="C25" i="5"/>
  <c r="T24" i="5"/>
  <c r="Q24" i="5"/>
  <c r="O24" i="5"/>
  <c r="K24" i="5"/>
  <c r="S24" i="5" s="1"/>
  <c r="V24" i="5" s="1"/>
  <c r="X24" i="5" s="1"/>
  <c r="J24" i="5"/>
  <c r="I24" i="5"/>
  <c r="E24" i="5"/>
  <c r="D24" i="5"/>
  <c r="C24" i="5"/>
  <c r="T23" i="5"/>
  <c r="Q23" i="5"/>
  <c r="O23" i="5"/>
  <c r="K23" i="5"/>
  <c r="S23" i="5" s="1"/>
  <c r="V23" i="5" s="1"/>
  <c r="X23" i="5" s="1"/>
  <c r="J23" i="5"/>
  <c r="I23" i="5"/>
  <c r="E23" i="5"/>
  <c r="D23" i="5"/>
  <c r="C23" i="5"/>
  <c r="T22" i="5"/>
  <c r="Q22" i="5"/>
  <c r="O22" i="5"/>
  <c r="K22" i="5"/>
  <c r="S22" i="5" s="1"/>
  <c r="V22" i="5" s="1"/>
  <c r="X22" i="5" s="1"/>
  <c r="J22" i="5"/>
  <c r="I22" i="5"/>
  <c r="E22" i="5"/>
  <c r="D22" i="5"/>
  <c r="C22" i="5"/>
  <c r="T21" i="5"/>
  <c r="Q21" i="5"/>
  <c r="O21" i="5"/>
  <c r="K21" i="5"/>
  <c r="S21" i="5" s="1"/>
  <c r="V21" i="5" s="1"/>
  <c r="X21" i="5" s="1"/>
  <c r="J21" i="5"/>
  <c r="I21" i="5"/>
  <c r="E21" i="5"/>
  <c r="D21" i="5"/>
  <c r="C21" i="5"/>
  <c r="T20" i="5"/>
  <c r="Q20" i="5"/>
  <c r="O20" i="5"/>
  <c r="K20" i="5"/>
  <c r="S20" i="5" s="1"/>
  <c r="V20" i="5" s="1"/>
  <c r="X20" i="5" s="1"/>
  <c r="J20" i="5"/>
  <c r="I20" i="5"/>
  <c r="E20" i="5"/>
  <c r="D20" i="5"/>
  <c r="C20" i="5"/>
  <c r="T19" i="5"/>
  <c r="Q19" i="5"/>
  <c r="O19" i="5"/>
  <c r="K19" i="5"/>
  <c r="S19" i="5" s="1"/>
  <c r="V19" i="5" s="1"/>
  <c r="X19" i="5" s="1"/>
  <c r="J19" i="5"/>
  <c r="I19" i="5"/>
  <c r="E19" i="5"/>
  <c r="D19" i="5"/>
  <c r="C19" i="5"/>
  <c r="T18" i="5"/>
  <c r="Q18" i="5"/>
  <c r="O18" i="5"/>
  <c r="K18" i="5"/>
  <c r="S18" i="5" s="1"/>
  <c r="V18" i="5" s="1"/>
  <c r="X18" i="5" s="1"/>
  <c r="J18" i="5"/>
  <c r="I18" i="5"/>
  <c r="E18" i="5"/>
  <c r="D18" i="5"/>
  <c r="C18" i="5"/>
  <c r="W17" i="5"/>
  <c r="Y17" i="5" s="1"/>
  <c r="U17" i="5"/>
  <c r="T17" i="5"/>
  <c r="Q17" i="5"/>
  <c r="O17" i="5"/>
  <c r="K17" i="5"/>
  <c r="S17" i="5" s="1"/>
  <c r="V17" i="5" s="1"/>
  <c r="X17" i="5" s="1"/>
  <c r="J17" i="5"/>
  <c r="I17" i="5"/>
  <c r="P17" i="5" s="1"/>
  <c r="E17" i="5"/>
  <c r="D17" i="5"/>
  <c r="C17" i="5"/>
  <c r="W16" i="5"/>
  <c r="Y16" i="5" s="1"/>
  <c r="U16" i="5"/>
  <c r="T16" i="5"/>
  <c r="Q16" i="5"/>
  <c r="O16" i="5"/>
  <c r="K16" i="5"/>
  <c r="S16" i="5" s="1"/>
  <c r="V16" i="5" s="1"/>
  <c r="X16" i="5" s="1"/>
  <c r="J16" i="5"/>
  <c r="I16" i="5"/>
  <c r="P16" i="5" s="1"/>
  <c r="E16" i="5"/>
  <c r="D16" i="5"/>
  <c r="C16" i="5"/>
  <c r="U15" i="5"/>
  <c r="W15" i="5" s="1"/>
  <c r="Y15" i="5" s="1"/>
  <c r="T15" i="5"/>
  <c r="Q15" i="5"/>
  <c r="O15" i="5"/>
  <c r="K15" i="5"/>
  <c r="S15" i="5" s="1"/>
  <c r="V15" i="5" s="1"/>
  <c r="X15" i="5" s="1"/>
  <c r="J15" i="5"/>
  <c r="I15" i="5"/>
  <c r="P15" i="5" s="1"/>
  <c r="E15" i="5"/>
  <c r="D15" i="5"/>
  <c r="C15" i="5"/>
  <c r="T14" i="5"/>
  <c r="Q14" i="5"/>
  <c r="O14" i="5"/>
  <c r="K14" i="5"/>
  <c r="S14" i="5" s="1"/>
  <c r="V14" i="5" s="1"/>
  <c r="X14" i="5" s="1"/>
  <c r="J14" i="5"/>
  <c r="I14" i="5"/>
  <c r="E14" i="5"/>
  <c r="U14" i="5" s="1"/>
  <c r="W14" i="5" s="1"/>
  <c r="Y14" i="5" s="1"/>
  <c r="D14" i="5"/>
  <c r="C14" i="5"/>
  <c r="W13" i="5"/>
  <c r="Y13" i="5" s="1"/>
  <c r="U13" i="5"/>
  <c r="T13" i="5"/>
  <c r="Q13" i="5"/>
  <c r="O13" i="5"/>
  <c r="K13" i="5"/>
  <c r="S13" i="5" s="1"/>
  <c r="V13" i="5" s="1"/>
  <c r="X13" i="5" s="1"/>
  <c r="J13" i="5"/>
  <c r="I13" i="5"/>
  <c r="P13" i="5" s="1"/>
  <c r="E13" i="5"/>
  <c r="D13" i="5"/>
  <c r="C13" i="5"/>
  <c r="W12" i="5"/>
  <c r="Y12" i="5" s="1"/>
  <c r="U12" i="5"/>
  <c r="T12" i="5"/>
  <c r="Q12" i="5"/>
  <c r="O12" i="5"/>
  <c r="K12" i="5"/>
  <c r="S12" i="5" s="1"/>
  <c r="V12" i="5" s="1"/>
  <c r="X12" i="5" s="1"/>
  <c r="J12" i="5"/>
  <c r="I12" i="5"/>
  <c r="P12" i="5" s="1"/>
  <c r="E12" i="5"/>
  <c r="D12" i="5"/>
  <c r="C12" i="5"/>
  <c r="U11" i="5"/>
  <c r="W11" i="5" s="1"/>
  <c r="Y11" i="5" s="1"/>
  <c r="T11" i="5"/>
  <c r="Q11" i="5"/>
  <c r="O11" i="5"/>
  <c r="K11" i="5"/>
  <c r="S11" i="5" s="1"/>
  <c r="V11" i="5" s="1"/>
  <c r="X11" i="5" s="1"/>
  <c r="J11" i="5"/>
  <c r="I11" i="5"/>
  <c r="P11" i="5" s="1"/>
  <c r="E11" i="5"/>
  <c r="D11" i="5"/>
  <c r="C11" i="5"/>
  <c r="Y9" i="5"/>
  <c r="X9" i="5"/>
  <c r="W9" i="5"/>
  <c r="V9" i="5"/>
  <c r="U9" i="5"/>
  <c r="T9" i="5"/>
  <c r="S9" i="5"/>
  <c r="O8" i="5"/>
  <c r="N8" i="5"/>
  <c r="M8" i="5"/>
  <c r="L8" i="5"/>
  <c r="K8" i="5"/>
  <c r="J8" i="5"/>
  <c r="I8" i="5"/>
  <c r="H8" i="5"/>
  <c r="G8" i="5"/>
  <c r="F8" i="5"/>
  <c r="E8" i="5"/>
  <c r="P7" i="5"/>
  <c r="I7" i="5"/>
  <c r="P5" i="5"/>
  <c r="E3" i="5"/>
  <c r="B63" i="5" s="1"/>
  <c r="I2" i="5"/>
  <c r="W1" i="5"/>
  <c r="D64" i="5" s="1"/>
  <c r="B58" i="5" s="1"/>
  <c r="S1" i="5"/>
  <c r="D63" i="5" s="1"/>
  <c r="P1" i="5"/>
  <c r="L1" i="5"/>
  <c r="B1" i="5"/>
  <c r="B62" i="5" s="1"/>
  <c r="F70" i="5" l="1"/>
  <c r="U39" i="5"/>
  <c r="W39" i="5" s="1"/>
  <c r="Y39" i="5" s="1"/>
  <c r="P39" i="5"/>
  <c r="P40" i="5"/>
  <c r="U40" i="5"/>
  <c r="W40" i="5" s="1"/>
  <c r="Y40" i="5" s="1"/>
  <c r="P41" i="5"/>
  <c r="U41" i="5"/>
  <c r="W41" i="5" s="1"/>
  <c r="Y41" i="5" s="1"/>
  <c r="P43" i="5"/>
  <c r="U43" i="5"/>
  <c r="W43" i="5" s="1"/>
  <c r="Y43" i="5" s="1"/>
  <c r="P45" i="5"/>
  <c r="U45" i="5"/>
  <c r="W45" i="5" s="1"/>
  <c r="Y45" i="5" s="1"/>
  <c r="U47" i="5"/>
  <c r="W47" i="5" s="1"/>
  <c r="Y47" i="5" s="1"/>
  <c r="P47" i="5"/>
  <c r="P14" i="5"/>
  <c r="V42" i="5"/>
  <c r="X42" i="5" s="1"/>
  <c r="V44" i="5"/>
  <c r="X44" i="5" s="1"/>
  <c r="V46" i="5"/>
  <c r="X46" i="5" s="1"/>
  <c r="U18" i="5"/>
  <c r="W18" i="5" s="1"/>
  <c r="Y18" i="5" s="1"/>
  <c r="F71" i="5" s="1"/>
  <c r="P18" i="5"/>
  <c r="P19" i="5"/>
  <c r="U19" i="5"/>
  <c r="W19" i="5" s="1"/>
  <c r="Y19" i="5" s="1"/>
  <c r="P20" i="5"/>
  <c r="U20" i="5"/>
  <c r="W20" i="5" s="1"/>
  <c r="Y20" i="5" s="1"/>
  <c r="P21" i="5"/>
  <c r="U21" i="5"/>
  <c r="W21" i="5" s="1"/>
  <c r="Y21" i="5" s="1"/>
  <c r="P22" i="5"/>
  <c r="U22" i="5"/>
  <c r="W22" i="5" s="1"/>
  <c r="Y22" i="5" s="1"/>
  <c r="U23" i="5"/>
  <c r="W23" i="5" s="1"/>
  <c r="Y23" i="5" s="1"/>
  <c r="P23" i="5"/>
  <c r="U24" i="5"/>
  <c r="W24" i="5" s="1"/>
  <c r="Y24" i="5" s="1"/>
  <c r="P24" i="5"/>
  <c r="U25" i="5"/>
  <c r="W25" i="5" s="1"/>
  <c r="Y25" i="5" s="1"/>
  <c r="P25" i="5"/>
  <c r="U26" i="5"/>
  <c r="W26" i="5" s="1"/>
  <c r="Y26" i="5" s="1"/>
  <c r="P26" i="5"/>
  <c r="P27" i="5"/>
  <c r="U27" i="5"/>
  <c r="W27" i="5" s="1"/>
  <c r="Y27" i="5" s="1"/>
  <c r="U28" i="5"/>
  <c r="W28" i="5" s="1"/>
  <c r="Y28" i="5" s="1"/>
  <c r="P28" i="5"/>
  <c r="P29" i="5"/>
  <c r="U29" i="5"/>
  <c r="W29" i="5" s="1"/>
  <c r="Y29" i="5" s="1"/>
  <c r="U30" i="5"/>
  <c r="W30" i="5" s="1"/>
  <c r="Y30" i="5" s="1"/>
  <c r="P30" i="5"/>
  <c r="U31" i="5"/>
  <c r="W31" i="5" s="1"/>
  <c r="Y31" i="5" s="1"/>
  <c r="P31" i="5"/>
  <c r="U32" i="5"/>
  <c r="W32" i="5" s="1"/>
  <c r="Y32" i="5" s="1"/>
  <c r="P32" i="5"/>
  <c r="U33" i="5"/>
  <c r="W33" i="5" s="1"/>
  <c r="Y33" i="5" s="1"/>
  <c r="P33" i="5"/>
  <c r="U34" i="5"/>
  <c r="W34" i="5" s="1"/>
  <c r="Y34" i="5" s="1"/>
  <c r="P34" i="5"/>
  <c r="P35" i="5"/>
  <c r="U35" i="5"/>
  <c r="W35" i="5" s="1"/>
  <c r="Y35" i="5" s="1"/>
  <c r="U36" i="5"/>
  <c r="W36" i="5" s="1"/>
  <c r="Y36" i="5" s="1"/>
  <c r="P36" i="5"/>
  <c r="P37" i="5"/>
  <c r="U37" i="5"/>
  <c r="W37" i="5" s="1"/>
  <c r="Y37" i="5" s="1"/>
  <c r="P38" i="5"/>
  <c r="U38" i="5"/>
  <c r="W38" i="5" s="1"/>
  <c r="Y38" i="5" s="1"/>
  <c r="P42" i="5"/>
  <c r="U42" i="5"/>
  <c r="W42" i="5" s="1"/>
  <c r="Y42" i="5" s="1"/>
  <c r="P44" i="5"/>
  <c r="U44" i="5"/>
  <c r="W44" i="5" s="1"/>
  <c r="Y44" i="5" s="1"/>
  <c r="P46" i="5"/>
  <c r="U46" i="5"/>
  <c r="W46" i="5" s="1"/>
  <c r="Y46" i="5" s="1"/>
  <c r="P8" i="5"/>
  <c r="V41" i="5"/>
  <c r="X41" i="5" s="1"/>
  <c r="D70" i="5" s="1"/>
  <c r="V43" i="5"/>
  <c r="X43" i="5" s="1"/>
  <c r="V45" i="5"/>
  <c r="X45" i="5" s="1"/>
  <c r="V47" i="5"/>
  <c r="X47" i="5" s="1"/>
  <c r="D71" i="5" l="1"/>
  <c r="F72" i="4" l="1"/>
  <c r="D72" i="4"/>
  <c r="C72" i="4"/>
  <c r="C71" i="4"/>
  <c r="C70" i="4"/>
  <c r="D63" i="4"/>
  <c r="B63" i="4"/>
  <c r="W54" i="4"/>
  <c r="Z54" i="4" s="1"/>
  <c r="Q54" i="4"/>
  <c r="O54" i="4"/>
  <c r="K54" i="4"/>
  <c r="J54" i="4"/>
  <c r="I54" i="4"/>
  <c r="E54" i="4"/>
  <c r="V54" i="4" s="1"/>
  <c r="Y54" i="4" s="1"/>
  <c r="D54" i="4"/>
  <c r="C54" i="4"/>
  <c r="W53" i="4"/>
  <c r="Z53" i="4" s="1"/>
  <c r="Q53" i="4"/>
  <c r="O53" i="4"/>
  <c r="K53" i="4"/>
  <c r="J53" i="4"/>
  <c r="I53" i="4"/>
  <c r="E53" i="4"/>
  <c r="D53" i="4"/>
  <c r="C53" i="4"/>
  <c r="Y52" i="4"/>
  <c r="W52" i="4"/>
  <c r="Z52" i="4" s="1"/>
  <c r="Q52" i="4"/>
  <c r="O52" i="4"/>
  <c r="K52" i="4"/>
  <c r="J52" i="4"/>
  <c r="I52" i="4"/>
  <c r="P52" i="4" s="1"/>
  <c r="E52" i="4"/>
  <c r="V52" i="4" s="1"/>
  <c r="D52" i="4"/>
  <c r="C52" i="4"/>
  <c r="Z51" i="4"/>
  <c r="W51" i="4"/>
  <c r="Q51" i="4"/>
  <c r="O51" i="4"/>
  <c r="K51" i="4"/>
  <c r="J51" i="4"/>
  <c r="I51" i="4"/>
  <c r="E51" i="4"/>
  <c r="V51" i="4" s="1"/>
  <c r="Y51" i="4" s="1"/>
  <c r="D51" i="4"/>
  <c r="C51" i="4"/>
  <c r="W50" i="4"/>
  <c r="Z50" i="4" s="1"/>
  <c r="Q50" i="4"/>
  <c r="O50" i="4"/>
  <c r="K50" i="4"/>
  <c r="J50" i="4"/>
  <c r="I50" i="4"/>
  <c r="E50" i="4"/>
  <c r="V50" i="4" s="1"/>
  <c r="Y50" i="4" s="1"/>
  <c r="D50" i="4"/>
  <c r="C50" i="4"/>
  <c r="W49" i="4"/>
  <c r="Z49" i="4" s="1"/>
  <c r="Q49" i="4"/>
  <c r="O49" i="4"/>
  <c r="K49" i="4"/>
  <c r="J49" i="4"/>
  <c r="I49" i="4"/>
  <c r="E49" i="4"/>
  <c r="D49" i="4"/>
  <c r="C49" i="4"/>
  <c r="Y48" i="4"/>
  <c r="W48" i="4"/>
  <c r="Z48" i="4" s="1"/>
  <c r="Q48" i="4"/>
  <c r="O48" i="4"/>
  <c r="K48" i="4"/>
  <c r="J48" i="4"/>
  <c r="I48" i="4"/>
  <c r="P48" i="4" s="1"/>
  <c r="E48" i="4"/>
  <c r="V48" i="4" s="1"/>
  <c r="D48" i="4"/>
  <c r="C48" i="4"/>
  <c r="Z47" i="4"/>
  <c r="W47" i="4"/>
  <c r="Q47" i="4"/>
  <c r="O47" i="4"/>
  <c r="K47" i="4"/>
  <c r="J47" i="4"/>
  <c r="I47" i="4"/>
  <c r="E47" i="4"/>
  <c r="V47" i="4" s="1"/>
  <c r="Y47" i="4" s="1"/>
  <c r="D47" i="4"/>
  <c r="C47" i="4"/>
  <c r="W46" i="4"/>
  <c r="Z46" i="4" s="1"/>
  <c r="Q46" i="4"/>
  <c r="O46" i="4"/>
  <c r="K46" i="4"/>
  <c r="J46" i="4"/>
  <c r="I46" i="4"/>
  <c r="E46" i="4"/>
  <c r="V46" i="4" s="1"/>
  <c r="Y46" i="4" s="1"/>
  <c r="D46" i="4"/>
  <c r="C46" i="4"/>
  <c r="W45" i="4"/>
  <c r="Z45" i="4" s="1"/>
  <c r="Q45" i="4"/>
  <c r="O45" i="4"/>
  <c r="K45" i="4"/>
  <c r="J45" i="4"/>
  <c r="I45" i="4"/>
  <c r="E45" i="4"/>
  <c r="D45" i="4"/>
  <c r="C45" i="4"/>
  <c r="Y44" i="4"/>
  <c r="W44" i="4"/>
  <c r="Z44" i="4" s="1"/>
  <c r="Q44" i="4"/>
  <c r="O44" i="4"/>
  <c r="K44" i="4"/>
  <c r="J44" i="4"/>
  <c r="I44" i="4"/>
  <c r="P44" i="4" s="1"/>
  <c r="E44" i="4"/>
  <c r="V44" i="4" s="1"/>
  <c r="D44" i="4"/>
  <c r="C44" i="4"/>
  <c r="Z43" i="4"/>
  <c r="W43" i="4"/>
  <c r="Q43" i="4"/>
  <c r="O43" i="4"/>
  <c r="K43" i="4"/>
  <c r="J43" i="4"/>
  <c r="I43" i="4"/>
  <c r="E43" i="4"/>
  <c r="V43" i="4" s="1"/>
  <c r="Y43" i="4" s="1"/>
  <c r="D43" i="4"/>
  <c r="C43" i="4"/>
  <c r="W42" i="4"/>
  <c r="Z42" i="4" s="1"/>
  <c r="Q42" i="4"/>
  <c r="O42" i="4"/>
  <c r="K42" i="4"/>
  <c r="J42" i="4"/>
  <c r="I42" i="4"/>
  <c r="E42" i="4"/>
  <c r="V42" i="4" s="1"/>
  <c r="Y42" i="4" s="1"/>
  <c r="D42" i="4"/>
  <c r="C42" i="4"/>
  <c r="W41" i="4"/>
  <c r="Z41" i="4" s="1"/>
  <c r="Q41" i="4"/>
  <c r="O41" i="4"/>
  <c r="K41" i="4"/>
  <c r="J41" i="4"/>
  <c r="I41" i="4"/>
  <c r="E41" i="4"/>
  <c r="D41" i="4"/>
  <c r="C41" i="4"/>
  <c r="Y40" i="4"/>
  <c r="W40" i="4"/>
  <c r="Z40" i="4" s="1"/>
  <c r="Q40" i="4"/>
  <c r="O40" i="4"/>
  <c r="K40" i="4"/>
  <c r="J40" i="4"/>
  <c r="I40" i="4"/>
  <c r="P40" i="4" s="1"/>
  <c r="E40" i="4"/>
  <c r="V40" i="4" s="1"/>
  <c r="D40" i="4"/>
  <c r="C40" i="4"/>
  <c r="Z39" i="4"/>
  <c r="W39" i="4"/>
  <c r="Q39" i="4"/>
  <c r="O39" i="4"/>
  <c r="K39" i="4"/>
  <c r="J39" i="4"/>
  <c r="I39" i="4"/>
  <c r="E39" i="4"/>
  <c r="V39" i="4" s="1"/>
  <c r="Y39" i="4" s="1"/>
  <c r="D39" i="4"/>
  <c r="C39" i="4"/>
  <c r="W38" i="4"/>
  <c r="Z38" i="4" s="1"/>
  <c r="Q38" i="4"/>
  <c r="O38" i="4"/>
  <c r="K38" i="4"/>
  <c r="J38" i="4"/>
  <c r="I38" i="4"/>
  <c r="E38" i="4"/>
  <c r="V38" i="4" s="1"/>
  <c r="Y38" i="4" s="1"/>
  <c r="D38" i="4"/>
  <c r="C38" i="4"/>
  <c r="W37" i="4"/>
  <c r="Z37" i="4" s="1"/>
  <c r="Q37" i="4"/>
  <c r="O37" i="4"/>
  <c r="K37" i="4"/>
  <c r="J37" i="4"/>
  <c r="I37" i="4"/>
  <c r="E37" i="4"/>
  <c r="D37" i="4"/>
  <c r="C37" i="4"/>
  <c r="Y36" i="4"/>
  <c r="W36" i="4"/>
  <c r="Z36" i="4" s="1"/>
  <c r="Q36" i="4"/>
  <c r="O36" i="4"/>
  <c r="K36" i="4"/>
  <c r="J36" i="4"/>
  <c r="I36" i="4"/>
  <c r="P36" i="4" s="1"/>
  <c r="E36" i="4"/>
  <c r="V36" i="4" s="1"/>
  <c r="D36" i="4"/>
  <c r="C36" i="4"/>
  <c r="Z35" i="4"/>
  <c r="W35" i="4"/>
  <c r="Q35" i="4"/>
  <c r="O35" i="4"/>
  <c r="K35" i="4"/>
  <c r="J35" i="4"/>
  <c r="I35" i="4"/>
  <c r="E35" i="4"/>
  <c r="V35" i="4" s="1"/>
  <c r="Y35" i="4" s="1"/>
  <c r="D35" i="4"/>
  <c r="C35" i="4"/>
  <c r="W34" i="4"/>
  <c r="Z34" i="4" s="1"/>
  <c r="Q34" i="4"/>
  <c r="O34" i="4"/>
  <c r="K34" i="4"/>
  <c r="J34" i="4"/>
  <c r="I34" i="4"/>
  <c r="E34" i="4"/>
  <c r="V34" i="4" s="1"/>
  <c r="Y34" i="4" s="1"/>
  <c r="D34" i="4"/>
  <c r="C34" i="4"/>
  <c r="W33" i="4"/>
  <c r="Z33" i="4" s="1"/>
  <c r="Q33" i="4"/>
  <c r="O33" i="4"/>
  <c r="K33" i="4"/>
  <c r="J33" i="4"/>
  <c r="I33" i="4"/>
  <c r="E33" i="4"/>
  <c r="D33" i="4"/>
  <c r="C33" i="4"/>
  <c r="Y32" i="4"/>
  <c r="W32" i="4"/>
  <c r="Z32" i="4" s="1"/>
  <c r="Q32" i="4"/>
  <c r="O32" i="4"/>
  <c r="K32" i="4"/>
  <c r="J32" i="4"/>
  <c r="I32" i="4"/>
  <c r="P32" i="4" s="1"/>
  <c r="E32" i="4"/>
  <c r="V32" i="4" s="1"/>
  <c r="D32" i="4"/>
  <c r="C32" i="4"/>
  <c r="Z31" i="4"/>
  <c r="W31" i="4"/>
  <c r="Q31" i="4"/>
  <c r="O31" i="4"/>
  <c r="K31" i="4"/>
  <c r="J31" i="4"/>
  <c r="I31" i="4"/>
  <c r="E31" i="4"/>
  <c r="V31" i="4" s="1"/>
  <c r="Y31" i="4" s="1"/>
  <c r="D31" i="4"/>
  <c r="C31" i="4"/>
  <c r="W30" i="4"/>
  <c r="Z30" i="4" s="1"/>
  <c r="Q30" i="4"/>
  <c r="O30" i="4"/>
  <c r="K30" i="4"/>
  <c r="J30" i="4"/>
  <c r="I30" i="4"/>
  <c r="E30" i="4"/>
  <c r="V30" i="4" s="1"/>
  <c r="Y30" i="4" s="1"/>
  <c r="D30" i="4"/>
  <c r="C30" i="4"/>
  <c r="W29" i="4"/>
  <c r="Z29" i="4" s="1"/>
  <c r="Q29" i="4"/>
  <c r="O29" i="4"/>
  <c r="K29" i="4"/>
  <c r="J29" i="4"/>
  <c r="E29" i="4"/>
  <c r="V29" i="4" s="1"/>
  <c r="Y29" i="4" s="1"/>
  <c r="D29" i="4"/>
  <c r="C29" i="4"/>
  <c r="W28" i="4"/>
  <c r="Z28" i="4" s="1"/>
  <c r="Q28" i="4"/>
  <c r="O28" i="4"/>
  <c r="K28" i="4"/>
  <c r="J28" i="4"/>
  <c r="I28" i="4"/>
  <c r="E28" i="4"/>
  <c r="D28" i="4"/>
  <c r="C28" i="4"/>
  <c r="Q27" i="4"/>
  <c r="O27" i="4"/>
  <c r="K27" i="4"/>
  <c r="W27" i="4" s="1"/>
  <c r="Z27" i="4" s="1"/>
  <c r="J27" i="4"/>
  <c r="I27" i="4"/>
  <c r="E27" i="4"/>
  <c r="D27" i="4"/>
  <c r="C27" i="4"/>
  <c r="W26" i="4"/>
  <c r="Z26" i="4" s="1"/>
  <c r="Q26" i="4"/>
  <c r="O26" i="4"/>
  <c r="K26" i="4"/>
  <c r="J26" i="4"/>
  <c r="I26" i="4"/>
  <c r="E26" i="4"/>
  <c r="D26" i="4"/>
  <c r="C26" i="4"/>
  <c r="Q25" i="4"/>
  <c r="O25" i="4"/>
  <c r="K25" i="4"/>
  <c r="W25" i="4" s="1"/>
  <c r="Z25" i="4" s="1"/>
  <c r="J25" i="4"/>
  <c r="I25" i="4"/>
  <c r="E25" i="4"/>
  <c r="D25" i="4"/>
  <c r="C25" i="4"/>
  <c r="W24" i="4"/>
  <c r="Z24" i="4" s="1"/>
  <c r="Q24" i="4"/>
  <c r="O24" i="4"/>
  <c r="K24" i="4"/>
  <c r="J24" i="4"/>
  <c r="I24" i="4"/>
  <c r="E24" i="4"/>
  <c r="D24" i="4"/>
  <c r="C24" i="4"/>
  <c r="Q23" i="4"/>
  <c r="O23" i="4"/>
  <c r="K23" i="4"/>
  <c r="W23" i="4" s="1"/>
  <c r="Z23" i="4" s="1"/>
  <c r="J23" i="4"/>
  <c r="I23" i="4"/>
  <c r="E23" i="4"/>
  <c r="D23" i="4"/>
  <c r="C23" i="4"/>
  <c r="W22" i="4"/>
  <c r="Z22" i="4" s="1"/>
  <c r="Q22" i="4"/>
  <c r="O22" i="4"/>
  <c r="K22" i="4"/>
  <c r="J22" i="4"/>
  <c r="I22" i="4"/>
  <c r="E22" i="4"/>
  <c r="D22" i="4"/>
  <c r="C22" i="4"/>
  <c r="Q21" i="4"/>
  <c r="O21" i="4"/>
  <c r="K21" i="4"/>
  <c r="W21" i="4" s="1"/>
  <c r="Z21" i="4" s="1"/>
  <c r="J21" i="4"/>
  <c r="I21" i="4"/>
  <c r="E21" i="4"/>
  <c r="D21" i="4"/>
  <c r="C21" i="4"/>
  <c r="W20" i="4"/>
  <c r="Z20" i="4" s="1"/>
  <c r="Q20" i="4"/>
  <c r="O20" i="4"/>
  <c r="K20" i="4"/>
  <c r="J20" i="4"/>
  <c r="I20" i="4"/>
  <c r="E20" i="4"/>
  <c r="D20" i="4"/>
  <c r="C20" i="4"/>
  <c r="Q19" i="4"/>
  <c r="O19" i="4"/>
  <c r="K19" i="4"/>
  <c r="W19" i="4" s="1"/>
  <c r="Z19" i="4" s="1"/>
  <c r="J19" i="4"/>
  <c r="I19" i="4"/>
  <c r="E19" i="4"/>
  <c r="D19" i="4"/>
  <c r="C19" i="4"/>
  <c r="W18" i="4"/>
  <c r="Z18" i="4" s="1"/>
  <c r="Q18" i="4"/>
  <c r="O18" i="4"/>
  <c r="K18" i="4"/>
  <c r="J18" i="4"/>
  <c r="I18" i="4"/>
  <c r="E18" i="4"/>
  <c r="D18" i="4"/>
  <c r="C18" i="4"/>
  <c r="Q17" i="4"/>
  <c r="O17" i="4"/>
  <c r="K17" i="4"/>
  <c r="W17" i="4" s="1"/>
  <c r="Z17" i="4" s="1"/>
  <c r="J17" i="4"/>
  <c r="I17" i="4"/>
  <c r="E17" i="4"/>
  <c r="D17" i="4"/>
  <c r="C17" i="4"/>
  <c r="W16" i="4"/>
  <c r="Z16" i="4" s="1"/>
  <c r="Q16" i="4"/>
  <c r="O16" i="4"/>
  <c r="K16" i="4"/>
  <c r="J16" i="4"/>
  <c r="I16" i="4"/>
  <c r="E16" i="4"/>
  <c r="D16" i="4"/>
  <c r="C16" i="4"/>
  <c r="Q15" i="4"/>
  <c r="O15" i="4"/>
  <c r="K15" i="4"/>
  <c r="W15" i="4" s="1"/>
  <c r="Z15" i="4" s="1"/>
  <c r="J15" i="4"/>
  <c r="I15" i="4"/>
  <c r="E15" i="4"/>
  <c r="D15" i="4"/>
  <c r="C15" i="4"/>
  <c r="W14" i="4"/>
  <c r="Z14" i="4" s="1"/>
  <c r="Q14" i="4"/>
  <c r="O14" i="4"/>
  <c r="K14" i="4"/>
  <c r="J14" i="4"/>
  <c r="I14" i="4"/>
  <c r="E14" i="4"/>
  <c r="D14" i="4"/>
  <c r="C14" i="4"/>
  <c r="Q13" i="4"/>
  <c r="O13" i="4"/>
  <c r="K13" i="4"/>
  <c r="W13" i="4" s="1"/>
  <c r="Z13" i="4" s="1"/>
  <c r="J13" i="4"/>
  <c r="I13" i="4"/>
  <c r="E13" i="4"/>
  <c r="D13" i="4"/>
  <c r="C13" i="4"/>
  <c r="W12" i="4"/>
  <c r="Z12" i="4" s="1"/>
  <c r="Q12" i="4"/>
  <c r="O12" i="4"/>
  <c r="K12" i="4"/>
  <c r="J12" i="4"/>
  <c r="I12" i="4"/>
  <c r="E12" i="4"/>
  <c r="D12" i="4"/>
  <c r="C12" i="4"/>
  <c r="Q11" i="4"/>
  <c r="O11" i="4"/>
  <c r="K11" i="4"/>
  <c r="J11" i="4"/>
  <c r="I11" i="4"/>
  <c r="E11" i="4"/>
  <c r="D11" i="4"/>
  <c r="C11" i="4"/>
  <c r="Z9" i="4"/>
  <c r="Y9" i="4"/>
  <c r="T9" i="4"/>
  <c r="S9" i="4"/>
  <c r="O8" i="4"/>
  <c r="N8" i="4"/>
  <c r="M8" i="4"/>
  <c r="L8" i="4"/>
  <c r="K8" i="4"/>
  <c r="J8" i="4"/>
  <c r="H8" i="4"/>
  <c r="G8" i="4"/>
  <c r="F8" i="4"/>
  <c r="E8" i="4"/>
  <c r="P8" i="4" s="1"/>
  <c r="T7" i="4"/>
  <c r="P7" i="4"/>
  <c r="I7" i="4"/>
  <c r="I8" i="4" s="1"/>
  <c r="P5" i="4"/>
  <c r="E3" i="4"/>
  <c r="I2" i="4"/>
  <c r="X1" i="4"/>
  <c r="D64" i="4" s="1"/>
  <c r="B58" i="4" s="1"/>
  <c r="S1" i="4"/>
  <c r="P1" i="4"/>
  <c r="L1" i="4"/>
  <c r="B1" i="4"/>
  <c r="B62" i="4" s="1"/>
  <c r="D71" i="4" l="1"/>
  <c r="F71" i="4"/>
  <c r="P11" i="4"/>
  <c r="P13" i="4"/>
  <c r="V13" i="4"/>
  <c r="Y13" i="4" s="1"/>
  <c r="P15" i="4"/>
  <c r="V15" i="4"/>
  <c r="Y15" i="4" s="1"/>
  <c r="P17" i="4"/>
  <c r="V17" i="4"/>
  <c r="Y17" i="4" s="1"/>
  <c r="P19" i="4"/>
  <c r="V19" i="4"/>
  <c r="Y19" i="4" s="1"/>
  <c r="P21" i="4"/>
  <c r="V21" i="4"/>
  <c r="Y21" i="4" s="1"/>
  <c r="P23" i="4"/>
  <c r="V23" i="4"/>
  <c r="Y23" i="4" s="1"/>
  <c r="P25" i="4"/>
  <c r="V25" i="4"/>
  <c r="Y25" i="4" s="1"/>
  <c r="P27" i="4"/>
  <c r="V27" i="4"/>
  <c r="Y27" i="4" s="1"/>
  <c r="V37" i="4"/>
  <c r="Y37" i="4" s="1"/>
  <c r="P37" i="4"/>
  <c r="V53" i="4"/>
  <c r="Y53" i="4" s="1"/>
  <c r="P53" i="4"/>
  <c r="V41" i="4"/>
  <c r="Y41" i="4" s="1"/>
  <c r="P41" i="4"/>
  <c r="V33" i="4"/>
  <c r="Y33" i="4" s="1"/>
  <c r="P33" i="4"/>
  <c r="V49" i="4"/>
  <c r="Y49" i="4" s="1"/>
  <c r="P49" i="4"/>
  <c r="P12" i="4"/>
  <c r="V12" i="4"/>
  <c r="Y12" i="4" s="1"/>
  <c r="P14" i="4"/>
  <c r="V14" i="4"/>
  <c r="Y14" i="4" s="1"/>
  <c r="P16" i="4"/>
  <c r="V16" i="4"/>
  <c r="Y16" i="4" s="1"/>
  <c r="P18" i="4"/>
  <c r="V18" i="4"/>
  <c r="Y18" i="4" s="1"/>
  <c r="P20" i="4"/>
  <c r="V20" i="4"/>
  <c r="Y20" i="4" s="1"/>
  <c r="P22" i="4"/>
  <c r="V22" i="4"/>
  <c r="Y22" i="4" s="1"/>
  <c r="P24" i="4"/>
  <c r="V24" i="4"/>
  <c r="Y24" i="4" s="1"/>
  <c r="P26" i="4"/>
  <c r="V26" i="4"/>
  <c r="Y26" i="4" s="1"/>
  <c r="V45" i="4"/>
  <c r="Y45" i="4" s="1"/>
  <c r="P45" i="4"/>
  <c r="P28" i="4"/>
  <c r="P29" i="4"/>
  <c r="P30" i="4"/>
  <c r="P34" i="4"/>
  <c r="P38" i="4"/>
  <c r="P42" i="4"/>
  <c r="P46" i="4"/>
  <c r="P50" i="4"/>
  <c r="P54" i="4"/>
  <c r="V28" i="4"/>
  <c r="Y28" i="4" s="1"/>
  <c r="P31" i="4"/>
  <c r="P35" i="4"/>
  <c r="P39" i="4"/>
  <c r="P43" i="4"/>
  <c r="P47" i="4"/>
  <c r="P51" i="4"/>
  <c r="F70" i="4" l="1"/>
  <c r="D70" i="4"/>
  <c r="F72" i="3" l="1"/>
  <c r="D72" i="3"/>
  <c r="C72" i="3"/>
  <c r="C71" i="3"/>
  <c r="C70" i="3"/>
  <c r="Z54" i="3"/>
  <c r="Q54" i="3"/>
  <c r="O54" i="3"/>
  <c r="K54" i="3"/>
  <c r="J54" i="3"/>
  <c r="I54" i="3"/>
  <c r="P54" i="3" s="1"/>
  <c r="E54" i="3"/>
  <c r="D54" i="3"/>
  <c r="C54" i="3"/>
  <c r="Z53" i="3"/>
  <c r="Q53" i="3"/>
  <c r="O53" i="3"/>
  <c r="K53" i="3"/>
  <c r="J53" i="3"/>
  <c r="I53" i="3"/>
  <c r="E53" i="3"/>
  <c r="D53" i="3"/>
  <c r="C53" i="3"/>
  <c r="Z52" i="3"/>
  <c r="Q52" i="3"/>
  <c r="O52" i="3"/>
  <c r="K52" i="3"/>
  <c r="J52" i="3"/>
  <c r="I52" i="3"/>
  <c r="E52" i="3"/>
  <c r="D52" i="3"/>
  <c r="C52" i="3"/>
  <c r="Z51" i="3"/>
  <c r="Q51" i="3"/>
  <c r="O51" i="3"/>
  <c r="K51" i="3"/>
  <c r="J51" i="3"/>
  <c r="I51" i="3"/>
  <c r="E51" i="3"/>
  <c r="D51" i="3"/>
  <c r="C51" i="3"/>
  <c r="Z50" i="3"/>
  <c r="Q50" i="3"/>
  <c r="O50" i="3"/>
  <c r="K50" i="3"/>
  <c r="J50" i="3"/>
  <c r="I50" i="3"/>
  <c r="P50" i="3" s="1"/>
  <c r="E50" i="3"/>
  <c r="D50" i="3"/>
  <c r="C50" i="3"/>
  <c r="Z49" i="3"/>
  <c r="Q49" i="3"/>
  <c r="O49" i="3"/>
  <c r="K49" i="3"/>
  <c r="J49" i="3"/>
  <c r="I49" i="3"/>
  <c r="E49" i="3"/>
  <c r="D49" i="3"/>
  <c r="C49" i="3"/>
  <c r="Z48" i="3"/>
  <c r="Q48" i="3"/>
  <c r="O48" i="3"/>
  <c r="K48" i="3"/>
  <c r="J48" i="3"/>
  <c r="I48" i="3"/>
  <c r="E48" i="3"/>
  <c r="D48" i="3"/>
  <c r="C48" i="3"/>
  <c r="Z47" i="3"/>
  <c r="Q47" i="3"/>
  <c r="O47" i="3"/>
  <c r="K47" i="3"/>
  <c r="J47" i="3"/>
  <c r="I47" i="3"/>
  <c r="E47" i="3"/>
  <c r="D47" i="3"/>
  <c r="C47" i="3"/>
  <c r="Z46" i="3"/>
  <c r="Q46" i="3"/>
  <c r="O46" i="3"/>
  <c r="K46" i="3"/>
  <c r="J46" i="3"/>
  <c r="I46" i="3"/>
  <c r="P46" i="3" s="1"/>
  <c r="E46" i="3"/>
  <c r="D46" i="3"/>
  <c r="C46" i="3"/>
  <c r="Z45" i="3"/>
  <c r="Q45" i="3"/>
  <c r="O45" i="3"/>
  <c r="K45" i="3"/>
  <c r="J45" i="3"/>
  <c r="I45" i="3"/>
  <c r="E45" i="3"/>
  <c r="D45" i="3"/>
  <c r="C45" i="3"/>
  <c r="Z44" i="3"/>
  <c r="Q44" i="3"/>
  <c r="O44" i="3"/>
  <c r="K44" i="3"/>
  <c r="J44" i="3"/>
  <c r="I44" i="3"/>
  <c r="E44" i="3"/>
  <c r="D44" i="3"/>
  <c r="C44" i="3"/>
  <c r="Z43" i="3"/>
  <c r="Q43" i="3"/>
  <c r="O43" i="3"/>
  <c r="K43" i="3"/>
  <c r="J43" i="3"/>
  <c r="I43" i="3"/>
  <c r="E43" i="3"/>
  <c r="D43" i="3"/>
  <c r="C43" i="3"/>
  <c r="Z42" i="3"/>
  <c r="Q42" i="3"/>
  <c r="O42" i="3"/>
  <c r="K42" i="3"/>
  <c r="J42" i="3"/>
  <c r="I42" i="3"/>
  <c r="P42" i="3" s="1"/>
  <c r="E42" i="3"/>
  <c r="D42" i="3"/>
  <c r="C42" i="3"/>
  <c r="Z41" i="3"/>
  <c r="Q41" i="3"/>
  <c r="O41" i="3"/>
  <c r="K41" i="3"/>
  <c r="J41" i="3"/>
  <c r="I41" i="3"/>
  <c r="E41" i="3"/>
  <c r="D41" i="3"/>
  <c r="C41" i="3"/>
  <c r="Z40" i="3"/>
  <c r="Q40" i="3"/>
  <c r="O40" i="3"/>
  <c r="K40" i="3"/>
  <c r="J40" i="3"/>
  <c r="I40" i="3"/>
  <c r="E40" i="3"/>
  <c r="D40" i="3"/>
  <c r="C40" i="3"/>
  <c r="Z39" i="3"/>
  <c r="Q39" i="3"/>
  <c r="O39" i="3"/>
  <c r="K39" i="3"/>
  <c r="J39" i="3"/>
  <c r="I39" i="3"/>
  <c r="E39" i="3"/>
  <c r="D39" i="3"/>
  <c r="C39" i="3"/>
  <c r="Z38" i="3"/>
  <c r="Q38" i="3"/>
  <c r="O38" i="3"/>
  <c r="K38" i="3"/>
  <c r="J38" i="3"/>
  <c r="I38" i="3"/>
  <c r="P38" i="3" s="1"/>
  <c r="E38" i="3"/>
  <c r="D38" i="3"/>
  <c r="C38" i="3"/>
  <c r="Z37" i="3"/>
  <c r="Q37" i="3"/>
  <c r="O37" i="3"/>
  <c r="K37" i="3"/>
  <c r="J37" i="3"/>
  <c r="I37" i="3"/>
  <c r="E37" i="3"/>
  <c r="D37" i="3"/>
  <c r="C37" i="3"/>
  <c r="Z36" i="3"/>
  <c r="Q36" i="3"/>
  <c r="O36" i="3"/>
  <c r="K36" i="3"/>
  <c r="J36" i="3"/>
  <c r="I36" i="3"/>
  <c r="E36" i="3"/>
  <c r="D36" i="3"/>
  <c r="C36" i="3"/>
  <c r="Z35" i="3"/>
  <c r="Q35" i="3"/>
  <c r="O35" i="3"/>
  <c r="K35" i="3"/>
  <c r="J35" i="3"/>
  <c r="I35" i="3"/>
  <c r="E35" i="3"/>
  <c r="D35" i="3"/>
  <c r="C35" i="3"/>
  <c r="Z34" i="3"/>
  <c r="Q34" i="3"/>
  <c r="O34" i="3"/>
  <c r="K34" i="3"/>
  <c r="J34" i="3"/>
  <c r="I34" i="3"/>
  <c r="P34" i="3" s="1"/>
  <c r="E34" i="3"/>
  <c r="D34" i="3"/>
  <c r="C34" i="3"/>
  <c r="Z33" i="3"/>
  <c r="Q33" i="3"/>
  <c r="O33" i="3"/>
  <c r="K33" i="3"/>
  <c r="J33" i="3"/>
  <c r="I33" i="3"/>
  <c r="E33" i="3"/>
  <c r="D33" i="3"/>
  <c r="C33" i="3"/>
  <c r="Z32" i="3"/>
  <c r="Q32" i="3"/>
  <c r="O32" i="3"/>
  <c r="K32" i="3"/>
  <c r="J32" i="3"/>
  <c r="I32" i="3"/>
  <c r="E32" i="3"/>
  <c r="D32" i="3"/>
  <c r="C32" i="3"/>
  <c r="Z31" i="3"/>
  <c r="Q31" i="3"/>
  <c r="O31" i="3"/>
  <c r="K31" i="3"/>
  <c r="J31" i="3"/>
  <c r="I31" i="3"/>
  <c r="E31" i="3"/>
  <c r="D31" i="3"/>
  <c r="C31" i="3"/>
  <c r="Z30" i="3"/>
  <c r="Q30" i="3"/>
  <c r="O30" i="3"/>
  <c r="K30" i="3"/>
  <c r="J30" i="3"/>
  <c r="I30" i="3"/>
  <c r="P30" i="3" s="1"/>
  <c r="E30" i="3"/>
  <c r="D30" i="3"/>
  <c r="C30" i="3"/>
  <c r="Z29" i="3"/>
  <c r="Q29" i="3"/>
  <c r="O29" i="3"/>
  <c r="K29" i="3"/>
  <c r="J29" i="3"/>
  <c r="I29" i="3"/>
  <c r="E29" i="3"/>
  <c r="D29" i="3"/>
  <c r="C29" i="3"/>
  <c r="Z28" i="3"/>
  <c r="Q28" i="3"/>
  <c r="O28" i="3"/>
  <c r="K28" i="3"/>
  <c r="J28" i="3"/>
  <c r="I28" i="3"/>
  <c r="E28" i="3"/>
  <c r="D28" i="3"/>
  <c r="C28" i="3"/>
  <c r="Z27" i="3"/>
  <c r="Q27" i="3"/>
  <c r="O27" i="3"/>
  <c r="K27" i="3"/>
  <c r="J27" i="3"/>
  <c r="I27" i="3"/>
  <c r="E27" i="3"/>
  <c r="D27" i="3"/>
  <c r="C27" i="3"/>
  <c r="Z26" i="3"/>
  <c r="Q26" i="3"/>
  <c r="O26" i="3"/>
  <c r="K26" i="3"/>
  <c r="J26" i="3"/>
  <c r="I26" i="3"/>
  <c r="P26" i="3" s="1"/>
  <c r="E26" i="3"/>
  <c r="D26" i="3"/>
  <c r="C26" i="3"/>
  <c r="Z25" i="3"/>
  <c r="Q25" i="3"/>
  <c r="O25" i="3"/>
  <c r="K25" i="3"/>
  <c r="J25" i="3"/>
  <c r="I25" i="3"/>
  <c r="E25" i="3"/>
  <c r="D25" i="3"/>
  <c r="C25" i="3"/>
  <c r="Z24" i="3"/>
  <c r="Q24" i="3"/>
  <c r="O24" i="3"/>
  <c r="K24" i="3"/>
  <c r="J24" i="3"/>
  <c r="I24" i="3"/>
  <c r="E24" i="3"/>
  <c r="D24" i="3"/>
  <c r="C24" i="3"/>
  <c r="Z23" i="3"/>
  <c r="Q23" i="3"/>
  <c r="O23" i="3"/>
  <c r="K23" i="3"/>
  <c r="J23" i="3"/>
  <c r="I23" i="3"/>
  <c r="E23" i="3"/>
  <c r="D23" i="3"/>
  <c r="C23" i="3"/>
  <c r="Z22" i="3"/>
  <c r="Q22" i="3"/>
  <c r="O22" i="3"/>
  <c r="K22" i="3"/>
  <c r="J22" i="3"/>
  <c r="I22" i="3"/>
  <c r="E22" i="3"/>
  <c r="Y22" i="3" s="1"/>
  <c r="D22" i="3"/>
  <c r="C22" i="3"/>
  <c r="Z21" i="3"/>
  <c r="Q21" i="3"/>
  <c r="O21" i="3"/>
  <c r="K21" i="3"/>
  <c r="J21" i="3"/>
  <c r="I21" i="3"/>
  <c r="E21" i="3"/>
  <c r="Y21" i="3" s="1"/>
  <c r="D21" i="3"/>
  <c r="C21" i="3"/>
  <c r="Z20" i="3"/>
  <c r="Q20" i="3"/>
  <c r="O20" i="3"/>
  <c r="K20" i="3"/>
  <c r="J20" i="3"/>
  <c r="I20" i="3"/>
  <c r="E20" i="3"/>
  <c r="Y20" i="3" s="1"/>
  <c r="D20" i="3"/>
  <c r="C20" i="3"/>
  <c r="Z19" i="3"/>
  <c r="Q19" i="3"/>
  <c r="O19" i="3"/>
  <c r="K19" i="3"/>
  <c r="J19" i="3"/>
  <c r="I19" i="3"/>
  <c r="E19" i="3"/>
  <c r="Y19" i="3" s="1"/>
  <c r="D19" i="3"/>
  <c r="C19" i="3"/>
  <c r="Z18" i="3"/>
  <c r="Q18" i="3"/>
  <c r="O18" i="3"/>
  <c r="K18" i="3"/>
  <c r="J18" i="3"/>
  <c r="I18" i="3"/>
  <c r="E18" i="3"/>
  <c r="Y18" i="3" s="1"/>
  <c r="D18" i="3"/>
  <c r="C18" i="3"/>
  <c r="Z17" i="3"/>
  <c r="Q17" i="3"/>
  <c r="O17" i="3"/>
  <c r="K17" i="3"/>
  <c r="J17" i="3"/>
  <c r="I17" i="3"/>
  <c r="E17" i="3"/>
  <c r="Y17" i="3" s="1"/>
  <c r="D17" i="3"/>
  <c r="C17" i="3"/>
  <c r="Z16" i="3"/>
  <c r="Q16" i="3"/>
  <c r="O16" i="3"/>
  <c r="K16" i="3"/>
  <c r="J16" i="3"/>
  <c r="I16" i="3"/>
  <c r="E16" i="3"/>
  <c r="Y16" i="3" s="1"/>
  <c r="D16" i="3"/>
  <c r="C16" i="3"/>
  <c r="Z15" i="3"/>
  <c r="Q15" i="3"/>
  <c r="O15" i="3"/>
  <c r="K15" i="3"/>
  <c r="J15" i="3"/>
  <c r="I15" i="3"/>
  <c r="E15" i="3"/>
  <c r="Y15" i="3" s="1"/>
  <c r="D15" i="3"/>
  <c r="C15" i="3"/>
  <c r="Z14" i="3"/>
  <c r="Q14" i="3"/>
  <c r="O14" i="3"/>
  <c r="K14" i="3"/>
  <c r="J14" i="3"/>
  <c r="I14" i="3"/>
  <c r="E14" i="3"/>
  <c r="Y14" i="3" s="1"/>
  <c r="D14" i="3"/>
  <c r="C14" i="3"/>
  <c r="Q13" i="3"/>
  <c r="O13" i="3"/>
  <c r="K13" i="3"/>
  <c r="Z13" i="3" s="1"/>
  <c r="J13" i="3"/>
  <c r="I13" i="3"/>
  <c r="P13" i="3" s="1"/>
  <c r="E13" i="3"/>
  <c r="D13" i="3"/>
  <c r="C13" i="3"/>
  <c r="Q12" i="3"/>
  <c r="O12" i="3"/>
  <c r="K12" i="3"/>
  <c r="Z12" i="3" s="1"/>
  <c r="J12" i="3"/>
  <c r="I12" i="3"/>
  <c r="P12" i="3" s="1"/>
  <c r="E12" i="3"/>
  <c r="D12" i="3"/>
  <c r="C12" i="3"/>
  <c r="Q11" i="3"/>
  <c r="O11" i="3"/>
  <c r="K11" i="3"/>
  <c r="W11" i="3" s="1"/>
  <c r="Z11" i="3" s="1"/>
  <c r="J11" i="3"/>
  <c r="I11" i="3"/>
  <c r="P11" i="3" s="1"/>
  <c r="E11" i="3"/>
  <c r="D11" i="3"/>
  <c r="C11" i="3"/>
  <c r="Y9" i="3"/>
  <c r="T9" i="3"/>
  <c r="S9" i="3"/>
  <c r="P8" i="3"/>
  <c r="O8" i="3"/>
  <c r="N8" i="3"/>
  <c r="M8" i="3"/>
  <c r="L8" i="3"/>
  <c r="K8" i="3"/>
  <c r="J8" i="3"/>
  <c r="I8" i="3"/>
  <c r="H8" i="3"/>
  <c r="G8" i="3"/>
  <c r="F8" i="3"/>
  <c r="E8" i="3"/>
  <c r="S7" i="3"/>
  <c r="Y13" i="3" s="1"/>
  <c r="P7" i="3"/>
  <c r="I7" i="3"/>
  <c r="P5" i="3"/>
  <c r="E3" i="3"/>
  <c r="B63" i="3" s="1"/>
  <c r="I2" i="3"/>
  <c r="X1" i="3"/>
  <c r="D64" i="3" s="1"/>
  <c r="B58" i="3" s="1"/>
  <c r="S1" i="3"/>
  <c r="D63" i="3" s="1"/>
  <c r="P1" i="3"/>
  <c r="L1" i="3"/>
  <c r="B1" i="3"/>
  <c r="B62" i="3" s="1"/>
  <c r="D71" i="3" l="1"/>
  <c r="F71" i="3"/>
  <c r="Y27" i="3"/>
  <c r="Y35" i="3"/>
  <c r="Y39" i="3"/>
  <c r="Y43" i="3"/>
  <c r="Y47" i="3"/>
  <c r="Y51" i="3"/>
  <c r="V11" i="3"/>
  <c r="Y11" i="3" s="1"/>
  <c r="P15" i="3"/>
  <c r="P17" i="3"/>
  <c r="P19" i="3"/>
  <c r="P21" i="3"/>
  <c r="P23" i="3"/>
  <c r="P27" i="3"/>
  <c r="Y28" i="3"/>
  <c r="P31" i="3"/>
  <c r="P35" i="3"/>
  <c r="P39" i="3"/>
  <c r="Y40" i="3"/>
  <c r="P43" i="3"/>
  <c r="Y48" i="3"/>
  <c r="P51" i="3"/>
  <c r="P24" i="3"/>
  <c r="Y25" i="3"/>
  <c r="P28" i="3"/>
  <c r="Y29" i="3"/>
  <c r="P32" i="3"/>
  <c r="Y33" i="3"/>
  <c r="P36" i="3"/>
  <c r="Y37" i="3"/>
  <c r="P40" i="3"/>
  <c r="Y41" i="3"/>
  <c r="P44" i="3"/>
  <c r="Y45" i="3"/>
  <c r="P48" i="3"/>
  <c r="Y49" i="3"/>
  <c r="P52" i="3"/>
  <c r="Y53" i="3"/>
  <c r="Y23" i="3"/>
  <c r="Y31" i="3"/>
  <c r="Y12" i="3"/>
  <c r="Y24" i="3"/>
  <c r="Y32" i="3"/>
  <c r="Y36" i="3"/>
  <c r="Y44" i="3"/>
  <c r="P47" i="3"/>
  <c r="Y52" i="3"/>
  <c r="P14" i="3"/>
  <c r="P16" i="3"/>
  <c r="P18" i="3"/>
  <c r="P20" i="3"/>
  <c r="P22" i="3"/>
  <c r="P25" i="3"/>
  <c r="Y26" i="3"/>
  <c r="P29" i="3"/>
  <c r="Y30" i="3"/>
  <c r="P33" i="3"/>
  <c r="Y34" i="3"/>
  <c r="P37" i="3"/>
  <c r="Y38" i="3"/>
  <c r="P41" i="3"/>
  <c r="Y42" i="3"/>
  <c r="P45" i="3"/>
  <c r="Y46" i="3"/>
  <c r="P49" i="3"/>
  <c r="Y50" i="3"/>
  <c r="P53" i="3"/>
  <c r="Y54" i="3"/>
  <c r="F70" i="3" l="1"/>
  <c r="D70" i="3"/>
  <c r="C72" i="2" l="1"/>
  <c r="C71" i="2"/>
  <c r="C70" i="2"/>
  <c r="U54" i="2"/>
  <c r="S54" i="2"/>
  <c r="Q54" i="2"/>
  <c r="O54" i="2"/>
  <c r="K54" i="2"/>
  <c r="T54" i="2" s="1"/>
  <c r="J54" i="2"/>
  <c r="I54" i="2"/>
  <c r="P54" i="2" s="1"/>
  <c r="E54" i="2"/>
  <c r="D54" i="2"/>
  <c r="C54" i="2"/>
  <c r="U53" i="2"/>
  <c r="S53" i="2"/>
  <c r="Q53" i="2"/>
  <c r="O53" i="2"/>
  <c r="K53" i="2"/>
  <c r="T53" i="2" s="1"/>
  <c r="J53" i="2"/>
  <c r="I53" i="2"/>
  <c r="E53" i="2"/>
  <c r="D53" i="2"/>
  <c r="C53" i="2"/>
  <c r="U52" i="2"/>
  <c r="S52" i="2"/>
  <c r="Q52" i="2"/>
  <c r="O52" i="2"/>
  <c r="K52" i="2"/>
  <c r="T52" i="2" s="1"/>
  <c r="J52" i="2"/>
  <c r="I52" i="2"/>
  <c r="P52" i="2" s="1"/>
  <c r="E52" i="2"/>
  <c r="D52" i="2"/>
  <c r="C52" i="2"/>
  <c r="U51" i="2"/>
  <c r="S51" i="2"/>
  <c r="Q51" i="2"/>
  <c r="O51" i="2"/>
  <c r="K51" i="2"/>
  <c r="T51" i="2" s="1"/>
  <c r="J51" i="2"/>
  <c r="I51" i="2"/>
  <c r="E51" i="2"/>
  <c r="D51" i="2"/>
  <c r="C51" i="2"/>
  <c r="U50" i="2"/>
  <c r="S50" i="2"/>
  <c r="Q50" i="2"/>
  <c r="O50" i="2"/>
  <c r="K50" i="2"/>
  <c r="T50" i="2" s="1"/>
  <c r="J50" i="2"/>
  <c r="I50" i="2"/>
  <c r="P50" i="2" s="1"/>
  <c r="E50" i="2"/>
  <c r="D50" i="2"/>
  <c r="C50" i="2"/>
  <c r="U49" i="2"/>
  <c r="S49" i="2"/>
  <c r="Q49" i="2"/>
  <c r="O49" i="2"/>
  <c r="K49" i="2"/>
  <c r="T49" i="2" s="1"/>
  <c r="J49" i="2"/>
  <c r="I49" i="2"/>
  <c r="E49" i="2"/>
  <c r="D49" i="2"/>
  <c r="C49" i="2"/>
  <c r="U48" i="2"/>
  <c r="S48" i="2"/>
  <c r="Q48" i="2"/>
  <c r="O48" i="2"/>
  <c r="K48" i="2"/>
  <c r="T48" i="2" s="1"/>
  <c r="J48" i="2"/>
  <c r="I48" i="2"/>
  <c r="P48" i="2" s="1"/>
  <c r="E48" i="2"/>
  <c r="D48" i="2"/>
  <c r="C48" i="2"/>
  <c r="U47" i="2"/>
  <c r="S47" i="2"/>
  <c r="Q47" i="2"/>
  <c r="O47" i="2"/>
  <c r="K47" i="2"/>
  <c r="T47" i="2" s="1"/>
  <c r="J47" i="2"/>
  <c r="I47" i="2"/>
  <c r="E47" i="2"/>
  <c r="D47" i="2"/>
  <c r="C47" i="2"/>
  <c r="U46" i="2"/>
  <c r="S46" i="2"/>
  <c r="Q46" i="2"/>
  <c r="O46" i="2"/>
  <c r="K46" i="2"/>
  <c r="T46" i="2" s="1"/>
  <c r="J46" i="2"/>
  <c r="I46" i="2"/>
  <c r="P46" i="2" s="1"/>
  <c r="E46" i="2"/>
  <c r="D46" i="2"/>
  <c r="C46" i="2"/>
  <c r="U45" i="2"/>
  <c r="S45" i="2"/>
  <c r="Q45" i="2"/>
  <c r="O45" i="2"/>
  <c r="K45" i="2"/>
  <c r="T45" i="2" s="1"/>
  <c r="J45" i="2"/>
  <c r="I45" i="2"/>
  <c r="E45" i="2"/>
  <c r="D45" i="2"/>
  <c r="C45" i="2"/>
  <c r="U44" i="2"/>
  <c r="S44" i="2"/>
  <c r="Q44" i="2"/>
  <c r="O44" i="2"/>
  <c r="K44" i="2"/>
  <c r="T44" i="2" s="1"/>
  <c r="J44" i="2"/>
  <c r="I44" i="2"/>
  <c r="P44" i="2" s="1"/>
  <c r="E44" i="2"/>
  <c r="D44" i="2"/>
  <c r="C44" i="2"/>
  <c r="U43" i="2"/>
  <c r="S43" i="2"/>
  <c r="Q43" i="2"/>
  <c r="O43" i="2"/>
  <c r="K43" i="2"/>
  <c r="T43" i="2" s="1"/>
  <c r="J43" i="2"/>
  <c r="I43" i="2"/>
  <c r="E43" i="2"/>
  <c r="D43" i="2"/>
  <c r="C43" i="2"/>
  <c r="U42" i="2"/>
  <c r="S42" i="2"/>
  <c r="Q42" i="2"/>
  <c r="O42" i="2"/>
  <c r="K42" i="2"/>
  <c r="T42" i="2" s="1"/>
  <c r="J42" i="2"/>
  <c r="I42" i="2"/>
  <c r="P42" i="2" s="1"/>
  <c r="E42" i="2"/>
  <c r="D42" i="2"/>
  <c r="C42" i="2"/>
  <c r="U41" i="2"/>
  <c r="S41" i="2"/>
  <c r="Q41" i="2"/>
  <c r="O41" i="2"/>
  <c r="K41" i="2"/>
  <c r="T41" i="2" s="1"/>
  <c r="J41" i="2"/>
  <c r="I41" i="2"/>
  <c r="E41" i="2"/>
  <c r="D41" i="2"/>
  <c r="C41" i="2"/>
  <c r="U40" i="2"/>
  <c r="S40" i="2"/>
  <c r="Q40" i="2"/>
  <c r="O40" i="2"/>
  <c r="K40" i="2"/>
  <c r="T40" i="2" s="1"/>
  <c r="J40" i="2"/>
  <c r="I40" i="2"/>
  <c r="P40" i="2" s="1"/>
  <c r="E40" i="2"/>
  <c r="D40" i="2"/>
  <c r="C40" i="2"/>
  <c r="U39" i="2"/>
  <c r="S39" i="2"/>
  <c r="Q39" i="2"/>
  <c r="O39" i="2"/>
  <c r="K39" i="2"/>
  <c r="T39" i="2" s="1"/>
  <c r="J39" i="2"/>
  <c r="I39" i="2"/>
  <c r="E39" i="2"/>
  <c r="D39" i="2"/>
  <c r="C39" i="2"/>
  <c r="U38" i="2"/>
  <c r="S38" i="2"/>
  <c r="Q38" i="2"/>
  <c r="O38" i="2"/>
  <c r="K38" i="2"/>
  <c r="T38" i="2" s="1"/>
  <c r="J38" i="2"/>
  <c r="I38" i="2"/>
  <c r="P38" i="2" s="1"/>
  <c r="E38" i="2"/>
  <c r="D38" i="2"/>
  <c r="C38" i="2"/>
  <c r="U37" i="2"/>
  <c r="S37" i="2"/>
  <c r="Q37" i="2"/>
  <c r="O37" i="2"/>
  <c r="K37" i="2"/>
  <c r="T37" i="2" s="1"/>
  <c r="J37" i="2"/>
  <c r="I37" i="2"/>
  <c r="E37" i="2"/>
  <c r="D37" i="2"/>
  <c r="C37" i="2"/>
  <c r="U36" i="2"/>
  <c r="S36" i="2"/>
  <c r="Q36" i="2"/>
  <c r="O36" i="2"/>
  <c r="K36" i="2"/>
  <c r="T36" i="2" s="1"/>
  <c r="J36" i="2"/>
  <c r="I36" i="2"/>
  <c r="P36" i="2" s="1"/>
  <c r="E36" i="2"/>
  <c r="D36" i="2"/>
  <c r="C36" i="2"/>
  <c r="U35" i="2"/>
  <c r="S35" i="2"/>
  <c r="Q35" i="2"/>
  <c r="O35" i="2"/>
  <c r="K35" i="2"/>
  <c r="T35" i="2" s="1"/>
  <c r="J35" i="2"/>
  <c r="I35" i="2"/>
  <c r="P35" i="2" s="1"/>
  <c r="E35" i="2"/>
  <c r="D35" i="2"/>
  <c r="C35" i="2"/>
  <c r="U34" i="2"/>
  <c r="S34" i="2"/>
  <c r="Y34" i="2" s="1"/>
  <c r="Q34" i="2"/>
  <c r="O34" i="2"/>
  <c r="K34" i="2"/>
  <c r="T34" i="2" s="1"/>
  <c r="J34" i="2"/>
  <c r="I34" i="2"/>
  <c r="E34" i="2"/>
  <c r="D34" i="2"/>
  <c r="C34" i="2"/>
  <c r="U33" i="2"/>
  <c r="S33" i="2"/>
  <c r="Q33" i="2"/>
  <c r="O33" i="2"/>
  <c r="K33" i="2"/>
  <c r="T33" i="2" s="1"/>
  <c r="J33" i="2"/>
  <c r="I33" i="2"/>
  <c r="P33" i="2" s="1"/>
  <c r="E33" i="2"/>
  <c r="D33" i="2"/>
  <c r="C33" i="2"/>
  <c r="U32" i="2"/>
  <c r="S32" i="2"/>
  <c r="Q32" i="2"/>
  <c r="O32" i="2"/>
  <c r="K32" i="2"/>
  <c r="T32" i="2" s="1"/>
  <c r="J32" i="2"/>
  <c r="I32" i="2"/>
  <c r="P32" i="2" s="1"/>
  <c r="E32" i="2"/>
  <c r="D32" i="2"/>
  <c r="C32" i="2"/>
  <c r="U31" i="2"/>
  <c r="S31" i="2"/>
  <c r="Q31" i="2"/>
  <c r="O31" i="2"/>
  <c r="K31" i="2"/>
  <c r="T31" i="2" s="1"/>
  <c r="J31" i="2"/>
  <c r="I31" i="2"/>
  <c r="P31" i="2" s="1"/>
  <c r="E31" i="2"/>
  <c r="D31" i="2"/>
  <c r="C31" i="2"/>
  <c r="U30" i="2"/>
  <c r="S30" i="2"/>
  <c r="Y30" i="2" s="1"/>
  <c r="Q30" i="2"/>
  <c r="O30" i="2"/>
  <c r="K30" i="2"/>
  <c r="T30" i="2" s="1"/>
  <c r="J30" i="2"/>
  <c r="I30" i="2"/>
  <c r="P30" i="2" s="1"/>
  <c r="E30" i="2"/>
  <c r="D30" i="2"/>
  <c r="C30" i="2"/>
  <c r="U29" i="2"/>
  <c r="S29" i="2"/>
  <c r="Q29" i="2"/>
  <c r="O29" i="2"/>
  <c r="K29" i="2"/>
  <c r="T29" i="2" s="1"/>
  <c r="J29" i="2"/>
  <c r="I29" i="2"/>
  <c r="P29" i="2" s="1"/>
  <c r="E29" i="2"/>
  <c r="D29" i="2"/>
  <c r="C29" i="2"/>
  <c r="U28" i="2"/>
  <c r="S28" i="2"/>
  <c r="Q28" i="2"/>
  <c r="O28" i="2"/>
  <c r="K28" i="2"/>
  <c r="T28" i="2" s="1"/>
  <c r="J28" i="2"/>
  <c r="I28" i="2"/>
  <c r="E28" i="2"/>
  <c r="D28" i="2"/>
  <c r="C28" i="2"/>
  <c r="U27" i="2"/>
  <c r="S27" i="2"/>
  <c r="Q27" i="2"/>
  <c r="O27" i="2"/>
  <c r="K27" i="2"/>
  <c r="T27" i="2" s="1"/>
  <c r="J27" i="2"/>
  <c r="I27" i="2"/>
  <c r="P27" i="2" s="1"/>
  <c r="E27" i="2"/>
  <c r="D27" i="2"/>
  <c r="C27" i="2"/>
  <c r="U26" i="2"/>
  <c r="S26" i="2"/>
  <c r="Y26" i="2" s="1"/>
  <c r="Q26" i="2"/>
  <c r="O26" i="2"/>
  <c r="K26" i="2"/>
  <c r="T26" i="2" s="1"/>
  <c r="J26" i="2"/>
  <c r="I26" i="2"/>
  <c r="E26" i="2"/>
  <c r="D26" i="2"/>
  <c r="C26" i="2"/>
  <c r="U25" i="2"/>
  <c r="S25" i="2"/>
  <c r="Q25" i="2"/>
  <c r="O25" i="2"/>
  <c r="K25" i="2"/>
  <c r="T25" i="2" s="1"/>
  <c r="J25" i="2"/>
  <c r="I25" i="2"/>
  <c r="P25" i="2" s="1"/>
  <c r="E25" i="2"/>
  <c r="D25" i="2"/>
  <c r="C25" i="2"/>
  <c r="U24" i="2"/>
  <c r="S24" i="2"/>
  <c r="Q24" i="2"/>
  <c r="O24" i="2"/>
  <c r="K24" i="2"/>
  <c r="T24" i="2" s="1"/>
  <c r="J24" i="2"/>
  <c r="I24" i="2"/>
  <c r="P24" i="2" s="1"/>
  <c r="E24" i="2"/>
  <c r="D24" i="2"/>
  <c r="C24" i="2"/>
  <c r="U23" i="2"/>
  <c r="S23" i="2"/>
  <c r="Q23" i="2"/>
  <c r="P23" i="2"/>
  <c r="O23" i="2"/>
  <c r="K23" i="2"/>
  <c r="T23" i="2" s="1"/>
  <c r="J23" i="2"/>
  <c r="I23" i="2"/>
  <c r="E23" i="2"/>
  <c r="D23" i="2"/>
  <c r="C23" i="2"/>
  <c r="U22" i="2"/>
  <c r="S22" i="2"/>
  <c r="Y22" i="2" s="1"/>
  <c r="Q22" i="2"/>
  <c r="O22" i="2"/>
  <c r="K22" i="2"/>
  <c r="T22" i="2" s="1"/>
  <c r="J22" i="2"/>
  <c r="I22" i="2"/>
  <c r="P22" i="2" s="1"/>
  <c r="E22" i="2"/>
  <c r="D22" i="2"/>
  <c r="C22" i="2"/>
  <c r="U21" i="2"/>
  <c r="S21" i="2"/>
  <c r="Q21" i="2"/>
  <c r="O21" i="2"/>
  <c r="K21" i="2"/>
  <c r="T21" i="2" s="1"/>
  <c r="J21" i="2"/>
  <c r="I21" i="2"/>
  <c r="P21" i="2" s="1"/>
  <c r="E21" i="2"/>
  <c r="D21" i="2"/>
  <c r="C21" i="2"/>
  <c r="U20" i="2"/>
  <c r="S20" i="2"/>
  <c r="Q20" i="2"/>
  <c r="O20" i="2"/>
  <c r="K20" i="2"/>
  <c r="T20" i="2" s="1"/>
  <c r="J20" i="2"/>
  <c r="I20" i="2"/>
  <c r="E20" i="2"/>
  <c r="D20" i="2"/>
  <c r="C20" i="2"/>
  <c r="U19" i="2"/>
  <c r="S19" i="2"/>
  <c r="Q19" i="2"/>
  <c r="O19" i="2"/>
  <c r="K19" i="2"/>
  <c r="T19" i="2" s="1"/>
  <c r="J19" i="2"/>
  <c r="I19" i="2"/>
  <c r="P19" i="2" s="1"/>
  <c r="E19" i="2"/>
  <c r="D19" i="2"/>
  <c r="C19" i="2"/>
  <c r="U18" i="2"/>
  <c r="S18" i="2"/>
  <c r="Y18" i="2" s="1"/>
  <c r="Q18" i="2"/>
  <c r="O18" i="2"/>
  <c r="K18" i="2"/>
  <c r="T18" i="2" s="1"/>
  <c r="J18" i="2"/>
  <c r="I18" i="2"/>
  <c r="E18" i="2"/>
  <c r="D18" i="2"/>
  <c r="C18" i="2"/>
  <c r="U17" i="2"/>
  <c r="S17" i="2"/>
  <c r="Q17" i="2"/>
  <c r="O17" i="2"/>
  <c r="K17" i="2"/>
  <c r="T17" i="2" s="1"/>
  <c r="J17" i="2"/>
  <c r="I17" i="2"/>
  <c r="P17" i="2" s="1"/>
  <c r="E17" i="2"/>
  <c r="D17" i="2"/>
  <c r="C17" i="2"/>
  <c r="U16" i="2"/>
  <c r="T16" i="2"/>
  <c r="Q16" i="2"/>
  <c r="O16" i="2"/>
  <c r="K16" i="2"/>
  <c r="J16" i="2"/>
  <c r="I16" i="2"/>
  <c r="E16" i="2"/>
  <c r="D16" i="2"/>
  <c r="C16" i="2"/>
  <c r="U15" i="2"/>
  <c r="S15" i="2"/>
  <c r="Q15" i="2"/>
  <c r="O15" i="2"/>
  <c r="K15" i="2"/>
  <c r="T15" i="2" s="1"/>
  <c r="J15" i="2"/>
  <c r="I15" i="2"/>
  <c r="P15" i="2" s="1"/>
  <c r="E15" i="2"/>
  <c r="D15" i="2"/>
  <c r="C15" i="2"/>
  <c r="T14" i="2"/>
  <c r="Q14" i="2"/>
  <c r="O14" i="2"/>
  <c r="K14" i="2"/>
  <c r="J14" i="2"/>
  <c r="U14" i="2" s="1"/>
  <c r="I14" i="2"/>
  <c r="E14" i="2"/>
  <c r="D14" i="2"/>
  <c r="C14" i="2"/>
  <c r="T13" i="2"/>
  <c r="Q13" i="2"/>
  <c r="O13" i="2"/>
  <c r="K13" i="2"/>
  <c r="J13" i="2"/>
  <c r="U13" i="2" s="1"/>
  <c r="I13" i="2"/>
  <c r="E13" i="2"/>
  <c r="D13" i="2"/>
  <c r="C13" i="2"/>
  <c r="T12" i="2"/>
  <c r="Q12" i="2"/>
  <c r="O12" i="2"/>
  <c r="K12" i="2"/>
  <c r="J12" i="2"/>
  <c r="U12" i="2" s="1"/>
  <c r="I12" i="2"/>
  <c r="E12" i="2"/>
  <c r="D12" i="2"/>
  <c r="C12" i="2"/>
  <c r="T11" i="2"/>
  <c r="Q11" i="2"/>
  <c r="O11" i="2"/>
  <c r="K11" i="2"/>
  <c r="J11" i="2"/>
  <c r="U11" i="2" s="1"/>
  <c r="I11" i="2"/>
  <c r="E11" i="2"/>
  <c r="P11" i="2" s="1"/>
  <c r="D11" i="2"/>
  <c r="C11" i="2"/>
  <c r="Y9" i="2"/>
  <c r="T9" i="2"/>
  <c r="S9" i="2"/>
  <c r="O8" i="2"/>
  <c r="N8" i="2"/>
  <c r="M8" i="2"/>
  <c r="L8" i="2"/>
  <c r="K8" i="2"/>
  <c r="J8" i="2"/>
  <c r="H8" i="2"/>
  <c r="G8" i="2"/>
  <c r="F8" i="2"/>
  <c r="E8" i="2"/>
  <c r="P7" i="2"/>
  <c r="I7" i="2"/>
  <c r="I8" i="2" s="1"/>
  <c r="P5" i="2"/>
  <c r="E3" i="2"/>
  <c r="B63" i="2" s="1"/>
  <c r="I2" i="2"/>
  <c r="X1" i="2"/>
  <c r="D64" i="2" s="1"/>
  <c r="B58" i="2" s="1"/>
  <c r="S1" i="2"/>
  <c r="D63" i="2" s="1"/>
  <c r="P1" i="2"/>
  <c r="L1" i="2"/>
  <c r="B1" i="2"/>
  <c r="B62" i="2" s="1"/>
  <c r="P8" i="2" l="1"/>
  <c r="F71" i="2"/>
  <c r="D71" i="2"/>
  <c r="S14" i="2"/>
  <c r="Y14" i="2" s="1"/>
  <c r="P14" i="2"/>
  <c r="Y15" i="2"/>
  <c r="Y24" i="2"/>
  <c r="Y32" i="2"/>
  <c r="S12" i="2"/>
  <c r="Y12" i="2" s="1"/>
  <c r="P12" i="2"/>
  <c r="P13" i="2"/>
  <c r="P20" i="2"/>
  <c r="P28" i="2"/>
  <c r="S16" i="2"/>
  <c r="Y16" i="2" s="1"/>
  <c r="P16" i="2"/>
  <c r="P18" i="2"/>
  <c r="Y20" i="2"/>
  <c r="P26" i="2"/>
  <c r="Y28" i="2"/>
  <c r="P34" i="2"/>
  <c r="Y36" i="2"/>
  <c r="Y38" i="2"/>
  <c r="Y40" i="2"/>
  <c r="Y42" i="2"/>
  <c r="Y44" i="2"/>
  <c r="Y46" i="2"/>
  <c r="Y52" i="2"/>
  <c r="Y54" i="2"/>
  <c r="S11" i="2"/>
  <c r="Y11" i="2" s="1"/>
  <c r="S13" i="2"/>
  <c r="Y13" i="2" s="1"/>
  <c r="Y48" i="2"/>
  <c r="Y17" i="2"/>
  <c r="Y19" i="2"/>
  <c r="Y21" i="2"/>
  <c r="Y23" i="2"/>
  <c r="Y25" i="2"/>
  <c r="Y27" i="2"/>
  <c r="Y29" i="2"/>
  <c r="Y31" i="2"/>
  <c r="Y33" i="2"/>
  <c r="Y35" i="2"/>
  <c r="P37" i="2"/>
  <c r="P39" i="2"/>
  <c r="P41" i="2"/>
  <c r="P43" i="2"/>
  <c r="P45" i="2"/>
  <c r="P47" i="2"/>
  <c r="P49" i="2"/>
  <c r="P51" i="2"/>
  <c r="P53" i="2"/>
  <c r="Y50" i="2"/>
  <c r="Y37" i="2"/>
  <c r="Y39" i="2"/>
  <c r="Y41" i="2"/>
  <c r="Y43" i="2"/>
  <c r="Y45" i="2"/>
  <c r="Y47" i="2"/>
  <c r="Y49" i="2"/>
  <c r="Y51" i="2"/>
  <c r="Y53" i="2"/>
  <c r="F72" i="2" l="1"/>
  <c r="D72" i="2"/>
  <c r="F70" i="2"/>
  <c r="D7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<sst xmlns="http://schemas.openxmlformats.org/spreadsheetml/2006/main" count="1539" uniqueCount="281">
  <si>
    <t xml:space="preserve">Activity Sheet </t>
  </si>
  <si>
    <t>CLO &amp; PLO Assessment</t>
  </si>
  <si>
    <t>Subject:</t>
  </si>
  <si>
    <t>Component Name</t>
  </si>
  <si>
    <t>Quiz 1</t>
  </si>
  <si>
    <t xml:space="preserve">Mid Term </t>
  </si>
  <si>
    <t>C.P</t>
  </si>
  <si>
    <t>Quiz 2</t>
  </si>
  <si>
    <t xml:space="preserve">Final Term </t>
  </si>
  <si>
    <t>Total</t>
  </si>
  <si>
    <t>Grade</t>
  </si>
  <si>
    <t>CLOs vs. PLOs</t>
  </si>
  <si>
    <t>Total Marks</t>
  </si>
  <si>
    <t>CLOs</t>
  </si>
  <si>
    <t>Question Components</t>
  </si>
  <si>
    <t>Q 1</t>
  </si>
  <si>
    <t>Q1</t>
  </si>
  <si>
    <t>Q2</t>
  </si>
  <si>
    <t>Q3</t>
  </si>
  <si>
    <t>PLOs</t>
  </si>
  <si>
    <t>Component Marks</t>
  </si>
  <si>
    <t>KPI</t>
  </si>
  <si>
    <t>Assessment of CLOs</t>
  </si>
  <si>
    <t xml:space="preserve">PLOs Acheivement </t>
  </si>
  <si>
    <t>CLO Mapping</t>
  </si>
  <si>
    <t>Sr. No.</t>
  </si>
  <si>
    <t>Registration No.</t>
  </si>
  <si>
    <t>Student Name</t>
  </si>
  <si>
    <t>Y</t>
  </si>
  <si>
    <t>N</t>
  </si>
  <si>
    <t>Teacher Incharge Signature</t>
  </si>
  <si>
    <t>Incharge Department Signature</t>
  </si>
  <si>
    <t>(Engr. M. Kashan Basit)</t>
  </si>
  <si>
    <t>Activity Sheet Statistics</t>
  </si>
  <si>
    <t>No. of Students</t>
  </si>
  <si>
    <t>PLO</t>
  </si>
  <si>
    <t>Achieved the PLO</t>
  </si>
  <si>
    <t>Not Achieved the PLO</t>
  </si>
  <si>
    <t xml:space="preserve">Cohert Failure = </t>
  </si>
  <si>
    <t xml:space="preserve"> Engr. M Talha Jahangir</t>
  </si>
  <si>
    <t>MNS - UNIVERSITY OF ENGINEERING AND TECHNOLOGY MULTAN</t>
  </si>
  <si>
    <t xml:space="preserve">Fall 2023 </t>
  </si>
  <si>
    <t>Evening (A)</t>
  </si>
  <si>
    <t>CLO &amp; PLO Assesment</t>
  </si>
  <si>
    <t>Title (Code):  Application of Information &amp; Communication Technologies (IT-112</t>
  </si>
  <si>
    <t>Name: Ms. Kanza Hanif</t>
  </si>
  <si>
    <t xml:space="preserve">Total </t>
  </si>
  <si>
    <t>R1</t>
  </si>
  <si>
    <t>R2</t>
  </si>
  <si>
    <t>R3</t>
  </si>
  <si>
    <t xml:space="preserve">CLOs Acheivement </t>
  </si>
  <si>
    <t>2023-IT-01</t>
  </si>
  <si>
    <t>Rahma Noor</t>
  </si>
  <si>
    <t>B</t>
  </si>
  <si>
    <t>2023-IT-02</t>
  </si>
  <si>
    <t>Alishba Manzoor</t>
  </si>
  <si>
    <t>C+</t>
  </si>
  <si>
    <t>2023-IT-03</t>
  </si>
  <si>
    <t>Maheen Fatima</t>
  </si>
  <si>
    <t>2023-IT-04</t>
  </si>
  <si>
    <t>Aneela</t>
  </si>
  <si>
    <t>B+</t>
  </si>
  <si>
    <t>2023-IT-05</t>
  </si>
  <si>
    <t>Alishba Saleem</t>
  </si>
  <si>
    <t>B-</t>
  </si>
  <si>
    <t>2023-IT-06</t>
  </si>
  <si>
    <t>Mehak Asghar</t>
  </si>
  <si>
    <t>A-</t>
  </si>
  <si>
    <t>2023-IT-07</t>
  </si>
  <si>
    <t>Humaira Afzal</t>
  </si>
  <si>
    <t>2023-IT-08</t>
  </si>
  <si>
    <t>Saleena Khan</t>
  </si>
  <si>
    <t>F</t>
  </si>
  <si>
    <t>2023-IT-10</t>
  </si>
  <si>
    <t>Asad Ullah</t>
  </si>
  <si>
    <t>2023-IT-11</t>
  </si>
  <si>
    <t>Rana Talha dawood</t>
  </si>
  <si>
    <t>2023-IT-12</t>
  </si>
  <si>
    <t>Ali Ahmad</t>
  </si>
  <si>
    <t>2023-IT-13</t>
  </si>
  <si>
    <t>Muhammad Daud</t>
  </si>
  <si>
    <t>2023-IT-14</t>
  </si>
  <si>
    <t>Mursil Mateen</t>
  </si>
  <si>
    <t>2023-IT-16</t>
  </si>
  <si>
    <t>Muhammad Usman</t>
  </si>
  <si>
    <t>2023-IT-18</t>
  </si>
  <si>
    <t>Adeel Maqbool</t>
  </si>
  <si>
    <t>2023-IT-20</t>
  </si>
  <si>
    <t>Husnain Saleem</t>
  </si>
  <si>
    <t>2023-IT-22</t>
  </si>
  <si>
    <t>Muhammad Sameer</t>
  </si>
  <si>
    <t>2023-IT-24</t>
  </si>
  <si>
    <t>Sher Shah Hussain</t>
  </si>
  <si>
    <t>2023-IT-26</t>
  </si>
  <si>
    <t>Abdul Ahad</t>
  </si>
  <si>
    <t>2023-IT-28</t>
  </si>
  <si>
    <t>Ahmad Latif</t>
  </si>
  <si>
    <t>2023-IT-32</t>
  </si>
  <si>
    <t>Muhammad Faisal</t>
  </si>
  <si>
    <t>2023-IT-34</t>
  </si>
  <si>
    <t>Jamshaid Abbas</t>
  </si>
  <si>
    <t>2023-IT-38</t>
  </si>
  <si>
    <t>Sherzaman Bukhari</t>
  </si>
  <si>
    <t>2023-IT-40</t>
  </si>
  <si>
    <t>Ahmad Raza Shareef</t>
  </si>
  <si>
    <t>2023-IT-41</t>
  </si>
  <si>
    <t>Anas Noor</t>
  </si>
  <si>
    <t>2023-IT-42</t>
  </si>
  <si>
    <t>Muhammad Moosa Bhatti</t>
  </si>
  <si>
    <t>2023-IT-44</t>
  </si>
  <si>
    <t>Muhammad Nouman Aslam</t>
  </si>
  <si>
    <t>2023-IT-46</t>
  </si>
  <si>
    <t>Muhammad Haseeb Anjum</t>
  </si>
  <si>
    <t>A+</t>
  </si>
  <si>
    <t>2023-IT-48</t>
  </si>
  <si>
    <t>Muhammad Arslan Waheed</t>
  </si>
  <si>
    <t>2023-IT-50</t>
  </si>
  <si>
    <t>Hafiz Muhammad Hasnain Saif</t>
  </si>
  <si>
    <t>2023-IT-54</t>
  </si>
  <si>
    <t>Muhammad Zeeshan</t>
  </si>
  <si>
    <t>2023-IT-56</t>
  </si>
  <si>
    <t>Muhammad Adeel</t>
  </si>
  <si>
    <t>2023-IT-60</t>
  </si>
  <si>
    <t>Mughees Ahmad</t>
  </si>
  <si>
    <t>2023-IT-62</t>
  </si>
  <si>
    <t>Muhammad Azeem</t>
  </si>
  <si>
    <t>2023-IT-64</t>
  </si>
  <si>
    <t>2023-IT-66</t>
  </si>
  <si>
    <t>Muhammad Haris Javed</t>
  </si>
  <si>
    <t>2023-IT-68</t>
  </si>
  <si>
    <t>Muhammad Mubashir</t>
  </si>
  <si>
    <t>A</t>
  </si>
  <si>
    <t>2023-IT-70</t>
  </si>
  <si>
    <t>Muhammad Usama</t>
  </si>
  <si>
    <t>2023-IT-72</t>
  </si>
  <si>
    <t>Muhammad Zohaib Akhtar</t>
  </si>
  <si>
    <t>2023-IT-74</t>
  </si>
  <si>
    <t>Ashir Mudassir</t>
  </si>
  <si>
    <t>2023-IT-76</t>
  </si>
  <si>
    <t>Rao Usama</t>
  </si>
  <si>
    <t>2023-IT-78</t>
  </si>
  <si>
    <t>Muhammad Zaman</t>
  </si>
  <si>
    <t>2023-IT-79</t>
  </si>
  <si>
    <t>Iqra Moeen</t>
  </si>
  <si>
    <t>2023-IT-80</t>
  </si>
  <si>
    <t>Ali Raza</t>
  </si>
  <si>
    <t>Ms. Kanza Hanif</t>
  </si>
  <si>
    <t>CLO-1</t>
  </si>
  <si>
    <t>Follow instructions to identify the knowledge of constructing basic circuits and demonstration of relevant theorems using  different electronic components(PLO-2, C-2)</t>
  </si>
  <si>
    <t>CLO-2</t>
  </si>
  <si>
    <t>Practice the experiment as per requirement using modern tools. (PLO-5, P-4)</t>
  </si>
  <si>
    <t>CLO-3</t>
  </si>
  <si>
    <t>Ability to communicate effectively; orally as well as in writing. (PLO-7, A-2)</t>
  </si>
  <si>
    <t>Department of Computer Science</t>
  </si>
  <si>
    <t>Session 2023</t>
  </si>
  <si>
    <t>CF</t>
  </si>
  <si>
    <t xml:space="preserve"> </t>
  </si>
  <si>
    <t>OBE PLOs Attainment Sheet</t>
  </si>
  <si>
    <t>Semester: 1st</t>
  </si>
  <si>
    <t>Zain-ul-Abideen</t>
  </si>
  <si>
    <t>Engr. Talah Jahangir</t>
  </si>
  <si>
    <t>Kanza Hanif</t>
  </si>
  <si>
    <t>Muhammad Amir</t>
  </si>
  <si>
    <t>Hina Zulfiqar</t>
  </si>
  <si>
    <t>Abdul Nasir Zamir</t>
  </si>
  <si>
    <t xml:space="preserve">Data Structure </t>
  </si>
  <si>
    <t>Pgrogramming Fundamental</t>
  </si>
  <si>
    <t>Application of Information &amp; Co</t>
  </si>
  <si>
    <t>Calculus and Analytic Geometry</t>
  </si>
  <si>
    <t>Linear Circuit Analysis  (Lab)</t>
  </si>
  <si>
    <t>Functional English</t>
  </si>
  <si>
    <t>Teaching of Holy Quran</t>
  </si>
  <si>
    <t>Commulative PLOS</t>
  </si>
  <si>
    <t>PLO2</t>
  </si>
  <si>
    <t>PLO3</t>
  </si>
  <si>
    <t>PLO5</t>
  </si>
  <si>
    <t>PLO7</t>
  </si>
  <si>
    <t>PLO1</t>
  </si>
  <si>
    <t xml:space="preserve">Roll No </t>
  </si>
  <si>
    <t>BSIT Evening (A) Fa 2023</t>
  </si>
  <si>
    <t>PLO4</t>
  </si>
  <si>
    <t>Program:</t>
  </si>
  <si>
    <t>BS Information Technology</t>
  </si>
  <si>
    <t>Semester:</t>
  </si>
  <si>
    <t>2nd Semester</t>
  </si>
  <si>
    <t>Session:</t>
  </si>
  <si>
    <t>Fall 2023 (Evening) Section-A</t>
  </si>
  <si>
    <t>Spring 2024</t>
  </si>
  <si>
    <t>Course:</t>
  </si>
  <si>
    <t>Instructor:</t>
  </si>
  <si>
    <t>Credit Hours:   2</t>
  </si>
  <si>
    <t>Theory</t>
  </si>
  <si>
    <r>
      <t xml:space="preserve">OBE           </t>
    </r>
    <r>
      <rPr>
        <b/>
        <sz val="20"/>
        <color theme="0"/>
        <rFont val="Times New Roman"/>
        <family val="1"/>
      </rPr>
      <t>Assessment</t>
    </r>
  </si>
  <si>
    <t>CLO1</t>
  </si>
  <si>
    <t>CLO2</t>
  </si>
  <si>
    <t>CLO3</t>
  </si>
  <si>
    <t>CLO4</t>
  </si>
  <si>
    <t>CLO5</t>
  </si>
  <si>
    <t>CLO6</t>
  </si>
  <si>
    <t>CLO7</t>
  </si>
  <si>
    <t>CLO8</t>
  </si>
  <si>
    <t>CLO9</t>
  </si>
  <si>
    <t>CLO10</t>
  </si>
  <si>
    <t>PLO6</t>
  </si>
  <si>
    <t>PLO8</t>
  </si>
  <si>
    <t>PLO9</t>
  </si>
  <si>
    <t>PLO10</t>
  </si>
  <si>
    <t>S#</t>
  </si>
  <si>
    <t>CMS ID</t>
  </si>
  <si>
    <t>Assessment Tool ―→</t>
  </si>
  <si>
    <t>Quiz1</t>
  </si>
  <si>
    <t>Mid</t>
  </si>
  <si>
    <t>QuizII</t>
  </si>
  <si>
    <t>Final</t>
  </si>
  <si>
    <t>PLO Assessment</t>
  </si>
  <si>
    <t>PLO Achieved</t>
  </si>
  <si>
    <t>Marks</t>
  </si>
  <si>
    <t>Target CLO</t>
  </si>
  <si>
    <t xml:space="preserve">Registration No </t>
  </si>
  <si>
    <t>Target PLO</t>
  </si>
  <si>
    <t xml:space="preserve">917-2017 </t>
  </si>
  <si>
    <t xml:space="preserve">918-2017 </t>
  </si>
  <si>
    <t xml:space="preserve">919-2017 </t>
  </si>
  <si>
    <t xml:space="preserve">921-2017 </t>
  </si>
  <si>
    <t xml:space="preserve">922-2017 </t>
  </si>
  <si>
    <t xml:space="preserve">923-2017 </t>
  </si>
  <si>
    <t xml:space="preserve">1144-2017 </t>
  </si>
  <si>
    <t xml:space="preserve">932-2017 </t>
  </si>
  <si>
    <t xml:space="preserve">1169-2017 </t>
  </si>
  <si>
    <t>1068-2017</t>
  </si>
  <si>
    <t xml:space="preserve"> 933-2017 </t>
  </si>
  <si>
    <t xml:space="preserve">934-2017 </t>
  </si>
  <si>
    <t xml:space="preserve">938-2017 </t>
  </si>
  <si>
    <t xml:space="preserve">1584-2017 </t>
  </si>
  <si>
    <t xml:space="preserve">1159-2017 </t>
  </si>
  <si>
    <t xml:space="preserve">939-2017 </t>
  </si>
  <si>
    <t xml:space="preserve"> 941-2017</t>
  </si>
  <si>
    <t xml:space="preserve"> 1156-2017</t>
  </si>
  <si>
    <t xml:space="preserve"> 946-2017 </t>
  </si>
  <si>
    <t>1067-2017</t>
  </si>
  <si>
    <t xml:space="preserve"> 950-2017 </t>
  </si>
  <si>
    <t xml:space="preserve">953-2017 </t>
  </si>
  <si>
    <t xml:space="preserve">954-2017 </t>
  </si>
  <si>
    <t>No. of Std achieve PLO</t>
  </si>
  <si>
    <t xml:space="preserve">1603-2017 </t>
  </si>
  <si>
    <t xml:space="preserve">1272-2017 </t>
  </si>
  <si>
    <t xml:space="preserve">1225-2017 </t>
  </si>
  <si>
    <t xml:space="preserve">1186-2017 </t>
  </si>
  <si>
    <t xml:space="preserve">1222-2017 </t>
  </si>
  <si>
    <t xml:space="preserve">1198-2017 </t>
  </si>
  <si>
    <t xml:space="preserve">1426-2017 </t>
  </si>
  <si>
    <t xml:space="preserve">1294-2017 </t>
  </si>
  <si>
    <t xml:space="preserve">1609-2017 </t>
  </si>
  <si>
    <t xml:space="preserve">945-2017 </t>
  </si>
  <si>
    <t xml:space="preserve">1196-2017 </t>
  </si>
  <si>
    <t xml:space="preserve">947-2017 </t>
  </si>
  <si>
    <t xml:space="preserve">949-2017 </t>
  </si>
  <si>
    <t xml:space="preserve">1168-2017 </t>
  </si>
  <si>
    <t xml:space="preserve">1197-2017 </t>
  </si>
  <si>
    <t>(Engr.Dr. Muhammad Shahzad)</t>
  </si>
  <si>
    <t xml:space="preserve">1273-2017 </t>
  </si>
  <si>
    <t xml:space="preserve">1194-2017 </t>
  </si>
  <si>
    <t>1271-2017</t>
  </si>
  <si>
    <t>Credit Hours:   3</t>
  </si>
  <si>
    <t>Arbab Haider</t>
  </si>
  <si>
    <t>Linear Algebra</t>
  </si>
  <si>
    <t>Computer Network</t>
  </si>
  <si>
    <t>PLO 2</t>
  </si>
  <si>
    <t>PLO 3</t>
  </si>
  <si>
    <t xml:space="preserve">Percentage </t>
  </si>
  <si>
    <t>PLO 4</t>
  </si>
  <si>
    <t>Percentage</t>
  </si>
  <si>
    <t>Object Oriented Programming</t>
  </si>
  <si>
    <t>Engr. Talha Jahangir</t>
  </si>
  <si>
    <t>Engr. Nashitah Alwaz</t>
  </si>
  <si>
    <t>Digital Logic &amp; Design</t>
  </si>
  <si>
    <t>Expository Writing</t>
  </si>
  <si>
    <t>Amir Khan</t>
  </si>
  <si>
    <t>PLO 1</t>
  </si>
  <si>
    <t>Islamic Studies</t>
  </si>
  <si>
    <t xml:space="preserve">Semester: 2nd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</si>
</sst>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b/>
      <sz val="18"/>
      <color indexed="8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20"/>
      <color rgb="FF000000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20"/>
      <color indexed="8"/>
      <name val="Times New Roman"/>
      <family val="1"/>
    </font>
    <font>
      <b/>
      <sz val="20"/>
      <color theme="1" tint="4.9989318521683403E-2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8"/>
      <name val="Times New Roman"/>
      <family val="1"/>
    </font>
    <font>
      <sz val="14"/>
      <color theme="1"/>
      <name val="Times New Roman"/>
      <family val="1"/>
    </font>
    <font>
      <sz val="18"/>
      <color indexed="8"/>
      <name val="Times New Roman"/>
      <family val="1"/>
    </font>
    <font>
      <sz val="18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36"/>
      <color theme="0"/>
      <name val="Times New Roman"/>
      <family val="1"/>
    </font>
    <font>
      <b/>
      <sz val="20"/>
      <color theme="0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2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" fontId="8" fillId="0" borderId="23" xfId="0" applyNumberFormat="1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4" fontId="8" fillId="0" borderId="41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42" xfId="0" applyFont="1" applyBorder="1" applyAlignment="1">
      <alignment vertical="center" wrapText="1"/>
    </xf>
    <xf numFmtId="0" fontId="14" fillId="0" borderId="46" xfId="0" applyFont="1" applyBorder="1" applyAlignment="1">
      <alignment horizontal="center" vertical="top" wrapText="1"/>
    </xf>
    <xf numFmtId="0" fontId="15" fillId="2" borderId="4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6" fillId="0" borderId="47" xfId="0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1" fontId="16" fillId="0" borderId="47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165" fontId="18" fillId="0" borderId="48" xfId="0" applyNumberFormat="1" applyFont="1" applyBorder="1" applyAlignment="1">
      <alignment horizontal="center" vertical="top"/>
    </xf>
    <xf numFmtId="0" fontId="17" fillId="0" borderId="49" xfId="0" applyFont="1" applyBorder="1" applyAlignment="1">
      <alignment horizontal="center" vertical="center" wrapText="1"/>
    </xf>
    <xf numFmtId="1" fontId="17" fillId="0" borderId="50" xfId="0" applyNumberFormat="1" applyFont="1" applyBorder="1" applyAlignment="1">
      <alignment horizontal="center" vertical="center" wrapText="1"/>
    </xf>
    <xf numFmtId="1" fontId="17" fillId="0" borderId="51" xfId="0" applyNumberFormat="1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7" xfId="0" applyFont="1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left" vertical="center" wrapText="1"/>
    </xf>
    <xf numFmtId="0" fontId="7" fillId="0" borderId="5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1" fontId="5" fillId="0" borderId="51" xfId="0" applyNumberFormat="1" applyFont="1" applyBorder="1" applyAlignment="1">
      <alignment horizontal="center" vertical="center" wrapText="1"/>
    </xf>
    <xf numFmtId="1" fontId="7" fillId="0" borderId="51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left"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left" vertical="center" wrapText="1"/>
    </xf>
    <xf numFmtId="0" fontId="9" fillId="0" borderId="63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1" fontId="7" fillId="0" borderId="37" xfId="0" applyNumberFormat="1" applyFont="1" applyBorder="1" applyAlignment="1">
      <alignment horizontal="center" vertical="center" wrapText="1"/>
    </xf>
    <xf numFmtId="1" fontId="7" fillId="0" borderId="41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7" fillId="0" borderId="26" xfId="0" applyNumberFormat="1" applyFont="1" applyBorder="1" applyAlignment="1">
      <alignment horizontal="center" vertical="center" wrapText="1"/>
    </xf>
    <xf numFmtId="164" fontId="7" fillId="0" borderId="57" xfId="0" applyNumberFormat="1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2" fillId="0" borderId="40" xfId="0" applyFont="1" applyBorder="1" applyAlignment="1">
      <alignment vertical="center" wrapText="1"/>
    </xf>
    <xf numFmtId="0" fontId="14" fillId="0" borderId="66" xfId="0" applyFont="1" applyBorder="1" applyAlignment="1">
      <alignment horizontal="center" vertical="top" wrapText="1"/>
    </xf>
    <xf numFmtId="0" fontId="16" fillId="2" borderId="62" xfId="0" applyFont="1" applyFill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55" xfId="0" applyFont="1" applyBorder="1" applyAlignment="1">
      <alignment horizontal="center" wrapText="1"/>
    </xf>
    <xf numFmtId="1" fontId="16" fillId="0" borderId="47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/>
    </xf>
    <xf numFmtId="1" fontId="15" fillId="0" borderId="47" xfId="0" applyNumberFormat="1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top"/>
    </xf>
    <xf numFmtId="0" fontId="24" fillId="0" borderId="59" xfId="0" applyFont="1" applyBorder="1" applyAlignment="1">
      <alignment horizontal="center" vertical="center" wrapText="1"/>
    </xf>
    <xf numFmtId="1" fontId="15" fillId="0" borderId="22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1" fontId="24" fillId="0" borderId="41" xfId="0" applyNumberFormat="1" applyFont="1" applyBorder="1" applyAlignment="1">
      <alignment horizontal="center" vertical="center" wrapText="1"/>
    </xf>
    <xf numFmtId="1" fontId="24" fillId="0" borderId="23" xfId="0" applyNumberFormat="1" applyFont="1" applyBorder="1" applyAlignment="1">
      <alignment horizontal="center" vertical="center" wrapText="1"/>
    </xf>
    <xf numFmtId="1" fontId="24" fillId="0" borderId="42" xfId="0" applyNumberFormat="1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16" fillId="3" borderId="62" xfId="0" applyFont="1" applyFill="1" applyBorder="1" applyAlignment="1">
      <alignment wrapText="1"/>
    </xf>
    <xf numFmtId="0" fontId="16" fillId="0" borderId="11" xfId="0" applyFont="1" applyBorder="1" applyAlignment="1">
      <alignment wrapText="1"/>
    </xf>
    <xf numFmtId="0" fontId="8" fillId="0" borderId="19" xfId="0" applyFont="1" applyBorder="1" applyAlignment="1">
      <alignment horizontal="center" vertical="top"/>
    </xf>
    <xf numFmtId="0" fontId="24" fillId="0" borderId="62" xfId="0" applyFont="1" applyBorder="1" applyAlignment="1">
      <alignment horizontal="center" vertical="center" wrapText="1"/>
    </xf>
    <xf numFmtId="1" fontId="24" fillId="0" borderId="51" xfId="0" applyNumberFormat="1" applyFont="1" applyBorder="1" applyAlignment="1">
      <alignment horizontal="center" vertical="center" wrapText="1"/>
    </xf>
    <xf numFmtId="1" fontId="24" fillId="0" borderId="43" xfId="0" applyNumberFormat="1" applyFont="1" applyBorder="1" applyAlignment="1">
      <alignment horizontal="center" vertical="center" wrapText="1"/>
    </xf>
    <xf numFmtId="1" fontId="24" fillId="0" borderId="44" xfId="0" applyNumberFormat="1" applyFont="1" applyBorder="1" applyAlignment="1">
      <alignment horizontal="center" vertical="center" wrapText="1"/>
    </xf>
    <xf numFmtId="1" fontId="24" fillId="0" borderId="64" xfId="0" applyNumberFormat="1" applyFont="1" applyBorder="1" applyAlignment="1">
      <alignment horizontal="center" vertical="center" wrapText="1"/>
    </xf>
    <xf numFmtId="1" fontId="24" fillId="0" borderId="60" xfId="0" applyNumberFormat="1" applyFont="1" applyBorder="1" applyAlignment="1">
      <alignment horizontal="center" vertical="center" wrapText="1"/>
    </xf>
    <xf numFmtId="1" fontId="24" fillId="0" borderId="48" xfId="0" applyNumberFormat="1" applyFont="1" applyBorder="1" applyAlignment="1">
      <alignment horizontal="center" vertical="center" wrapText="1"/>
    </xf>
    <xf numFmtId="1" fontId="24" fillId="0" borderId="5" xfId="0" applyNumberFormat="1" applyFont="1" applyBorder="1" applyAlignment="1">
      <alignment horizontal="center" vertical="center" wrapText="1"/>
    </xf>
    <xf numFmtId="1" fontId="24" fillId="0" borderId="39" xfId="0" applyNumberFormat="1" applyFont="1" applyBorder="1" applyAlignment="1">
      <alignment horizontal="center" vertical="center" wrapText="1"/>
    </xf>
    <xf numFmtId="1" fontId="24" fillId="0" borderId="20" xfId="0" applyNumberFormat="1" applyFont="1" applyBorder="1" applyAlignment="1">
      <alignment horizontal="center" vertical="center" wrapText="1"/>
    </xf>
    <xf numFmtId="1" fontId="24" fillId="0" borderId="46" xfId="0" applyNumberFormat="1" applyFont="1" applyBorder="1" applyAlignment="1">
      <alignment horizontal="center" vertical="center" wrapText="1"/>
    </xf>
    <xf numFmtId="1" fontId="24" fillId="0" borderId="47" xfId="0" applyNumberFormat="1" applyFont="1" applyBorder="1" applyAlignment="1">
      <alignment horizontal="center" vertical="center" wrapText="1"/>
    </xf>
    <xf numFmtId="1" fontId="24" fillId="0" borderId="50" xfId="0" applyNumberFormat="1" applyFont="1" applyBorder="1" applyAlignment="1">
      <alignment horizontal="center" vertical="center" wrapText="1"/>
    </xf>
    <xf numFmtId="1" fontId="24" fillId="0" borderId="4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6" fillId="3" borderId="61" xfId="0" applyFont="1" applyFill="1" applyBorder="1" applyAlignment="1">
      <alignment wrapText="1"/>
    </xf>
    <xf numFmtId="0" fontId="16" fillId="0" borderId="40" xfId="0" applyFont="1" applyBorder="1" applyAlignment="1">
      <alignment wrapText="1"/>
    </xf>
    <xf numFmtId="1" fontId="23" fillId="0" borderId="51" xfId="0" applyNumberFormat="1" applyFont="1" applyBorder="1" applyAlignment="1">
      <alignment horizontal="center"/>
    </xf>
    <xf numFmtId="1" fontId="23" fillId="0" borderId="40" xfId="0" applyNumberFormat="1" applyFont="1" applyBorder="1" applyAlignment="1">
      <alignment horizontal="center"/>
    </xf>
    <xf numFmtId="1" fontId="15" fillId="0" borderId="51" xfId="0" applyNumberFormat="1" applyFont="1" applyBorder="1" applyAlignment="1">
      <alignment horizontal="center" vertical="center" wrapText="1"/>
    </xf>
    <xf numFmtId="164" fontId="8" fillId="0" borderId="51" xfId="0" applyNumberFormat="1" applyFont="1" applyBorder="1" applyAlignment="1">
      <alignment horizontal="center" vertical="top"/>
    </xf>
    <xf numFmtId="0" fontId="24" fillId="0" borderId="51" xfId="0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top"/>
    </xf>
    <xf numFmtId="0" fontId="26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top"/>
    </xf>
    <xf numFmtId="0" fontId="24" fillId="0" borderId="4" xfId="0" applyFont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wrapText="1"/>
    </xf>
    <xf numFmtId="0" fontId="22" fillId="0" borderId="4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1" fontId="28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wrapText="1"/>
    </xf>
    <xf numFmtId="0" fontId="30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164" fontId="8" fillId="0" borderId="3" xfId="0" applyNumberFormat="1" applyFont="1" applyBorder="1" applyAlignment="1">
      <alignment horizontal="center" vertical="top"/>
    </xf>
    <xf numFmtId="0" fontId="4" fillId="0" borderId="31" xfId="0" applyFont="1" applyBorder="1" applyAlignment="1">
      <alignment horizontal="left" vertical="center" wrapText="1"/>
    </xf>
    <xf numFmtId="0" fontId="22" fillId="0" borderId="28" xfId="0" applyFont="1" applyBorder="1"/>
    <xf numFmtId="0" fontId="4" fillId="0" borderId="53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left" vertical="center" wrapText="1"/>
    </xf>
    <xf numFmtId="0" fontId="4" fillId="0" borderId="68" xfId="0" applyFont="1" applyBorder="1" applyAlignment="1">
      <alignment horizontal="left" vertical="center" wrapText="1"/>
    </xf>
    <xf numFmtId="0" fontId="4" fillId="0" borderId="69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32" fillId="0" borderId="6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4" fillId="0" borderId="2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5" fillId="0" borderId="0" xfId="0" applyFont="1"/>
    <xf numFmtId="0" fontId="36" fillId="4" borderId="4" xfId="0" applyFont="1" applyFill="1" applyBorder="1" applyAlignment="1">
      <alignment horizontal="center" wrapText="1"/>
    </xf>
    <xf numFmtId="0" fontId="36" fillId="4" borderId="2" xfId="0" applyFont="1" applyFill="1" applyBorder="1" applyAlignment="1">
      <alignment horizontal="center" wrapText="1"/>
    </xf>
    <xf numFmtId="0" fontId="37" fillId="5" borderId="2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4" fillId="0" borderId="28" xfId="0" applyFont="1" applyBorder="1"/>
    <xf numFmtId="0" fontId="38" fillId="2" borderId="28" xfId="0" applyFont="1" applyFill="1" applyBorder="1" applyAlignment="1">
      <alignment horizontal="center"/>
    </xf>
    <xf numFmtId="2" fontId="38" fillId="0" borderId="4" xfId="0" applyNumberFormat="1" applyFont="1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" fontId="35" fillId="0" borderId="4" xfId="0" applyNumberFormat="1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27" fillId="2" borderId="28" xfId="0" applyFont="1" applyFill="1" applyBorder="1" applyAlignment="1">
      <alignment horizontal="left" wrapText="1"/>
    </xf>
    <xf numFmtId="0" fontId="39" fillId="3" borderId="4" xfId="0" applyFont="1" applyFill="1" applyBorder="1" applyAlignment="1">
      <alignment horizontal="left" vertical="center" wrapText="1"/>
    </xf>
    <xf numFmtId="0" fontId="27" fillId="2" borderId="52" xfId="0" applyFont="1" applyFill="1" applyBorder="1" applyAlignment="1">
      <alignment horizontal="left" wrapText="1"/>
    </xf>
    <xf numFmtId="0" fontId="27" fillId="2" borderId="1" xfId="0" applyFont="1" applyFill="1" applyBorder="1" applyAlignment="1">
      <alignment horizontal="left" wrapText="1"/>
    </xf>
    <xf numFmtId="0" fontId="27" fillId="2" borderId="4" xfId="0" applyFont="1" applyFill="1" applyBorder="1" applyAlignment="1">
      <alignment wrapText="1"/>
    </xf>
    <xf numFmtId="0" fontId="22" fillId="0" borderId="0" xfId="0" applyFont="1"/>
    <xf numFmtId="0" fontId="40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41" fillId="0" borderId="3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1" fillId="7" borderId="4" xfId="0" applyFont="1" applyFill="1" applyBorder="1" applyAlignment="1">
      <alignment horizontal="center" vertical="center"/>
    </xf>
    <xf numFmtId="0" fontId="41" fillId="8" borderId="4" xfId="0" applyFont="1" applyFill="1" applyBorder="1" applyAlignment="1">
      <alignment horizontal="center" vertical="center"/>
    </xf>
    <xf numFmtId="0" fontId="41" fillId="8" borderId="70" xfId="0" applyFont="1" applyFill="1" applyBorder="1" applyAlignment="1">
      <alignment horizontal="center" vertical="center"/>
    </xf>
    <xf numFmtId="1" fontId="43" fillId="10" borderId="4" xfId="0" applyNumberFormat="1" applyFont="1" applyFill="1" applyBorder="1" applyAlignment="1">
      <alignment horizontal="center" vertical="center" wrapText="1"/>
    </xf>
    <xf numFmtId="0" fontId="43" fillId="12" borderId="4" xfId="0" applyFont="1" applyFill="1" applyBorder="1" applyAlignment="1">
      <alignment horizontal="center" vertical="center"/>
    </xf>
    <xf numFmtId="1" fontId="43" fillId="12" borderId="4" xfId="0" applyNumberFormat="1" applyFont="1" applyFill="1" applyBorder="1" applyAlignment="1">
      <alignment horizontal="center" vertical="center" wrapText="1"/>
    </xf>
    <xf numFmtId="0" fontId="46" fillId="12" borderId="4" xfId="0" applyFont="1" applyFill="1" applyBorder="1" applyAlignment="1">
      <alignment horizontal="center" vertical="center" wrapText="1"/>
    </xf>
    <xf numFmtId="0" fontId="46" fillId="11" borderId="4" xfId="0" applyFont="1" applyFill="1" applyBorder="1" applyAlignment="1">
      <alignment vertical="center" wrapText="1"/>
    </xf>
    <xf numFmtId="0" fontId="12" fillId="11" borderId="4" xfId="0" applyFont="1" applyFill="1" applyBorder="1" applyAlignment="1">
      <alignment horizontal="right" vertical="center"/>
    </xf>
    <xf numFmtId="0" fontId="43" fillId="11" borderId="4" xfId="0" applyFont="1" applyFill="1" applyBorder="1" applyAlignment="1">
      <alignment horizontal="center" vertical="center"/>
    </xf>
    <xf numFmtId="1" fontId="43" fillId="11" borderId="4" xfId="0" applyNumberFormat="1" applyFont="1" applyFill="1" applyBorder="1" applyAlignment="1">
      <alignment horizontal="center" vertical="center" wrapText="1"/>
    </xf>
    <xf numFmtId="0" fontId="46" fillId="11" borderId="4" xfId="0" applyFont="1" applyFill="1" applyBorder="1" applyAlignment="1">
      <alignment horizontal="center" vertical="center" wrapText="1"/>
    </xf>
    <xf numFmtId="0" fontId="40" fillId="11" borderId="4" xfId="0" applyFont="1" applyFill="1" applyBorder="1" applyAlignment="1">
      <alignment horizontal="center" vertical="center"/>
    </xf>
    <xf numFmtId="0" fontId="22" fillId="0" borderId="59" xfId="0" applyFont="1" applyBorder="1" applyAlignment="1">
      <alignment horizontal="center"/>
    </xf>
    <xf numFmtId="0" fontId="22" fillId="0" borderId="60" xfId="0" applyFont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46" fillId="11" borderId="4" xfId="0" applyNumberFormat="1" applyFont="1" applyFill="1" applyBorder="1" applyAlignment="1">
      <alignment horizontal="center" vertical="center" wrapText="1"/>
    </xf>
    <xf numFmtId="0" fontId="22" fillId="0" borderId="6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5" borderId="62" xfId="0" applyFont="1" applyFill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22" fillId="0" borderId="47" xfId="0" applyFont="1" applyBorder="1" applyAlignment="1">
      <alignment horizontal="center"/>
    </xf>
    <xf numFmtId="0" fontId="31" fillId="0" borderId="4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/>
    </xf>
    <xf numFmtId="0" fontId="22" fillId="0" borderId="79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7" fillId="2" borderId="0" xfId="0" applyFont="1" applyFill="1" applyAlignment="1">
      <alignment wrapText="1"/>
    </xf>
    <xf numFmtId="0" fontId="27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6" fillId="11" borderId="4" xfId="0" applyFont="1" applyFill="1" applyBorder="1" applyAlignment="1">
      <alignment vertical="center"/>
    </xf>
    <xf numFmtId="0" fontId="46" fillId="11" borderId="4" xfId="0" applyFont="1" applyFill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37" fillId="5" borderId="20" xfId="0" applyFont="1" applyFill="1" applyBorder="1" applyAlignment="1">
      <alignment horizontal="center"/>
    </xf>
    <xf numFmtId="0" fontId="38" fillId="2" borderId="53" xfId="0" applyFont="1" applyFill="1" applyBorder="1" applyAlignment="1">
      <alignment horizontal="center"/>
    </xf>
    <xf numFmtId="0" fontId="38" fillId="2" borderId="20" xfId="0" applyFont="1" applyFill="1" applyBorder="1" applyAlignment="1">
      <alignment horizontal="center"/>
    </xf>
    <xf numFmtId="2" fontId="35" fillId="0" borderId="3" xfId="0" applyNumberFormat="1" applyFont="1" applyBorder="1" applyAlignment="1">
      <alignment horizontal="center"/>
    </xf>
    <xf numFmtId="2" fontId="35" fillId="0" borderId="19" xfId="0" applyNumberFormat="1" applyFont="1" applyBorder="1" applyAlignment="1">
      <alignment horizontal="center"/>
    </xf>
    <xf numFmtId="2" fontId="35" fillId="0" borderId="39" xfId="0" applyNumberFormat="1" applyFont="1" applyBorder="1" applyAlignment="1">
      <alignment horizontal="center"/>
    </xf>
    <xf numFmtId="2" fontId="35" fillId="0" borderId="81" xfId="0" applyNumberFormat="1" applyFont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22" fillId="0" borderId="4" xfId="0" applyFont="1" applyBorder="1"/>
    <xf numFmtId="0" fontId="46" fillId="0" borderId="4" xfId="0" applyFont="1" applyBorder="1" applyAlignment="1">
      <alignment horizontal="center" vertical="center"/>
    </xf>
    <xf numFmtId="2" fontId="22" fillId="0" borderId="4" xfId="0" applyNumberFormat="1" applyFont="1" applyBorder="1"/>
    <xf numFmtId="164" fontId="22" fillId="0" borderId="4" xfId="0" applyNumberFormat="1" applyFont="1" applyBorder="1"/>
    <xf numFmtId="0" fontId="11" fillId="0" borderId="0" xfId="0" applyFont="1" applyAlignment="1">
      <alignment vertical="center"/>
    </xf>
    <xf numFmtId="2" fontId="22" fillId="0" borderId="0" xfId="0" applyNumberFormat="1" applyFont="1"/>
    <xf numFmtId="0" fontId="11" fillId="0" borderId="4" xfId="0" applyFont="1" applyBorder="1" applyAlignment="1">
      <alignment horizontal="center" vertical="center"/>
    </xf>
    <xf numFmtId="2" fontId="38" fillId="2" borderId="28" xfId="0" applyNumberFormat="1" applyFont="1" applyFill="1" applyBorder="1" applyAlignment="1">
      <alignment horizontal="center"/>
    </xf>
    <xf numFmtId="0" fontId="37" fillId="5" borderId="53" xfId="0" applyFont="1" applyFill="1" applyBorder="1" applyAlignment="1">
      <alignment horizontal="center"/>
    </xf>
    <xf numFmtId="0" fontId="34" fillId="0" borderId="65" xfId="0" applyFont="1" applyBorder="1" applyAlignment="1">
      <alignment vertical="center"/>
    </xf>
    <xf numFmtId="0" fontId="34" fillId="0" borderId="25" xfId="0" applyFont="1" applyBorder="1" applyAlignment="1">
      <alignment vertical="center"/>
    </xf>
    <xf numFmtId="0" fontId="34" fillId="0" borderId="25" xfId="0" applyFont="1" applyBorder="1" applyAlignment="1">
      <alignment horizontal="center"/>
    </xf>
    <xf numFmtId="0" fontId="34" fillId="0" borderId="57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0" fillId="0" borderId="73" xfId="0" applyBorder="1"/>
    <xf numFmtId="0" fontId="0" fillId="0" borderId="19" xfId="0" applyBorder="1" applyAlignment="1">
      <alignment horizontal="center"/>
    </xf>
    <xf numFmtId="0" fontId="35" fillId="0" borderId="73" xfId="0" applyFont="1" applyBorder="1"/>
    <xf numFmtId="0" fontId="36" fillId="4" borderId="19" xfId="0" applyFont="1" applyFill="1" applyBorder="1" applyAlignment="1">
      <alignment horizontal="center" vertical="center" wrapText="1"/>
    </xf>
    <xf numFmtId="0" fontId="34" fillId="0" borderId="80" xfId="0" applyFont="1" applyBorder="1"/>
    <xf numFmtId="0" fontId="27" fillId="2" borderId="11" xfId="0" applyFont="1" applyFill="1" applyBorder="1" applyAlignment="1">
      <alignment horizontal="left" wrapText="1"/>
    </xf>
    <xf numFmtId="0" fontId="27" fillId="2" borderId="80" xfId="0" applyFont="1" applyFill="1" applyBorder="1" applyAlignment="1">
      <alignment horizontal="left" wrapText="1"/>
    </xf>
    <xf numFmtId="0" fontId="39" fillId="3" borderId="11" xfId="0" applyFont="1" applyFill="1" applyBorder="1" applyAlignment="1">
      <alignment horizontal="left" vertical="center" wrapText="1"/>
    </xf>
    <xf numFmtId="0" fontId="27" fillId="2" borderId="79" xfId="0" applyFont="1" applyFill="1" applyBorder="1" applyAlignment="1">
      <alignment horizontal="left" wrapText="1"/>
    </xf>
    <xf numFmtId="0" fontId="27" fillId="2" borderId="18" xfId="0" applyFont="1" applyFill="1" applyBorder="1" applyAlignment="1">
      <alignment horizontal="left" wrapText="1"/>
    </xf>
    <xf numFmtId="0" fontId="27" fillId="2" borderId="5" xfId="0" applyFont="1" applyFill="1" applyBorder="1" applyAlignment="1">
      <alignment horizontal="left" wrapText="1"/>
    </xf>
    <xf numFmtId="0" fontId="27" fillId="2" borderId="39" xfId="0" applyFont="1" applyFill="1" applyBorder="1" applyAlignment="1">
      <alignment horizontal="left" wrapText="1"/>
    </xf>
    <xf numFmtId="1" fontId="0" fillId="0" borderId="39" xfId="0" applyNumberFormat="1" applyBorder="1" applyAlignment="1">
      <alignment horizontal="center" vertical="center"/>
    </xf>
    <xf numFmtId="164" fontId="22" fillId="0" borderId="0" xfId="0" applyNumberFormat="1" applyFont="1"/>
    <xf numFmtId="0" fontId="36" fillId="4" borderId="4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left"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4" fillId="0" borderId="5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70" xfId="0" applyFont="1" applyBorder="1" applyAlignment="1">
      <alignment horizontal="left" vertical="center" wrapText="1"/>
    </xf>
    <xf numFmtId="0" fontId="4" fillId="0" borderId="7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4" fillId="0" borderId="69" xfId="0" applyFont="1" applyBorder="1" applyAlignment="1">
      <alignment horizontal="left" vertical="center" wrapText="1"/>
    </xf>
    <xf numFmtId="0" fontId="4" fillId="0" borderId="72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6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wrapText="1"/>
    </xf>
    <xf numFmtId="0" fontId="36" fillId="4" borderId="2" xfId="0" applyFont="1" applyFill="1" applyBorder="1" applyAlignment="1">
      <alignment horizontal="center" wrapText="1"/>
    </xf>
    <xf numFmtId="0" fontId="33" fillId="0" borderId="4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2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6" fillId="4" borderId="0" xfId="0" applyFont="1" applyFill="1" applyAlignment="1">
      <alignment horizontal="center" wrapText="1"/>
    </xf>
    <xf numFmtId="0" fontId="36" fillId="4" borderId="31" xfId="0" applyFont="1" applyFill="1" applyBorder="1" applyAlignment="1">
      <alignment horizontal="center" wrapText="1"/>
    </xf>
    <xf numFmtId="0" fontId="36" fillId="4" borderId="4" xfId="0" applyFont="1" applyFill="1" applyBorder="1" applyAlignment="1">
      <alignment horizontal="center" wrapText="1"/>
    </xf>
    <xf numFmtId="0" fontId="36" fillId="4" borderId="3" xfId="0" applyFont="1" applyFill="1" applyBorder="1" applyAlignment="1">
      <alignment horizontal="center" wrapText="1"/>
    </xf>
    <xf numFmtId="0" fontId="27" fillId="0" borderId="7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40" fillId="0" borderId="53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74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0" fillId="0" borderId="34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43" fillId="0" borderId="69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41" fillId="0" borderId="67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68" xfId="0" applyFont="1" applyBorder="1" applyAlignment="1">
      <alignment horizontal="center" vertical="center"/>
    </xf>
    <xf numFmtId="0" fontId="41" fillId="8" borderId="52" xfId="0" applyFont="1" applyFill="1" applyBorder="1" applyAlignment="1">
      <alignment horizontal="center" vertical="center"/>
    </xf>
    <xf numFmtId="0" fontId="41" fillId="8" borderId="69" xfId="0" applyFont="1" applyFill="1" applyBorder="1" applyAlignment="1">
      <alignment horizontal="center" vertical="center"/>
    </xf>
    <xf numFmtId="0" fontId="41" fillId="8" borderId="53" xfId="0" applyFont="1" applyFill="1" applyBorder="1" applyAlignment="1">
      <alignment horizontal="center" vertical="center"/>
    </xf>
    <xf numFmtId="0" fontId="41" fillId="8" borderId="54" xfId="0" applyFont="1" applyFill="1" applyBorder="1" applyAlignment="1">
      <alignment horizontal="center" vertical="center"/>
    </xf>
    <xf numFmtId="0" fontId="41" fillId="8" borderId="70" xfId="0" applyFont="1" applyFill="1" applyBorder="1" applyAlignment="1">
      <alignment horizontal="center" vertical="center"/>
    </xf>
    <xf numFmtId="0" fontId="41" fillId="8" borderId="55" xfId="0" applyFont="1" applyFill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/>
    </xf>
    <xf numFmtId="0" fontId="43" fillId="9" borderId="2" xfId="0" applyFont="1" applyFill="1" applyBorder="1" applyAlignment="1">
      <alignment horizontal="center" vertical="center"/>
    </xf>
    <xf numFmtId="0" fontId="43" fillId="9" borderId="3" xfId="0" applyFont="1" applyFill="1" applyBorder="1" applyAlignment="1">
      <alignment horizontal="center" vertical="center"/>
    </xf>
    <xf numFmtId="1" fontId="43" fillId="9" borderId="1" xfId="0" applyNumberFormat="1" applyFont="1" applyFill="1" applyBorder="1" applyAlignment="1">
      <alignment horizontal="center" vertical="center" wrapText="1"/>
    </xf>
    <xf numFmtId="1" fontId="43" fillId="9" borderId="2" xfId="0" applyNumberFormat="1" applyFont="1" applyFill="1" applyBorder="1" applyAlignment="1">
      <alignment horizontal="center" vertical="center" wrapText="1"/>
    </xf>
    <xf numFmtId="1" fontId="43" fillId="9" borderId="3" xfId="0" applyNumberFormat="1" applyFont="1" applyFill="1" applyBorder="1" applyAlignment="1">
      <alignment horizontal="center" vertical="center" wrapText="1"/>
    </xf>
    <xf numFmtId="0" fontId="46" fillId="9" borderId="1" xfId="0" applyFont="1" applyFill="1" applyBorder="1" applyAlignment="1">
      <alignment horizontal="center" vertical="center" wrapText="1"/>
    </xf>
    <xf numFmtId="0" fontId="46" fillId="9" borderId="2" xfId="0" applyFont="1" applyFill="1" applyBorder="1" applyAlignment="1">
      <alignment horizontal="center" vertical="center" wrapText="1"/>
    </xf>
    <xf numFmtId="0" fontId="46" fillId="9" borderId="3" xfId="0" applyFont="1" applyFill="1" applyBorder="1" applyAlignment="1">
      <alignment horizontal="center" vertical="center" wrapText="1"/>
    </xf>
    <xf numFmtId="0" fontId="46" fillId="11" borderId="1" xfId="0" applyFont="1" applyFill="1" applyBorder="1" applyAlignment="1">
      <alignment horizontal="center" vertical="center" wrapText="1"/>
    </xf>
    <xf numFmtId="0" fontId="46" fillId="11" borderId="2" xfId="0" applyFont="1" applyFill="1" applyBorder="1" applyAlignment="1">
      <alignment horizontal="center" vertical="center" wrapText="1"/>
    </xf>
    <xf numFmtId="0" fontId="44" fillId="6" borderId="75" xfId="0" applyFont="1" applyFill="1" applyBorder="1" applyAlignment="1">
      <alignment horizontal="center" vertical="center" wrapText="1"/>
    </xf>
    <xf numFmtId="0" fontId="44" fillId="6" borderId="76" xfId="0" applyFont="1" applyFill="1" applyBorder="1" applyAlignment="1">
      <alignment horizontal="center" vertical="center" wrapText="1"/>
    </xf>
    <xf numFmtId="0" fontId="44" fillId="6" borderId="77" xfId="0" applyFont="1" applyFill="1" applyBorder="1" applyAlignment="1">
      <alignment horizontal="center" vertical="center" wrapText="1"/>
    </xf>
    <xf numFmtId="0" fontId="44" fillId="6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2" fillId="12" borderId="4" xfId="0" applyFont="1" applyFill="1" applyBorder="1" applyAlignment="1">
      <alignment horizontal="right" vertical="center"/>
    </xf>
    <xf numFmtId="1" fontId="43" fillId="10" borderId="28" xfId="0" applyNumberFormat="1" applyFont="1" applyFill="1" applyBorder="1" applyAlignment="1">
      <alignment horizontal="center" vertical="center" wrapText="1"/>
    </xf>
    <xf numFmtId="1" fontId="43" fillId="10" borderId="40" xfId="0" applyNumberFormat="1" applyFont="1" applyFill="1" applyBorder="1" applyAlignment="1">
      <alignment horizontal="center" vertical="center" wrapText="1"/>
    </xf>
    <xf numFmtId="1" fontId="43" fillId="10" borderId="47" xfId="0" applyNumberFormat="1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right" vertical="center"/>
    </xf>
    <xf numFmtId="0" fontId="46" fillId="11" borderId="52" xfId="0" applyFont="1" applyFill="1" applyBorder="1" applyAlignment="1">
      <alignment horizontal="center" vertical="center"/>
    </xf>
    <xf numFmtId="0" fontId="46" fillId="11" borderId="69" xfId="0" applyFont="1" applyFill="1" applyBorder="1" applyAlignment="1">
      <alignment horizontal="center" vertical="center"/>
    </xf>
    <xf numFmtId="0" fontId="46" fillId="11" borderId="53" xfId="0" applyFont="1" applyFill="1" applyBorder="1" applyAlignment="1">
      <alignment horizontal="center" vertical="center"/>
    </xf>
    <xf numFmtId="0" fontId="46" fillId="11" borderId="30" xfId="0" applyFont="1" applyFill="1" applyBorder="1" applyAlignment="1">
      <alignment horizontal="center" vertical="center"/>
    </xf>
    <xf numFmtId="0" fontId="46" fillId="11" borderId="0" xfId="0" applyFont="1" applyFill="1" applyAlignment="1">
      <alignment horizontal="center" vertical="center"/>
    </xf>
    <xf numFmtId="0" fontId="46" fillId="11" borderId="31" xfId="0" applyFont="1" applyFill="1" applyBorder="1" applyAlignment="1">
      <alignment horizontal="center" vertical="center"/>
    </xf>
    <xf numFmtId="0" fontId="46" fillId="11" borderId="54" xfId="0" applyFont="1" applyFill="1" applyBorder="1" applyAlignment="1">
      <alignment horizontal="center" vertical="center"/>
    </xf>
    <xf numFmtId="0" fontId="46" fillId="11" borderId="70" xfId="0" applyFont="1" applyFill="1" applyBorder="1" applyAlignment="1">
      <alignment horizontal="center" vertical="center"/>
    </xf>
    <xf numFmtId="0" fontId="46" fillId="11" borderId="55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0" borderId="3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6" fillId="4" borderId="3" xfId="0" applyFont="1" applyFill="1" applyBorder="1" applyAlignment="1">
      <alignment horizontal="center" vertical="center" wrapText="1"/>
    </xf>
    <xf numFmtId="0" fontId="36" fillId="4" borderId="4" xfId="0" applyFont="1" applyFill="1" applyBorder="1" applyAlignment="1">
      <alignment horizontal="center" vertical="center" wrapText="1"/>
    </xf>
    <xf numFmtId="0" fontId="33" fillId="0" borderId="28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164" fontId="35" fillId="0" borderId="4" xfId="0" applyNumberFormat="1" applyFont="1" applyBorder="1" applyAlignment="1">
      <alignment horizontal="center"/>
    </xf>
    <xf numFmtId="0" fontId="34" fillId="0" borderId="18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'Programmming Fundamental'!$F$68:$I$68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'Programmming Fundamental'!$F$69:$F$71</c:f>
              <c:numCache>
                <c:formatCode>General</c:formatCode>
                <c:ptCount val="3"/>
                <c:pt idx="0">
                  <c:v>44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6-4390-93C5-9A32B9F3E4F6}"/>
            </c:ext>
          </c:extLst>
        </c:ser>
        <c:ser>
          <c:idx val="1"/>
          <c:order val="1"/>
          <c:tx>
            <c:strRef>
              <c:f>'Programmming Fundamental'!$D$68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'Programmming Fundamental'!$D$69:$D$71</c:f>
              <c:numCache>
                <c:formatCode>General</c:formatCode>
                <c:ptCount val="3"/>
                <c:pt idx="0">
                  <c:v>0</c:v>
                </c:pt>
                <c:pt idx="1">
                  <c:v>36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6-4390-93C5-9A32B9F3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47408"/>
        <c:axId val="306946624"/>
      </c:barChart>
      <c:catAx>
        <c:axId val="30694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6624"/>
        <c:crosses val="autoZero"/>
        <c:auto val="1"/>
        <c:lblAlgn val="ctr"/>
        <c:lblOffset val="100"/>
        <c:noMultiLvlLbl val="0"/>
      </c:catAx>
      <c:valAx>
        <c:axId val="3069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7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'Discrete Structure'!$F$69:$I$69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'Discrete Structure'!$F$70:$F$71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7-44D1-9953-344E3F0BCFE1}"/>
            </c:ext>
          </c:extLst>
        </c:ser>
        <c:ser>
          <c:idx val="1"/>
          <c:order val="1"/>
          <c:tx>
            <c:strRef>
              <c:f>'Discrete Structure'!$D$69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'Discrete Structure'!$D$70:$D$71</c:f>
              <c:numCache>
                <c:formatCode>General</c:formatCode>
                <c:ptCount val="2"/>
                <c:pt idx="0">
                  <c:v>30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7-44D1-9953-344E3F0BC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47408"/>
        <c:axId val="306946624"/>
      </c:barChart>
      <c:catAx>
        <c:axId val="30694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6624"/>
        <c:crosses val="autoZero"/>
        <c:auto val="1"/>
        <c:lblAlgn val="ctr"/>
        <c:lblOffset val="100"/>
        <c:noMultiLvlLbl val="0"/>
      </c:catAx>
      <c:valAx>
        <c:axId val="3069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7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'Calculus and Analytic Geometry'!$F$69:$I$69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'Calculus and Analytic Geometry'!$F$70:$F$72</c:f>
              <c:numCache>
                <c:formatCode>General</c:formatCode>
                <c:ptCount val="3"/>
                <c:pt idx="0">
                  <c:v>14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A-48A2-907F-70AE5B5711B1}"/>
            </c:ext>
          </c:extLst>
        </c:ser>
        <c:ser>
          <c:idx val="1"/>
          <c:order val="1"/>
          <c:tx>
            <c:strRef>
              <c:f>'Calculus and Analytic Geometry'!$D$69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'Calculus and Analytic Geometry'!$D$70:$D$72</c:f>
              <c:numCache>
                <c:formatCode>General</c:formatCode>
                <c:ptCount val="3"/>
                <c:pt idx="0">
                  <c:v>30</c:v>
                </c:pt>
                <c:pt idx="1">
                  <c:v>24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A-48A2-907F-70AE5B571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47408"/>
        <c:axId val="306946624"/>
      </c:barChart>
      <c:catAx>
        <c:axId val="30694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6624"/>
        <c:crosses val="autoZero"/>
        <c:auto val="1"/>
        <c:lblAlgn val="ctr"/>
        <c:lblOffset val="100"/>
        <c:noMultiLvlLbl val="0"/>
      </c:catAx>
      <c:valAx>
        <c:axId val="3069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7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'Application of Information &amp; Co'!$E$78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'Application of Information &amp; Co'!$E$79:$E$81</c:f>
              <c:numCache>
                <c:formatCode>General</c:formatCode>
                <c:ptCount val="3"/>
                <c:pt idx="0">
                  <c:v>6</c:v>
                </c:pt>
                <c:pt idx="1">
                  <c:v>17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5-4129-8281-3DE3253D877C}"/>
            </c:ext>
          </c:extLst>
        </c:ser>
        <c:ser>
          <c:idx val="1"/>
          <c:order val="1"/>
          <c:tx>
            <c:strRef>
              <c:f>'Application of Information &amp; Co'!$D$78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'Application of Information &amp; Co'!$D$79:$D$81</c:f>
              <c:numCache>
                <c:formatCode>General</c:formatCode>
                <c:ptCount val="3"/>
                <c:pt idx="0">
                  <c:v>38</c:v>
                </c:pt>
                <c:pt idx="1">
                  <c:v>6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5-4129-8281-3DE3253D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232832"/>
        <c:axId val="104234368"/>
      </c:barChart>
      <c:catAx>
        <c:axId val="10423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234368"/>
        <c:crosses val="autoZero"/>
        <c:auto val="1"/>
        <c:lblAlgn val="ctr"/>
        <c:lblOffset val="100"/>
        <c:noMultiLvlLbl val="0"/>
      </c:catAx>
      <c:valAx>
        <c:axId val="10423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2328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'Teaching of Holy Quran with Tra'!$F$69:$I$69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'Teaching of Holy Quran with Tra'!$F$70:$F$72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4-46C2-9AD4-43582D35BB46}"/>
            </c:ext>
          </c:extLst>
        </c:ser>
        <c:ser>
          <c:idx val="1"/>
          <c:order val="1"/>
          <c:tx>
            <c:strRef>
              <c:f>'Teaching of Holy Quran with Tra'!$D$69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'Teaching of Holy Quran with Tra'!$D$70:$D$72</c:f>
              <c:numCache>
                <c:formatCode>General</c:formatCode>
                <c:ptCount val="3"/>
                <c:pt idx="0">
                  <c:v>38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4-46C2-9AD4-43582D35B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47408"/>
        <c:axId val="306946624"/>
      </c:barChart>
      <c:catAx>
        <c:axId val="30694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6624"/>
        <c:crosses val="autoZero"/>
        <c:auto val="1"/>
        <c:lblAlgn val="ctr"/>
        <c:lblOffset val="100"/>
        <c:noMultiLvlLbl val="0"/>
      </c:catAx>
      <c:valAx>
        <c:axId val="3069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7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English'!$F$69:$I$69</c:f>
              <c:strCache>
                <c:ptCount val="1"/>
                <c:pt idx="0">
                  <c:v>Not Achieved the PLO</c:v>
                </c:pt>
              </c:strCache>
            </c:strRef>
          </c:tx>
          <c:invertIfNegative val="0"/>
          <c:val>
            <c:numRef>
              <c:f>'Functional English'!$F$70:$F$72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2-4302-A962-CFCCCB8F1B20}"/>
            </c:ext>
          </c:extLst>
        </c:ser>
        <c:ser>
          <c:idx val="1"/>
          <c:order val="1"/>
          <c:tx>
            <c:strRef>
              <c:f>'Functional English'!$D$69</c:f>
              <c:strCache>
                <c:ptCount val="1"/>
                <c:pt idx="0">
                  <c:v>Achieved the PLO</c:v>
                </c:pt>
              </c:strCache>
            </c:strRef>
          </c:tx>
          <c:invertIfNegative val="0"/>
          <c:val>
            <c:numRef>
              <c:f>'Functional English'!$D$70:$D$72</c:f>
              <c:numCache>
                <c:formatCode>General</c:formatCode>
                <c:ptCount val="3"/>
                <c:pt idx="0">
                  <c:v>36</c:v>
                </c:pt>
                <c:pt idx="1">
                  <c:v>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2-4302-A962-CFCCCB8F1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47408"/>
        <c:axId val="306946624"/>
      </c:barChart>
      <c:catAx>
        <c:axId val="30694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946624"/>
        <c:crosses val="autoZero"/>
        <c:auto val="1"/>
        <c:lblAlgn val="ctr"/>
        <c:lblOffset val="100"/>
        <c:noMultiLvlLbl val="0"/>
      </c:catAx>
      <c:valAx>
        <c:axId val="30694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9474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'Networking 2nd'!$F$57:$F$59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'Networking 2nd'!$G$57:$G$59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B-49F5-9BF9-892A251193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'Networking 2nd'!$F$57:$F$59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'Networking 2nd'!$H$57:$H$59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B-49F5-9BF9-892A25119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 Algebra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'Linear Algebra 2'!$G$57:$G$59</c:f>
              <c:numCache>
                <c:formatCode>General</c:formatCode>
                <c:ptCount val="3"/>
                <c:pt idx="0">
                  <c:v>0</c:v>
                </c:pt>
                <c:pt idx="1">
                  <c:v>34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8-420B-981E-A5AC6BD6ED4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'Linear Algebra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'Linear Algebra 2'!$H$57:$H$59</c:f>
              <c:numCache>
                <c:formatCode>General</c:formatCode>
                <c:ptCount val="3"/>
                <c:pt idx="0">
                  <c:v>0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8-420B-981E-A5AC6BD6ED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 Oriented Programming 2'!$F$59:$F$61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'Object Oriented Programming 2'!$G$59:$G$61</c:f>
              <c:numCache>
                <c:formatCode>General</c:formatCode>
                <c:ptCount val="3"/>
                <c:pt idx="0">
                  <c:v>0</c:v>
                </c:pt>
                <c:pt idx="1">
                  <c:v>32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4F1-A90F-032E595098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 Oriented Programming 2'!$F$59:$F$61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'Object Oriented Programming 2'!$H$59:$H$61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0-44F1-A90F-032E595098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'Expository Writing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'Expository Writing 2'!$G$57:$G$59</c:f>
              <c:numCache>
                <c:formatCode>General</c:formatCode>
                <c:ptCount val="3"/>
                <c:pt idx="0">
                  <c:v>25</c:v>
                </c:pt>
                <c:pt idx="1">
                  <c:v>29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3-4000-AA83-0A2C10DC9A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'Expository Writing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'Expository Writing 2'!$H$57:$H$59</c:f>
              <c:numCache>
                <c:formatCode>General</c:formatCode>
                <c:ptCount val="3"/>
                <c:pt idx="0">
                  <c:v>18</c:v>
                </c:pt>
                <c:pt idx="1">
                  <c:v>14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3-4000-AA83-0A2C10DC9A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'Islamic Studies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'Islamic Studies 2'!$G$57:$G$59</c:f>
              <c:numCache>
                <c:formatCode>General</c:formatCode>
                <c:ptCount val="3"/>
                <c:pt idx="0">
                  <c:v>36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C-4870-B8DC-F2534A4BC86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'Islamic Studies 2'!$F$57:$F$59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</c:strCache>
            </c:strRef>
          </c:cat>
          <c:val>
            <c:numRef>
              <c:f>'Islamic Studies 2'!$H$57:$H$59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C-4870-B8DC-F2534A4BC8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Achieved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'Digital Logic Design 2'!$F$59:$F$61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'Digital Logic Design 2'!$G$59:$G$61</c:f>
              <c:numCache>
                <c:formatCode>General</c:formatCode>
                <c:ptCount val="3"/>
                <c:pt idx="0">
                  <c:v>0</c:v>
                </c:pt>
                <c:pt idx="1">
                  <c:v>28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3-48C0-8A8E-BABC4820BB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'Digital Logic Design 2'!$F$59:$F$61</c:f>
              <c:strCache>
                <c:ptCount val="3"/>
                <c:pt idx="0">
                  <c:v>PLO1</c:v>
                </c:pt>
                <c:pt idx="1">
                  <c:v>PLO2</c:v>
                </c:pt>
                <c:pt idx="2">
                  <c:v>PLO4</c:v>
                </c:pt>
              </c:strCache>
            </c:strRef>
          </c:cat>
          <c:val>
            <c:numRef>
              <c:f>'Digital Logic Design 2'!$H$59:$H$61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3-48C0-8A8E-BABC4820BB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6380296"/>
        <c:axId val="466384608"/>
      </c:barChart>
      <c:catAx>
        <c:axId val="46638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4608"/>
        <c:crosses val="autoZero"/>
        <c:auto val="1"/>
        <c:lblAlgn val="ctr"/>
        <c:lblOffset val="100"/>
        <c:noMultiLvlLbl val="0"/>
      </c:catAx>
      <c:valAx>
        <c:axId val="4663846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8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72</xdr:row>
      <xdr:rowOff>57150</xdr:rowOff>
    </xdr:from>
    <xdr:to>
      <xdr:col>7</xdr:col>
      <xdr:colOff>16143</xdr:colOff>
      <xdr:row>97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00236-9180-4965-A227-53891A9DC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72</xdr:row>
      <xdr:rowOff>57150</xdr:rowOff>
    </xdr:from>
    <xdr:to>
      <xdr:col>7</xdr:col>
      <xdr:colOff>16143</xdr:colOff>
      <xdr:row>97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55EAB-D254-4E36-9C47-B217BDB5D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73</xdr:row>
      <xdr:rowOff>57150</xdr:rowOff>
    </xdr:from>
    <xdr:to>
      <xdr:col>7</xdr:col>
      <xdr:colOff>16143</xdr:colOff>
      <xdr:row>98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A4B5B-0C2C-455C-81D6-81E63315F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82</xdr:row>
      <xdr:rowOff>57150</xdr:rowOff>
    </xdr:from>
    <xdr:to>
      <xdr:col>9</xdr:col>
      <xdr:colOff>0</xdr:colOff>
      <xdr:row>107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7840B-E945-41D0-A3C9-4FB42A130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73</xdr:row>
      <xdr:rowOff>57150</xdr:rowOff>
    </xdr:from>
    <xdr:to>
      <xdr:col>7</xdr:col>
      <xdr:colOff>16143</xdr:colOff>
      <xdr:row>98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9B5FE-AE05-4452-B158-13385B3F8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500466</xdr:colOff>
      <xdr:row>73</xdr:row>
      <xdr:rowOff>57150</xdr:rowOff>
    </xdr:from>
    <xdr:to>
      <xdr:col>7</xdr:col>
      <xdr:colOff>16143</xdr:colOff>
      <xdr:row>98</xdr:row>
      <xdr:rowOff>145297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022E7-CFB6-484F-8D10-43CCBD35A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60</xdr:row>
      <xdr:rowOff>9565</xdr:rowOff>
    </xdr:from>
    <xdr:to>
      <xdr:col>21</xdr:col>
      <xdr:colOff>353599</xdr:colOff>
      <xdr:row>69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40527-F8A2-4D99-AB0C-6B02FF5CD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60</xdr:row>
      <xdr:rowOff>9565</xdr:rowOff>
    </xdr:from>
    <xdr:to>
      <xdr:col>21</xdr:col>
      <xdr:colOff>353599</xdr:colOff>
      <xdr:row>69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8975A-5586-4305-A273-B62DBF253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62</xdr:row>
      <xdr:rowOff>9565</xdr:rowOff>
    </xdr:from>
    <xdr:to>
      <xdr:col>21</xdr:col>
      <xdr:colOff>353599</xdr:colOff>
      <xdr:row>71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5E75B-0A64-45EA-AD4B-887A3E3E5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60</xdr:row>
      <xdr:rowOff>9565</xdr:rowOff>
    </xdr:from>
    <xdr:to>
      <xdr:col>21</xdr:col>
      <xdr:colOff>353599</xdr:colOff>
      <xdr:row>69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6507D-0F59-414C-92D8-AA5763BF4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60</xdr:row>
      <xdr:rowOff>9565</xdr:rowOff>
    </xdr:from>
    <xdr:to>
      <xdr:col>21</xdr:col>
      <xdr:colOff>353599</xdr:colOff>
      <xdr:row>69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02E8D-B36D-4783-B2FC-FA14FA11D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1827177</xdr:colOff>
      <xdr:row>62</xdr:row>
      <xdr:rowOff>9565</xdr:rowOff>
    </xdr:from>
    <xdr:to>
      <xdr:col>21</xdr:col>
      <xdr:colOff>353599</xdr:colOff>
      <xdr:row>71</xdr:row>
      <xdr:rowOff>123863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1B7DD-88B4-4829-836F-DF146D7ED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BSIT%20Fa%202023%201st%20Semester%20OBE%20Based%20Result\A%20section\1st%20BS%20IT%202023%20Programming%20Fundamental%20%20Theory%20A.xlsx" TargetMode="External"/><Relationship Id="rId1" Type="http://schemas.openxmlformats.org/officeDocument/2006/relationships/externalLinkPath" Target="BSIT%20Fa%202023%201st%20Semester%20OBE%20Based%20Result/A%20section/1st%20BS%20IT%202023%20Programming%20Fundamental%20%20Theory%20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BSIT%20Fa%202023%201st%20Semester%20OBE%20Based%20Result\A%20section\BS%20IT%202023%20Theory%20A%20DS%20.xlsx" TargetMode="External"/><Relationship Id="rId1" Type="http://schemas.openxmlformats.org/officeDocument/2006/relationships/externalLinkPath" Target="BSIT%20Fa%202023%201st%20Semester%20OBE%20Based%20Result/A%20section/BS%20IT%202023%20Theory%20A%20DS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BSIT%20Fa%202023%201st%20Semester%20OBE%20Based%20Result\A%20section\BS%20IT%202023%20Theory%20A%20(Calculus%20&amp;%20Analytical%20Geometry).xlsx" TargetMode="External"/><Relationship Id="rId1" Type="http://schemas.openxmlformats.org/officeDocument/2006/relationships/externalLinkPath" Target="BSIT%20Fa%202023%201st%20Semester%20OBE%20Based%20Result/A%20section/BS%20IT%202023%20Theory%20A%20(Calculus%20&amp;%20Analytical%20Geometry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BSIT%20Fa%202023%201st%20Semester%20OBE%20Based%20Result\A%20section\(Teaching%20of%20Holy%20Quran)%20BS%20IT%202023%20-Result-%20A.xlsx" TargetMode="External"/><Relationship Id="rId1" Type="http://schemas.openxmlformats.org/officeDocument/2006/relationships/externalLinkPath" Target="BSIT%20Fa%202023%201st%20Semester%20OBE%20Based%20Result/A%20section/(Teaching%20of%20Holy%20Quran)%20BS%20IT%202023%20-Result-%20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BSIT%20Fa%202023%201st%20Semester%20OBE%20Based%20Result\A%20section\BS%20IT%20%20English%20A%20.xlsx" TargetMode="External"/><Relationship Id="rId1" Type="http://schemas.openxmlformats.org/officeDocument/2006/relationships/externalLinkPath" Target="BSIT%20Fa%202023%201st%20Semester%20OBE%20Based%20Result/A%20section/BS%20IT%20%20English%20A%2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Theory%20A%20Computer%20Networks.xlsx" TargetMode="External"/><Relationship Id="rId1" Type="http://schemas.openxmlformats.org/officeDocument/2006/relationships/externalLinkPath" Target="2nd%20Semster%20IT/BSIT%202nd%20A/OBE%20BS%20IT%202023%20Theory%20A%20Computer%20Network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A%20Expository%20Writing%20.xlsx" TargetMode="External"/><Relationship Id="rId1" Type="http://schemas.openxmlformats.org/officeDocument/2006/relationships/externalLinkPath" Target="2nd%20Semster%20IT/BSIT%202nd%20A/OBE%20BS%20IT%202023%20A%20Expository%20Writing%20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Theory%20A%20%20Islamic%20Studies.xlsx" TargetMode="External"/><Relationship Id="rId1" Type="http://schemas.openxmlformats.org/officeDocument/2006/relationships/externalLinkPath" Target="2nd%20Semster%20IT/BSIT%202nd%20A/OBE%20BS%20IT%202023%20Theory%20A%20%20Islamic%20Studi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Theory%20A%20%20Linear%20Algebra.xlsx" TargetMode="External"/><Relationship Id="rId1" Type="http://schemas.openxmlformats.org/officeDocument/2006/relationships/externalLinkPath" Target="2nd%20Semster%20IT/BSIT%202nd%20A/OBE%20BS%20IT%202023%20Theory%20A%20%20Linear%20Algebr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Theory%20A%20(OOP).xlsx" TargetMode="External"/><Relationship Id="rId1" Type="http://schemas.openxmlformats.org/officeDocument/2006/relationships/externalLinkPath" Target="2nd%20Semster%20IT/BSIT%202nd%20A/OBE%20BS%20IT%202023%20Theory%20A%20(OOP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ditional%20Duties\OBE%20Based%20Result%20Sheets\2nd%20Semster%20IT\BSIT%202nd%20A\OBE%20BS%20IT%202023%20Theory%20A%20Digital%20Logic%20Design.xlsx" TargetMode="External"/><Relationship Id="rId1" Type="http://schemas.openxmlformats.org/officeDocument/2006/relationships/externalLinkPath" Target="2nd%20Semster%20IT/BSIT%202nd%20A/OBE%20BS%20IT%202023%20Theory%20A%20Digital%20Logic%20Desig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Theory (Activity sheet)"/>
      <sheetName val="Rubrics "/>
    </sheetNames>
    <sheetDataSet>
      <sheetData sheetId="0">
        <row r="1">
          <cell r="A1" t="str">
            <v>MNS - UNIVERSITY OF ENGINEERING AND TECHNOLOGY MULTAN</v>
          </cell>
        </row>
        <row r="3">
          <cell r="B3" t="str">
            <v>BS Information Technology</v>
          </cell>
          <cell r="H3" t="str">
            <v>1st  Semester</v>
          </cell>
        </row>
        <row r="4">
          <cell r="B4" t="str">
            <v>Fall-2023-2027 (Evening-A)</v>
          </cell>
          <cell r="H4" t="str">
            <v>Fall 2023</v>
          </cell>
        </row>
        <row r="5">
          <cell r="B5" t="str">
            <v>Title (Code):  Programming Fundamental (IT-111)</v>
          </cell>
          <cell r="H5" t="str">
            <v xml:space="preserve"> Engr. M Talha Jahangir</v>
          </cell>
        </row>
        <row r="25">
          <cell r="A25" t="str">
            <v>2023-IT-01</v>
          </cell>
          <cell r="B25" t="str">
            <v>Rahma Noor</v>
          </cell>
          <cell r="D25">
            <v>10</v>
          </cell>
          <cell r="E25">
            <v>14</v>
          </cell>
          <cell r="F25">
            <v>9</v>
          </cell>
          <cell r="G25">
            <v>18</v>
          </cell>
          <cell r="H25">
            <v>9</v>
          </cell>
          <cell r="J25" t="str">
            <v>B</v>
          </cell>
        </row>
        <row r="26">
          <cell r="A26" t="str">
            <v>2023-IT-02</v>
          </cell>
          <cell r="B26" t="str">
            <v>Alishba Manzoor</v>
          </cell>
          <cell r="D26">
            <v>8</v>
          </cell>
          <cell r="E26">
            <v>21</v>
          </cell>
          <cell r="F26">
            <v>7</v>
          </cell>
          <cell r="G26">
            <v>20</v>
          </cell>
          <cell r="H26">
            <v>8</v>
          </cell>
          <cell r="J26" t="str">
            <v>B</v>
          </cell>
        </row>
        <row r="27">
          <cell r="A27" t="str">
            <v>2023-IT-03</v>
          </cell>
          <cell r="B27" t="str">
            <v>Maheen Fatima</v>
          </cell>
          <cell r="D27">
            <v>8</v>
          </cell>
          <cell r="E27">
            <v>12</v>
          </cell>
          <cell r="F27">
            <v>9</v>
          </cell>
          <cell r="G27">
            <v>21</v>
          </cell>
          <cell r="H27">
            <v>8</v>
          </cell>
          <cell r="J27" t="str">
            <v>B-</v>
          </cell>
        </row>
        <row r="28">
          <cell r="A28" t="str">
            <v>2023-IT-04</v>
          </cell>
          <cell r="B28" t="str">
            <v>Aneela</v>
          </cell>
          <cell r="D28">
            <v>9</v>
          </cell>
          <cell r="E28">
            <v>18</v>
          </cell>
          <cell r="F28">
            <v>8</v>
          </cell>
          <cell r="G28">
            <v>22</v>
          </cell>
          <cell r="H28">
            <v>9</v>
          </cell>
          <cell r="J28" t="str">
            <v>B+</v>
          </cell>
        </row>
        <row r="29">
          <cell r="A29" t="str">
            <v>2023-IT-05</v>
          </cell>
          <cell r="B29" t="str">
            <v>Alishba Saleem</v>
          </cell>
          <cell r="D29">
            <v>8</v>
          </cell>
          <cell r="E29">
            <v>10</v>
          </cell>
          <cell r="F29">
            <v>8</v>
          </cell>
          <cell r="G29">
            <v>16</v>
          </cell>
          <cell r="H29">
            <v>9</v>
          </cell>
          <cell r="J29" t="str">
            <v>C</v>
          </cell>
        </row>
        <row r="30">
          <cell r="A30" t="str">
            <v>2023-IT-06</v>
          </cell>
          <cell r="B30" t="str">
            <v>Mehak Asghar</v>
          </cell>
          <cell r="D30">
            <v>10</v>
          </cell>
          <cell r="E30">
            <v>26</v>
          </cell>
          <cell r="F30">
            <v>10</v>
          </cell>
          <cell r="G30">
            <v>30</v>
          </cell>
          <cell r="H30">
            <v>9</v>
          </cell>
          <cell r="J30" t="str">
            <v>A+</v>
          </cell>
        </row>
        <row r="31">
          <cell r="A31" t="str">
            <v>2023-IT-07</v>
          </cell>
          <cell r="B31" t="str">
            <v>Humaira Afzal</v>
          </cell>
          <cell r="D31">
            <v>7</v>
          </cell>
          <cell r="E31">
            <v>20</v>
          </cell>
          <cell r="F31">
            <v>7</v>
          </cell>
          <cell r="G31">
            <v>21</v>
          </cell>
          <cell r="H31">
            <v>7</v>
          </cell>
          <cell r="J31" t="str">
            <v>B</v>
          </cell>
        </row>
        <row r="32">
          <cell r="A32" t="str">
            <v>2023-IT-08</v>
          </cell>
          <cell r="B32" t="str">
            <v>Saleena Khan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 t="str">
            <v>F</v>
          </cell>
        </row>
        <row r="33">
          <cell r="A33" t="str">
            <v>2023-IT-10</v>
          </cell>
          <cell r="B33" t="str">
            <v>Asad Ullah</v>
          </cell>
          <cell r="D33">
            <v>10</v>
          </cell>
          <cell r="E33">
            <v>13</v>
          </cell>
          <cell r="F33">
            <v>9</v>
          </cell>
          <cell r="G33">
            <v>19</v>
          </cell>
          <cell r="H33">
            <v>9</v>
          </cell>
          <cell r="J33" t="str">
            <v>B</v>
          </cell>
        </row>
        <row r="34">
          <cell r="A34" t="str">
            <v>2023-IT-11</v>
          </cell>
          <cell r="B34" t="str">
            <v>Rana Talha dawood</v>
          </cell>
          <cell r="D34">
            <v>6</v>
          </cell>
          <cell r="E34">
            <v>18</v>
          </cell>
          <cell r="F34">
            <v>6</v>
          </cell>
          <cell r="G34">
            <v>17</v>
          </cell>
          <cell r="H34">
            <v>6</v>
          </cell>
          <cell r="J34" t="str">
            <v>C+</v>
          </cell>
        </row>
        <row r="35">
          <cell r="A35" t="str">
            <v>2023-IT-12</v>
          </cell>
          <cell r="B35" t="str">
            <v>Ali Ahmad</v>
          </cell>
          <cell r="D35">
            <v>8</v>
          </cell>
          <cell r="E35">
            <v>14</v>
          </cell>
          <cell r="F35">
            <v>7</v>
          </cell>
          <cell r="G35">
            <v>23</v>
          </cell>
          <cell r="H35">
            <v>8</v>
          </cell>
          <cell r="J35" t="str">
            <v>B</v>
          </cell>
        </row>
        <row r="36">
          <cell r="A36" t="str">
            <v>2023-IT-13</v>
          </cell>
          <cell r="B36" t="str">
            <v>Muhammad Daud</v>
          </cell>
          <cell r="D36">
            <v>8</v>
          </cell>
          <cell r="E36">
            <v>24</v>
          </cell>
          <cell r="F36">
            <v>8</v>
          </cell>
          <cell r="G36">
            <v>22</v>
          </cell>
          <cell r="H36">
            <v>9</v>
          </cell>
          <cell r="J36" t="str">
            <v>A-</v>
          </cell>
        </row>
        <row r="37">
          <cell r="A37" t="str">
            <v>2023-IT-14</v>
          </cell>
          <cell r="B37" t="str">
            <v>Mursil Mateen</v>
          </cell>
          <cell r="D37">
            <v>10</v>
          </cell>
          <cell r="E37">
            <v>22</v>
          </cell>
          <cell r="F37">
            <v>7</v>
          </cell>
          <cell r="G37">
            <v>18</v>
          </cell>
          <cell r="H37">
            <v>9</v>
          </cell>
          <cell r="J37" t="str">
            <v>B+</v>
          </cell>
        </row>
        <row r="38">
          <cell r="A38" t="str">
            <v>2023-IT-16</v>
          </cell>
          <cell r="B38" t="str">
            <v>Muhammad Usman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 t="str">
            <v>F</v>
          </cell>
        </row>
        <row r="39">
          <cell r="A39" t="str">
            <v>2023-IT-18</v>
          </cell>
          <cell r="B39" t="str">
            <v>Adeel Maqbool</v>
          </cell>
          <cell r="D39">
            <v>8</v>
          </cell>
          <cell r="E39">
            <v>22</v>
          </cell>
          <cell r="F39">
            <v>9</v>
          </cell>
          <cell r="G39">
            <v>14</v>
          </cell>
          <cell r="H39">
            <v>9</v>
          </cell>
          <cell r="J39" t="str">
            <v>B</v>
          </cell>
        </row>
        <row r="40">
          <cell r="A40" t="str">
            <v>2023-IT-20</v>
          </cell>
          <cell r="B40" t="str">
            <v>Husnain Saleem</v>
          </cell>
          <cell r="D40">
            <v>8</v>
          </cell>
          <cell r="E40">
            <v>20</v>
          </cell>
          <cell r="F40">
            <v>8</v>
          </cell>
          <cell r="G40">
            <v>22</v>
          </cell>
          <cell r="H40">
            <v>8</v>
          </cell>
          <cell r="J40" t="str">
            <v>B+</v>
          </cell>
        </row>
        <row r="41">
          <cell r="A41" t="str">
            <v>2023-IT-22</v>
          </cell>
          <cell r="B41" t="str">
            <v>Muhammad Sameer</v>
          </cell>
          <cell r="D41">
            <v>7</v>
          </cell>
          <cell r="E41">
            <v>22</v>
          </cell>
          <cell r="F41">
            <v>8</v>
          </cell>
          <cell r="G41">
            <v>19</v>
          </cell>
          <cell r="H41">
            <v>9</v>
          </cell>
          <cell r="J41" t="str">
            <v>B+</v>
          </cell>
        </row>
        <row r="42">
          <cell r="A42" t="str">
            <v>2023-IT-24</v>
          </cell>
          <cell r="B42" t="str">
            <v>Sher Shah Hussain</v>
          </cell>
          <cell r="D42">
            <v>8</v>
          </cell>
          <cell r="E42">
            <v>18</v>
          </cell>
          <cell r="F42">
            <v>8</v>
          </cell>
          <cell r="G42">
            <v>20</v>
          </cell>
          <cell r="H42">
            <v>8</v>
          </cell>
          <cell r="J42" t="str">
            <v>B</v>
          </cell>
        </row>
        <row r="43">
          <cell r="A43" t="str">
            <v>2023-IT-26</v>
          </cell>
          <cell r="B43" t="str">
            <v>Abdul Ahad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 t="str">
            <v>F</v>
          </cell>
        </row>
        <row r="44">
          <cell r="A44" t="str">
            <v>2023-IT-28</v>
          </cell>
          <cell r="B44" t="str">
            <v>Ahmad Latif</v>
          </cell>
          <cell r="D44">
            <v>9</v>
          </cell>
          <cell r="E44">
            <v>12</v>
          </cell>
          <cell r="F44">
            <v>8</v>
          </cell>
          <cell r="G44">
            <v>21</v>
          </cell>
          <cell r="H44">
            <v>8</v>
          </cell>
          <cell r="J44" t="str">
            <v>B-</v>
          </cell>
        </row>
        <row r="45">
          <cell r="A45" t="str">
            <v>2023-IT-32</v>
          </cell>
          <cell r="B45" t="str">
            <v>Muhammad Faisal</v>
          </cell>
          <cell r="D45">
            <v>8</v>
          </cell>
          <cell r="E45">
            <v>17</v>
          </cell>
          <cell r="F45">
            <v>9</v>
          </cell>
          <cell r="G45">
            <v>23</v>
          </cell>
          <cell r="H45">
            <v>9</v>
          </cell>
          <cell r="J45" t="str">
            <v>B+</v>
          </cell>
        </row>
        <row r="46">
          <cell r="A46" t="str">
            <v>2023-IT-34</v>
          </cell>
          <cell r="B46" t="str">
            <v>Jamshaid Abbas</v>
          </cell>
          <cell r="D46">
            <v>9</v>
          </cell>
          <cell r="E46">
            <v>12</v>
          </cell>
          <cell r="F46">
            <v>9</v>
          </cell>
          <cell r="G46">
            <v>17</v>
          </cell>
          <cell r="H46">
            <v>8</v>
          </cell>
          <cell r="J46" t="str">
            <v>C+</v>
          </cell>
        </row>
        <row r="47">
          <cell r="A47" t="str">
            <v>2023-IT-38</v>
          </cell>
          <cell r="B47" t="str">
            <v>Sherzaman Bukhari</v>
          </cell>
          <cell r="D47">
            <v>8</v>
          </cell>
          <cell r="E47">
            <v>16</v>
          </cell>
          <cell r="F47">
            <v>8</v>
          </cell>
          <cell r="G47">
            <v>18</v>
          </cell>
          <cell r="H47">
            <v>8</v>
          </cell>
          <cell r="J47" t="str">
            <v>B-</v>
          </cell>
        </row>
        <row r="48">
          <cell r="A48" t="str">
            <v>2023-IT-40</v>
          </cell>
          <cell r="B48" t="str">
            <v>Ahmad Raza Shareef</v>
          </cell>
          <cell r="D48">
            <v>8</v>
          </cell>
          <cell r="E48">
            <v>17</v>
          </cell>
          <cell r="F48">
            <v>7</v>
          </cell>
          <cell r="G48">
            <v>19</v>
          </cell>
          <cell r="H48">
            <v>9</v>
          </cell>
          <cell r="J48" t="str">
            <v>B</v>
          </cell>
        </row>
        <row r="49">
          <cell r="A49" t="str">
            <v>2023-IT-41</v>
          </cell>
          <cell r="B49" t="str">
            <v>Anas Noor</v>
          </cell>
          <cell r="D49">
            <v>9</v>
          </cell>
          <cell r="E49">
            <v>12</v>
          </cell>
          <cell r="F49">
            <v>8</v>
          </cell>
          <cell r="G49">
            <v>0</v>
          </cell>
          <cell r="H49">
            <v>8</v>
          </cell>
          <cell r="J49" t="str">
            <v>F</v>
          </cell>
        </row>
        <row r="50">
          <cell r="A50" t="str">
            <v>2023-IT-42</v>
          </cell>
          <cell r="B50" t="str">
            <v>Muhammad Moosa Bhatti</v>
          </cell>
          <cell r="D50">
            <v>7</v>
          </cell>
          <cell r="E50">
            <v>20</v>
          </cell>
          <cell r="F50">
            <v>6</v>
          </cell>
          <cell r="G50">
            <v>19</v>
          </cell>
          <cell r="H50">
            <v>7</v>
          </cell>
          <cell r="J50" t="str">
            <v>B-</v>
          </cell>
        </row>
        <row r="51">
          <cell r="A51" t="str">
            <v>2023-IT-44</v>
          </cell>
          <cell r="B51" t="str">
            <v>Muhammad Nouman Aslam</v>
          </cell>
          <cell r="D51">
            <v>9</v>
          </cell>
          <cell r="E51">
            <v>18</v>
          </cell>
          <cell r="F51">
            <v>8</v>
          </cell>
          <cell r="G51">
            <v>20</v>
          </cell>
          <cell r="H51">
            <v>9</v>
          </cell>
          <cell r="J51" t="str">
            <v>B</v>
          </cell>
        </row>
        <row r="52">
          <cell r="A52" t="str">
            <v>2023-IT-46</v>
          </cell>
          <cell r="B52" t="str">
            <v>Muhammad Haseeb Anjum</v>
          </cell>
          <cell r="D52">
            <v>8</v>
          </cell>
          <cell r="E52">
            <v>19</v>
          </cell>
          <cell r="F52">
            <v>9</v>
          </cell>
          <cell r="G52">
            <v>25</v>
          </cell>
          <cell r="H52">
            <v>9</v>
          </cell>
          <cell r="J52" t="str">
            <v>A-</v>
          </cell>
        </row>
        <row r="53">
          <cell r="A53" t="str">
            <v>2023-IT-48</v>
          </cell>
          <cell r="B53" t="str">
            <v>Muhammad Arslan Waheed</v>
          </cell>
          <cell r="D53">
            <v>8</v>
          </cell>
          <cell r="E53">
            <v>20</v>
          </cell>
          <cell r="F53">
            <v>8</v>
          </cell>
          <cell r="G53">
            <v>18</v>
          </cell>
          <cell r="H53">
            <v>7</v>
          </cell>
          <cell r="J53" t="str">
            <v>B</v>
          </cell>
        </row>
        <row r="54">
          <cell r="A54" t="str">
            <v>2023-IT-50</v>
          </cell>
          <cell r="B54" t="str">
            <v>Hafiz Muhammad Hasnain Saif</v>
          </cell>
          <cell r="D54">
            <v>8</v>
          </cell>
          <cell r="E54">
            <v>15</v>
          </cell>
          <cell r="F54">
            <v>8</v>
          </cell>
          <cell r="G54">
            <v>18</v>
          </cell>
          <cell r="H54">
            <v>9</v>
          </cell>
          <cell r="J54" t="str">
            <v>B-</v>
          </cell>
        </row>
        <row r="55">
          <cell r="A55" t="str">
            <v>2023-IT-54</v>
          </cell>
          <cell r="B55" t="str">
            <v>Muhammad Zeeshan</v>
          </cell>
          <cell r="D55">
            <v>9</v>
          </cell>
          <cell r="E55">
            <v>17</v>
          </cell>
          <cell r="F55">
            <v>7</v>
          </cell>
          <cell r="G55">
            <v>8</v>
          </cell>
          <cell r="H55">
            <v>7</v>
          </cell>
          <cell r="J55" t="str">
            <v>C-</v>
          </cell>
        </row>
        <row r="56">
          <cell r="A56" t="str">
            <v>2023-IT-56</v>
          </cell>
          <cell r="B56" t="str">
            <v>Muhammad Adeel</v>
          </cell>
          <cell r="D56">
            <v>8</v>
          </cell>
          <cell r="E56">
            <v>0</v>
          </cell>
          <cell r="F56">
            <v>9</v>
          </cell>
          <cell r="G56">
            <v>21</v>
          </cell>
          <cell r="H56">
            <v>8</v>
          </cell>
          <cell r="J56" t="str">
            <v>C-</v>
          </cell>
        </row>
        <row r="57">
          <cell r="A57" t="str">
            <v>2023-IT-60</v>
          </cell>
          <cell r="B57" t="str">
            <v>Mughees Ahmad</v>
          </cell>
          <cell r="D57">
            <v>8</v>
          </cell>
          <cell r="E57">
            <v>17</v>
          </cell>
          <cell r="F57">
            <v>7</v>
          </cell>
          <cell r="G57">
            <v>20</v>
          </cell>
          <cell r="H57">
            <v>8</v>
          </cell>
          <cell r="J57" t="str">
            <v>B</v>
          </cell>
        </row>
        <row r="58">
          <cell r="A58" t="str">
            <v>2023-IT-62</v>
          </cell>
          <cell r="B58" t="str">
            <v>Muhammad Azeem</v>
          </cell>
          <cell r="D58">
            <v>7</v>
          </cell>
          <cell r="E58">
            <v>17</v>
          </cell>
          <cell r="F58">
            <v>8</v>
          </cell>
          <cell r="G58">
            <v>23</v>
          </cell>
          <cell r="H58">
            <v>8</v>
          </cell>
          <cell r="J58" t="str">
            <v>B</v>
          </cell>
        </row>
        <row r="59">
          <cell r="A59" t="str">
            <v>2023-IT-64</v>
          </cell>
          <cell r="B59" t="str">
            <v>Abdul Ahad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 t="str">
            <v>F</v>
          </cell>
        </row>
        <row r="60">
          <cell r="A60" t="str">
            <v>2023-IT-66</v>
          </cell>
          <cell r="B60" t="str">
            <v>Muhammad Haris Javed</v>
          </cell>
          <cell r="D60">
            <v>8</v>
          </cell>
          <cell r="E60">
            <v>22</v>
          </cell>
          <cell r="F60">
            <v>9</v>
          </cell>
          <cell r="G60">
            <v>24</v>
          </cell>
          <cell r="H60">
            <v>9</v>
          </cell>
          <cell r="J60" t="str">
            <v>A</v>
          </cell>
        </row>
        <row r="61">
          <cell r="A61" t="str">
            <v>2023-IT-68</v>
          </cell>
          <cell r="B61" t="str">
            <v>Muhammad Mubashir</v>
          </cell>
          <cell r="D61">
            <v>8</v>
          </cell>
          <cell r="E61">
            <v>18</v>
          </cell>
          <cell r="F61">
            <v>7</v>
          </cell>
          <cell r="G61">
            <v>24</v>
          </cell>
          <cell r="H61">
            <v>8</v>
          </cell>
          <cell r="J61" t="str">
            <v>B+</v>
          </cell>
        </row>
        <row r="62">
          <cell r="A62" t="str">
            <v>2023-IT-70</v>
          </cell>
          <cell r="B62" t="str">
            <v>Muhammad Usama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 t="str">
            <v>F</v>
          </cell>
        </row>
        <row r="63">
          <cell r="A63" t="str">
            <v>2023-IT-72</v>
          </cell>
          <cell r="B63" t="str">
            <v>Muhammad Zohaib Akhtar</v>
          </cell>
          <cell r="D63">
            <v>8</v>
          </cell>
          <cell r="E63">
            <v>25</v>
          </cell>
          <cell r="F63">
            <v>9</v>
          </cell>
          <cell r="G63">
            <v>19</v>
          </cell>
          <cell r="H63">
            <v>9</v>
          </cell>
          <cell r="J63" t="str">
            <v>A-</v>
          </cell>
        </row>
        <row r="64">
          <cell r="A64" t="str">
            <v>2023-IT-74</v>
          </cell>
          <cell r="B64" t="str">
            <v>Ashir Mudassir</v>
          </cell>
          <cell r="D64">
            <v>8</v>
          </cell>
          <cell r="E64">
            <v>15</v>
          </cell>
          <cell r="F64">
            <v>7</v>
          </cell>
          <cell r="G64">
            <v>21</v>
          </cell>
          <cell r="H64">
            <v>7</v>
          </cell>
          <cell r="J64" t="str">
            <v>B-</v>
          </cell>
        </row>
        <row r="65">
          <cell r="A65" t="str">
            <v>2023-IT-76</v>
          </cell>
          <cell r="B65" t="str">
            <v>Rao Usama</v>
          </cell>
          <cell r="D65">
            <v>8</v>
          </cell>
          <cell r="E65">
            <v>9</v>
          </cell>
          <cell r="F65">
            <v>8</v>
          </cell>
          <cell r="G65">
            <v>19</v>
          </cell>
          <cell r="H65">
            <v>8</v>
          </cell>
          <cell r="J65" t="str">
            <v>C</v>
          </cell>
        </row>
        <row r="66">
          <cell r="A66" t="str">
            <v>2023-IT-78</v>
          </cell>
          <cell r="B66" t="str">
            <v>Muhammad Zaman</v>
          </cell>
          <cell r="D66">
            <v>8</v>
          </cell>
          <cell r="E66">
            <v>14</v>
          </cell>
          <cell r="F66">
            <v>8</v>
          </cell>
          <cell r="G66">
            <v>14</v>
          </cell>
          <cell r="H66">
            <v>9</v>
          </cell>
          <cell r="J66" t="str">
            <v>C+</v>
          </cell>
        </row>
        <row r="67">
          <cell r="A67" t="str">
            <v>2023-IT-79</v>
          </cell>
          <cell r="B67" t="str">
            <v>Iqra Moeen</v>
          </cell>
          <cell r="D67">
            <v>8</v>
          </cell>
          <cell r="E67">
            <v>13</v>
          </cell>
          <cell r="F67">
            <v>8</v>
          </cell>
          <cell r="G67">
            <v>24</v>
          </cell>
          <cell r="H67">
            <v>8</v>
          </cell>
          <cell r="J67" t="str">
            <v>B</v>
          </cell>
        </row>
        <row r="68">
          <cell r="A68" t="str">
            <v>2023-IT-80</v>
          </cell>
          <cell r="B68" t="str">
            <v>Ali Raza</v>
          </cell>
          <cell r="D68">
            <v>8</v>
          </cell>
          <cell r="E68">
            <v>20</v>
          </cell>
          <cell r="F68">
            <v>9</v>
          </cell>
          <cell r="G68">
            <v>17</v>
          </cell>
          <cell r="H68">
            <v>9</v>
          </cell>
          <cell r="J68" t="str">
            <v>B</v>
          </cell>
        </row>
      </sheetData>
      <sheetData sheetId="1">
        <row r="68">
          <cell r="D68" t="str">
            <v>Achieved the PLO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Theory (Activity sheet)"/>
      <sheetName val="Rubrics "/>
    </sheetNames>
    <sheetDataSet>
      <sheetData sheetId="0">
        <row r="1">
          <cell r="A1" t="str">
            <v>MNS - UNIVERSITY OF ENGINEERING AND TECHNOLOGY MULTAN</v>
          </cell>
        </row>
        <row r="3">
          <cell r="B3" t="str">
            <v>BS Information Technology</v>
          </cell>
          <cell r="H3" t="str">
            <v>1st  Semester</v>
          </cell>
        </row>
        <row r="4">
          <cell r="B4" t="str">
            <v>Fall-2023-2027 (Evening-A)</v>
          </cell>
          <cell r="H4" t="str">
            <v>Fall 2023</v>
          </cell>
        </row>
        <row r="5">
          <cell r="B5" t="str">
            <v>Title (Code):  Discrete Structure (IT-113</v>
          </cell>
          <cell r="H5" t="str">
            <v>Zain ul abdeen</v>
          </cell>
        </row>
        <row r="25">
          <cell r="A25" t="str">
            <v>2023-IT-09</v>
          </cell>
          <cell r="B25" t="str">
            <v>Mahad Elahi</v>
          </cell>
          <cell r="D25">
            <v>7</v>
          </cell>
          <cell r="E25">
            <v>20</v>
          </cell>
          <cell r="F25">
            <v>7</v>
          </cell>
          <cell r="G25">
            <v>34</v>
          </cell>
          <cell r="H25">
            <v>7</v>
          </cell>
          <cell r="J25" t="str">
            <v>B</v>
          </cell>
        </row>
        <row r="26">
          <cell r="A26" t="str">
            <v>2023-IT-15</v>
          </cell>
          <cell r="B26" t="str">
            <v>Muhammad Faraz Shabbir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J26" t="str">
            <v>F</v>
          </cell>
        </row>
        <row r="27">
          <cell r="A27" t="str">
            <v>2023-IT-17</v>
          </cell>
          <cell r="B27" t="str">
            <v>Muhammad Bilal Imtiaz</v>
          </cell>
          <cell r="D27">
            <v>7</v>
          </cell>
          <cell r="E27">
            <v>25</v>
          </cell>
          <cell r="F27">
            <v>8</v>
          </cell>
          <cell r="G27">
            <v>38</v>
          </cell>
          <cell r="H27">
            <v>7</v>
          </cell>
          <cell r="J27" t="str">
            <v>A-</v>
          </cell>
        </row>
        <row r="28">
          <cell r="A28" t="str">
            <v>2023-IT-19</v>
          </cell>
          <cell r="B28" t="str">
            <v>Abdul Basit</v>
          </cell>
          <cell r="D28">
            <v>8</v>
          </cell>
          <cell r="E28">
            <v>25</v>
          </cell>
          <cell r="F28">
            <v>7</v>
          </cell>
          <cell r="G28">
            <v>38</v>
          </cell>
          <cell r="H28">
            <v>9</v>
          </cell>
          <cell r="J28" t="str">
            <v>A-</v>
          </cell>
        </row>
        <row r="29">
          <cell r="A29" t="str">
            <v>2023-IT-21</v>
          </cell>
          <cell r="B29" t="str">
            <v>Zain Jameel</v>
          </cell>
          <cell r="D29">
            <v>7</v>
          </cell>
          <cell r="E29">
            <v>25</v>
          </cell>
          <cell r="F29">
            <v>8</v>
          </cell>
          <cell r="G29">
            <v>34</v>
          </cell>
          <cell r="H29">
            <v>8</v>
          </cell>
          <cell r="J29" t="str">
            <v>B+</v>
          </cell>
        </row>
        <row r="30">
          <cell r="A30" t="str">
            <v>2023-IT-23</v>
          </cell>
          <cell r="B30" t="str">
            <v>Hafiz Haseeb Ur Rehman</v>
          </cell>
          <cell r="D30">
            <v>7</v>
          </cell>
          <cell r="E30">
            <v>22</v>
          </cell>
          <cell r="F30">
            <v>7</v>
          </cell>
          <cell r="G30">
            <v>33</v>
          </cell>
          <cell r="H30">
            <v>6</v>
          </cell>
          <cell r="J30" t="str">
            <v>B</v>
          </cell>
        </row>
        <row r="31">
          <cell r="A31" t="str">
            <v>2023-IT-25</v>
          </cell>
          <cell r="B31" t="str">
            <v>Muhammad Muzammil</v>
          </cell>
          <cell r="D31">
            <v>7</v>
          </cell>
          <cell r="E31">
            <v>17</v>
          </cell>
          <cell r="F31">
            <v>7</v>
          </cell>
          <cell r="G31">
            <v>30</v>
          </cell>
          <cell r="H31">
            <v>7</v>
          </cell>
          <cell r="J31" t="str">
            <v>C+</v>
          </cell>
        </row>
        <row r="32">
          <cell r="A32" t="str">
            <v>2023-IT-27</v>
          </cell>
          <cell r="B32" t="str">
            <v>Talha Irfan</v>
          </cell>
          <cell r="D32">
            <v>8</v>
          </cell>
          <cell r="E32">
            <v>27</v>
          </cell>
          <cell r="F32">
            <v>9</v>
          </cell>
          <cell r="G32">
            <v>39</v>
          </cell>
          <cell r="H32">
            <v>8</v>
          </cell>
          <cell r="J32" t="str">
            <v>A</v>
          </cell>
        </row>
        <row r="33">
          <cell r="A33" t="str">
            <v>2023-IT-29</v>
          </cell>
          <cell r="B33" t="str">
            <v>Husnain Abbas</v>
          </cell>
          <cell r="D33">
            <v>8</v>
          </cell>
          <cell r="E33">
            <v>18</v>
          </cell>
          <cell r="F33">
            <v>8</v>
          </cell>
          <cell r="G33">
            <v>34</v>
          </cell>
          <cell r="H33">
            <v>8</v>
          </cell>
          <cell r="J33" t="str">
            <v>B</v>
          </cell>
        </row>
        <row r="34">
          <cell r="A34" t="str">
            <v>2023-IT-30</v>
          </cell>
          <cell r="B34" t="str">
            <v>Umair Ahmad</v>
          </cell>
          <cell r="D34">
            <v>8</v>
          </cell>
          <cell r="E34">
            <v>14</v>
          </cell>
          <cell r="F34">
            <v>8</v>
          </cell>
          <cell r="G34">
            <v>32</v>
          </cell>
          <cell r="H34">
            <v>8</v>
          </cell>
          <cell r="J34" t="str">
            <v>B-</v>
          </cell>
        </row>
        <row r="35">
          <cell r="A35" t="str">
            <v>2023-IT-31</v>
          </cell>
          <cell r="B35" t="str">
            <v>Muhammad Talha Munir</v>
          </cell>
          <cell r="D35">
            <v>6</v>
          </cell>
          <cell r="E35">
            <v>24</v>
          </cell>
          <cell r="F35">
            <v>7</v>
          </cell>
          <cell r="G35">
            <v>32</v>
          </cell>
          <cell r="H35">
            <v>6</v>
          </cell>
          <cell r="J35" t="str">
            <v>B</v>
          </cell>
        </row>
        <row r="36">
          <cell r="A36" t="str">
            <v>2023-IT-33</v>
          </cell>
          <cell r="B36" t="str">
            <v>Muhammad Saleem</v>
          </cell>
          <cell r="D36">
            <v>8</v>
          </cell>
          <cell r="E36">
            <v>20</v>
          </cell>
          <cell r="F36">
            <v>9</v>
          </cell>
          <cell r="G36">
            <v>25</v>
          </cell>
          <cell r="H36">
            <v>8</v>
          </cell>
          <cell r="J36" t="str">
            <v>B-</v>
          </cell>
        </row>
        <row r="37">
          <cell r="A37" t="str">
            <v>2023-IT-35</v>
          </cell>
          <cell r="B37" t="str">
            <v>Shumaz Aziz</v>
          </cell>
          <cell r="D37">
            <v>9</v>
          </cell>
          <cell r="E37">
            <v>26</v>
          </cell>
          <cell r="F37">
            <v>10</v>
          </cell>
          <cell r="G37">
            <v>28</v>
          </cell>
          <cell r="H37">
            <v>9</v>
          </cell>
          <cell r="J37" t="str">
            <v>B+</v>
          </cell>
        </row>
        <row r="38">
          <cell r="A38" t="str">
            <v>2023-IT-37</v>
          </cell>
          <cell r="B38" t="str">
            <v>Ali Hassan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 t="str">
            <v>F</v>
          </cell>
        </row>
        <row r="39">
          <cell r="A39" t="str">
            <v>2023-IT-39</v>
          </cell>
          <cell r="B39" t="str">
            <v>Muhammad Junaid</v>
          </cell>
          <cell r="D39">
            <v>9</v>
          </cell>
          <cell r="E39">
            <v>23</v>
          </cell>
          <cell r="F39">
            <v>9</v>
          </cell>
          <cell r="G39">
            <v>36</v>
          </cell>
          <cell r="H39">
            <v>9</v>
          </cell>
          <cell r="J39" t="str">
            <v>A-</v>
          </cell>
        </row>
        <row r="40">
          <cell r="A40" t="str">
            <v>2023-IT-43</v>
          </cell>
          <cell r="B40" t="str">
            <v>Muhammad Ali Abbas</v>
          </cell>
          <cell r="D40">
            <v>7</v>
          </cell>
          <cell r="E40">
            <v>21</v>
          </cell>
          <cell r="F40">
            <v>6</v>
          </cell>
          <cell r="G40">
            <v>34</v>
          </cell>
          <cell r="H40">
            <v>7</v>
          </cell>
          <cell r="J40" t="str">
            <v>B</v>
          </cell>
        </row>
        <row r="41">
          <cell r="A41" t="str">
            <v>2023-IT-45</v>
          </cell>
          <cell r="B41" t="str">
            <v>Waseem Abbas</v>
          </cell>
          <cell r="D41">
            <v>8</v>
          </cell>
          <cell r="E41">
            <v>28</v>
          </cell>
          <cell r="F41">
            <v>7</v>
          </cell>
          <cell r="G41">
            <v>31</v>
          </cell>
          <cell r="H41">
            <v>8</v>
          </cell>
          <cell r="J41" t="str">
            <v>B+</v>
          </cell>
        </row>
        <row r="42">
          <cell r="A42" t="str">
            <v>2023-IT-47</v>
          </cell>
          <cell r="B42" t="str">
            <v>Abdul Moiz</v>
          </cell>
          <cell r="D42">
            <v>7</v>
          </cell>
          <cell r="E42">
            <v>22</v>
          </cell>
          <cell r="F42">
            <v>7</v>
          </cell>
          <cell r="G42">
            <v>38</v>
          </cell>
          <cell r="H42">
            <v>8</v>
          </cell>
          <cell r="J42" t="str">
            <v>B+</v>
          </cell>
        </row>
        <row r="43">
          <cell r="A43" t="str">
            <v>2023-IT-49</v>
          </cell>
          <cell r="B43" t="str">
            <v>Ehsan Mustafa</v>
          </cell>
          <cell r="D43">
            <v>7</v>
          </cell>
          <cell r="E43">
            <v>23</v>
          </cell>
          <cell r="F43">
            <v>7</v>
          </cell>
          <cell r="G43">
            <v>36</v>
          </cell>
          <cell r="H43">
            <v>9</v>
          </cell>
          <cell r="J43" t="str">
            <v>B+</v>
          </cell>
        </row>
        <row r="44">
          <cell r="A44" t="str">
            <v>2023-IT-51</v>
          </cell>
          <cell r="B44" t="str">
            <v>Ahmad Umer</v>
          </cell>
          <cell r="D44">
            <v>8</v>
          </cell>
          <cell r="E44">
            <v>26</v>
          </cell>
          <cell r="F44">
            <v>0</v>
          </cell>
          <cell r="G44">
            <v>0</v>
          </cell>
          <cell r="H44">
            <v>0</v>
          </cell>
          <cell r="J44" t="str">
            <v>F</v>
          </cell>
        </row>
        <row r="45">
          <cell r="A45" t="str">
            <v>2023-IT-52</v>
          </cell>
          <cell r="B45" t="str">
            <v>Rao Noman Arif</v>
          </cell>
          <cell r="D45">
            <v>9</v>
          </cell>
          <cell r="E45">
            <v>23</v>
          </cell>
          <cell r="F45">
            <v>0</v>
          </cell>
          <cell r="G45">
            <v>0</v>
          </cell>
          <cell r="H45">
            <v>0</v>
          </cell>
          <cell r="J45" t="str">
            <v>F</v>
          </cell>
        </row>
        <row r="46">
          <cell r="A46" t="str">
            <v>2023-IT-53</v>
          </cell>
          <cell r="B46" t="str">
            <v>Ali Ahmad</v>
          </cell>
          <cell r="D46">
            <v>8</v>
          </cell>
          <cell r="E46">
            <v>14</v>
          </cell>
          <cell r="F46">
            <v>8</v>
          </cell>
          <cell r="G46">
            <v>32</v>
          </cell>
          <cell r="H46">
            <v>8</v>
          </cell>
          <cell r="J46" t="str">
            <v>B-</v>
          </cell>
        </row>
        <row r="47">
          <cell r="A47" t="str">
            <v>2023-IT-55</v>
          </cell>
          <cell r="B47" t="str">
            <v>Muhammad Salman</v>
          </cell>
          <cell r="D47">
            <v>9</v>
          </cell>
          <cell r="E47">
            <v>26</v>
          </cell>
          <cell r="F47">
            <v>8</v>
          </cell>
          <cell r="G47">
            <v>36</v>
          </cell>
          <cell r="H47">
            <v>8</v>
          </cell>
          <cell r="J47" t="str">
            <v>A-</v>
          </cell>
        </row>
        <row r="48">
          <cell r="A48" t="str">
            <v>2023-IT-57</v>
          </cell>
          <cell r="B48" t="str">
            <v>Burhan Khan</v>
          </cell>
          <cell r="D48">
            <v>8</v>
          </cell>
          <cell r="E48">
            <v>16</v>
          </cell>
          <cell r="F48">
            <v>8</v>
          </cell>
          <cell r="G48">
            <v>35</v>
          </cell>
          <cell r="H48">
            <v>8</v>
          </cell>
          <cell r="J48" t="str">
            <v>B</v>
          </cell>
        </row>
        <row r="49">
          <cell r="A49" t="str">
            <v>2023-IT-59</v>
          </cell>
          <cell r="B49" t="str">
            <v>Muhammad Meraj</v>
          </cell>
          <cell r="D49">
            <v>9</v>
          </cell>
          <cell r="E49">
            <v>27</v>
          </cell>
          <cell r="F49">
            <v>7</v>
          </cell>
          <cell r="G49">
            <v>33</v>
          </cell>
          <cell r="H49">
            <v>7</v>
          </cell>
          <cell r="J49" t="str">
            <v>B+</v>
          </cell>
        </row>
        <row r="50">
          <cell r="A50" t="str">
            <v>2023-IT-61</v>
          </cell>
          <cell r="B50" t="str">
            <v>Muhammad Noor Hassan Ibne Qasim</v>
          </cell>
          <cell r="D50">
            <v>9</v>
          </cell>
          <cell r="E50">
            <v>19</v>
          </cell>
          <cell r="F50">
            <v>9</v>
          </cell>
          <cell r="G50">
            <v>35</v>
          </cell>
          <cell r="H50">
            <v>8</v>
          </cell>
          <cell r="J50" t="str">
            <v>B+</v>
          </cell>
        </row>
        <row r="51">
          <cell r="A51" t="str">
            <v>2023-IT-63</v>
          </cell>
          <cell r="B51" t="str">
            <v>Abdullah</v>
          </cell>
          <cell r="D51">
            <v>9</v>
          </cell>
          <cell r="E51">
            <v>28</v>
          </cell>
          <cell r="F51">
            <v>9</v>
          </cell>
          <cell r="G51">
            <v>35</v>
          </cell>
          <cell r="H51">
            <v>9</v>
          </cell>
          <cell r="J51" t="str">
            <v>A</v>
          </cell>
        </row>
        <row r="52">
          <cell r="A52" t="str">
            <v>2023-IT-65</v>
          </cell>
          <cell r="B52" t="str">
            <v>Ali Raza</v>
          </cell>
          <cell r="D52">
            <v>9</v>
          </cell>
          <cell r="E52">
            <v>29</v>
          </cell>
          <cell r="F52">
            <v>9</v>
          </cell>
          <cell r="G52">
            <v>38</v>
          </cell>
          <cell r="H52">
            <v>9</v>
          </cell>
          <cell r="J52" t="str">
            <v>A+</v>
          </cell>
        </row>
        <row r="53">
          <cell r="A53" t="str">
            <v>2023-IT-67</v>
          </cell>
          <cell r="B53" t="str">
            <v>Muhammad Hamza Riaz</v>
          </cell>
          <cell r="D53">
            <v>7</v>
          </cell>
          <cell r="E53">
            <v>16</v>
          </cell>
          <cell r="F53">
            <v>7</v>
          </cell>
          <cell r="G53">
            <v>31</v>
          </cell>
          <cell r="H53">
            <v>7</v>
          </cell>
          <cell r="J53" t="str">
            <v>C+</v>
          </cell>
        </row>
        <row r="54">
          <cell r="A54" t="str">
            <v>2023-IT-69</v>
          </cell>
          <cell r="B54" t="str">
            <v>Muhammad Rashid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J54" t="str">
            <v>F</v>
          </cell>
        </row>
        <row r="55">
          <cell r="A55" t="str">
            <v>2023-IT-70</v>
          </cell>
          <cell r="B55" t="str">
            <v>Muhammad Usama</v>
          </cell>
          <cell r="D55">
            <v>8</v>
          </cell>
          <cell r="E55">
            <v>20</v>
          </cell>
          <cell r="F55">
            <v>8</v>
          </cell>
          <cell r="G55">
            <v>36</v>
          </cell>
          <cell r="H55">
            <v>8</v>
          </cell>
          <cell r="J55" t="str">
            <v>B+</v>
          </cell>
        </row>
        <row r="56">
          <cell r="A56" t="str">
            <v>2023-IT-71</v>
          </cell>
          <cell r="B56" t="str">
            <v>Irfan Haiser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J56" t="str">
            <v>F</v>
          </cell>
        </row>
        <row r="57">
          <cell r="A57" t="str">
            <v>2023-IT-73</v>
          </cell>
          <cell r="B57" t="str">
            <v xml:space="preserve">Muhammad Mohsin </v>
          </cell>
          <cell r="D57">
            <v>8</v>
          </cell>
          <cell r="E57">
            <v>25</v>
          </cell>
          <cell r="F57">
            <v>8</v>
          </cell>
          <cell r="G57">
            <v>36</v>
          </cell>
          <cell r="H57">
            <v>8</v>
          </cell>
          <cell r="J57" t="str">
            <v>A-</v>
          </cell>
        </row>
        <row r="58">
          <cell r="A58" t="str">
            <v>2023-IT-75</v>
          </cell>
          <cell r="B58" t="str">
            <v>Muhammad Nadeem</v>
          </cell>
          <cell r="D58">
            <v>9</v>
          </cell>
          <cell r="E58">
            <v>25</v>
          </cell>
          <cell r="F58">
            <v>7</v>
          </cell>
          <cell r="G58">
            <v>33</v>
          </cell>
          <cell r="H58">
            <v>8</v>
          </cell>
          <cell r="J58" t="str">
            <v>B+</v>
          </cell>
        </row>
        <row r="59">
          <cell r="A59" t="str">
            <v>2023-IT-77</v>
          </cell>
          <cell r="B59" t="str">
            <v>Taha Aslam</v>
          </cell>
          <cell r="D59">
            <v>9</v>
          </cell>
          <cell r="E59">
            <v>22</v>
          </cell>
          <cell r="F59">
            <v>7</v>
          </cell>
          <cell r="G59">
            <v>33</v>
          </cell>
          <cell r="H59">
            <v>9</v>
          </cell>
          <cell r="J59" t="str">
            <v>B+</v>
          </cell>
        </row>
        <row r="60">
          <cell r="A60" t="str">
            <v>2023-IT-81</v>
          </cell>
          <cell r="B60" t="str">
            <v>Muhammad Bilal Imtiaz</v>
          </cell>
          <cell r="D60">
            <v>8</v>
          </cell>
          <cell r="E60">
            <v>25</v>
          </cell>
          <cell r="F60">
            <v>0</v>
          </cell>
          <cell r="G60">
            <v>0</v>
          </cell>
          <cell r="H60">
            <v>0</v>
          </cell>
          <cell r="J60" t="str">
            <v>F</v>
          </cell>
        </row>
        <row r="61">
          <cell r="A61" t="str">
            <v>2023-IT-82</v>
          </cell>
          <cell r="B61" t="str">
            <v>Muhammad Umer</v>
          </cell>
          <cell r="D61">
            <v>8</v>
          </cell>
          <cell r="E61">
            <v>23</v>
          </cell>
          <cell r="F61">
            <v>7</v>
          </cell>
          <cell r="G61">
            <v>38</v>
          </cell>
          <cell r="H61">
            <v>8</v>
          </cell>
          <cell r="J61" t="str">
            <v>B+</v>
          </cell>
        </row>
      </sheetData>
      <sheetData sheetId="1">
        <row r="69">
          <cell r="D69" t="str">
            <v>Achieved the PLO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Theory (Activity sheet)"/>
      <sheetName val="Rubrics "/>
    </sheetNames>
    <sheetDataSet>
      <sheetData sheetId="0">
        <row r="1">
          <cell r="A1" t="str">
            <v>MNS - UNIVERSITY OF ENGINEERING AND TECHNOLOGY MULTAN</v>
          </cell>
        </row>
        <row r="3">
          <cell r="B3" t="str">
            <v>BS Information Technology</v>
          </cell>
          <cell r="H3" t="str">
            <v>1st  Semester</v>
          </cell>
        </row>
        <row r="4">
          <cell r="B4" t="str">
            <v>Fall-2023-2027 (Evening-A)</v>
          </cell>
          <cell r="H4" t="str">
            <v>Fall 2023</v>
          </cell>
        </row>
        <row r="5">
          <cell r="B5" t="str">
            <v>Title (Code):   Calculus and Analytical Geometry (MTH-114)</v>
          </cell>
          <cell r="H5" t="str">
            <v>Muhammad Aamir</v>
          </cell>
        </row>
        <row r="25">
          <cell r="A25" t="str">
            <v>2023-IT-01</v>
          </cell>
          <cell r="B25" t="str">
            <v>Rahma Noor</v>
          </cell>
          <cell r="D25">
            <v>3</v>
          </cell>
          <cell r="E25">
            <v>24</v>
          </cell>
          <cell r="F25">
            <v>8</v>
          </cell>
          <cell r="G25">
            <v>31</v>
          </cell>
          <cell r="H25">
            <v>10</v>
          </cell>
          <cell r="J25" t="str">
            <v>A-</v>
          </cell>
        </row>
        <row r="26">
          <cell r="A26" t="str">
            <v>2023-IT-02</v>
          </cell>
          <cell r="B26" t="str">
            <v>Alishba Manzoor</v>
          </cell>
          <cell r="D26">
            <v>8</v>
          </cell>
          <cell r="E26">
            <v>19</v>
          </cell>
          <cell r="F26">
            <v>8</v>
          </cell>
          <cell r="G26">
            <v>14</v>
          </cell>
          <cell r="H26">
            <v>10</v>
          </cell>
          <cell r="J26" t="str">
            <v>B</v>
          </cell>
        </row>
        <row r="27">
          <cell r="A27" t="str">
            <v>2023-IT-03</v>
          </cell>
          <cell r="B27" t="str">
            <v>Maheen Fatima</v>
          </cell>
          <cell r="D27">
            <v>6</v>
          </cell>
          <cell r="E27">
            <v>23</v>
          </cell>
          <cell r="F27">
            <v>8</v>
          </cell>
          <cell r="G27">
            <v>18</v>
          </cell>
          <cell r="H27">
            <v>8</v>
          </cell>
          <cell r="J27" t="str">
            <v>B+</v>
          </cell>
        </row>
        <row r="28">
          <cell r="A28" t="str">
            <v>2023-IT-04</v>
          </cell>
          <cell r="B28" t="str">
            <v>Aneela</v>
          </cell>
          <cell r="D28">
            <v>6</v>
          </cell>
          <cell r="E28">
            <v>22</v>
          </cell>
          <cell r="F28">
            <v>0</v>
          </cell>
          <cell r="G28">
            <v>22</v>
          </cell>
          <cell r="H28">
            <v>8</v>
          </cell>
          <cell r="J28" t="str">
            <v>B</v>
          </cell>
        </row>
        <row r="29">
          <cell r="A29" t="str">
            <v>2023-IT-05</v>
          </cell>
          <cell r="B29" t="str">
            <v>Alishba Saleem</v>
          </cell>
          <cell r="D29">
            <v>3</v>
          </cell>
          <cell r="E29">
            <v>21</v>
          </cell>
          <cell r="F29">
            <v>9</v>
          </cell>
          <cell r="G29">
            <v>23</v>
          </cell>
          <cell r="H29">
            <v>8</v>
          </cell>
          <cell r="J29" t="str">
            <v>B+</v>
          </cell>
        </row>
        <row r="30">
          <cell r="A30" t="str">
            <v>2023-IT-06</v>
          </cell>
          <cell r="B30" t="str">
            <v>Mehak Asghar</v>
          </cell>
          <cell r="D30">
            <v>10</v>
          </cell>
          <cell r="E30">
            <v>27</v>
          </cell>
          <cell r="F30">
            <v>9</v>
          </cell>
          <cell r="G30">
            <v>30</v>
          </cell>
          <cell r="H30">
            <v>8</v>
          </cell>
          <cell r="J30" t="str">
            <v>A</v>
          </cell>
        </row>
        <row r="31">
          <cell r="A31" t="str">
            <v>2023-IT-07</v>
          </cell>
          <cell r="B31" t="str">
            <v>Humaira Afzal</v>
          </cell>
          <cell r="D31">
            <v>4</v>
          </cell>
          <cell r="E31">
            <v>22</v>
          </cell>
          <cell r="F31">
            <v>9</v>
          </cell>
          <cell r="G31">
            <v>23</v>
          </cell>
          <cell r="H31">
            <v>8</v>
          </cell>
          <cell r="J31" t="str">
            <v>B+</v>
          </cell>
        </row>
        <row r="32">
          <cell r="A32" t="str">
            <v>2023-IT-08</v>
          </cell>
          <cell r="B32" t="str">
            <v>Saleena Khan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 t="str">
            <v>F</v>
          </cell>
        </row>
        <row r="33">
          <cell r="A33" t="str">
            <v>2023-IT-10</v>
          </cell>
          <cell r="B33" t="str">
            <v>Asad Ullah</v>
          </cell>
          <cell r="D33">
            <v>4</v>
          </cell>
          <cell r="E33">
            <v>7</v>
          </cell>
          <cell r="F33">
            <v>6</v>
          </cell>
          <cell r="G33">
            <v>9</v>
          </cell>
          <cell r="H33">
            <v>9</v>
          </cell>
          <cell r="J33" t="str">
            <v>D</v>
          </cell>
        </row>
        <row r="34">
          <cell r="A34" t="str">
            <v>2023-IT-11</v>
          </cell>
          <cell r="B34" t="str">
            <v>Rana Talha dawood</v>
          </cell>
          <cell r="D34">
            <v>6</v>
          </cell>
          <cell r="E34">
            <v>11</v>
          </cell>
          <cell r="F34">
            <v>8</v>
          </cell>
          <cell r="G34">
            <v>27</v>
          </cell>
          <cell r="H34">
            <v>8</v>
          </cell>
          <cell r="J34" t="str">
            <v>B</v>
          </cell>
        </row>
        <row r="35">
          <cell r="A35" t="str">
            <v>2023-IT-12</v>
          </cell>
          <cell r="B35" t="str">
            <v>Ali Ahmad</v>
          </cell>
          <cell r="D35">
            <v>3</v>
          </cell>
          <cell r="E35">
            <v>17</v>
          </cell>
          <cell r="F35">
            <v>7</v>
          </cell>
          <cell r="G35">
            <v>24</v>
          </cell>
          <cell r="H35">
            <v>7</v>
          </cell>
          <cell r="J35" t="str">
            <v>B</v>
          </cell>
        </row>
        <row r="36">
          <cell r="A36" t="str">
            <v>2023-IT-13</v>
          </cell>
          <cell r="B36" t="str">
            <v>Muhammad Daud</v>
          </cell>
          <cell r="D36">
            <v>7</v>
          </cell>
          <cell r="E36">
            <v>10</v>
          </cell>
          <cell r="F36">
            <v>7</v>
          </cell>
          <cell r="G36">
            <v>13</v>
          </cell>
          <cell r="H36">
            <v>9</v>
          </cell>
          <cell r="J36" t="str">
            <v>C</v>
          </cell>
        </row>
        <row r="37">
          <cell r="A37" t="str">
            <v>2023-IT-14</v>
          </cell>
          <cell r="B37" t="str">
            <v>Mursil Mateen</v>
          </cell>
          <cell r="D37">
            <v>7</v>
          </cell>
          <cell r="E37">
            <v>12</v>
          </cell>
          <cell r="F37">
            <v>9</v>
          </cell>
          <cell r="G37">
            <v>24</v>
          </cell>
          <cell r="H37">
            <v>8</v>
          </cell>
          <cell r="J37" t="str">
            <v>B</v>
          </cell>
        </row>
        <row r="38">
          <cell r="A38" t="str">
            <v>2023-IT-16</v>
          </cell>
          <cell r="B38" t="str">
            <v>Muhammad Usman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 t="str">
            <v>F</v>
          </cell>
        </row>
        <row r="39">
          <cell r="A39" t="str">
            <v>2023-IT-18</v>
          </cell>
          <cell r="B39" t="str">
            <v>Adeel Maqbool</v>
          </cell>
          <cell r="D39">
            <v>9</v>
          </cell>
          <cell r="E39">
            <v>5</v>
          </cell>
          <cell r="F39">
            <v>4</v>
          </cell>
          <cell r="G39">
            <v>8</v>
          </cell>
          <cell r="H39">
            <v>10</v>
          </cell>
          <cell r="J39" t="str">
            <v>D</v>
          </cell>
        </row>
        <row r="40">
          <cell r="A40" t="str">
            <v>2023-IT-20</v>
          </cell>
          <cell r="B40" t="str">
            <v>Husnain Saleem</v>
          </cell>
          <cell r="D40">
            <v>8</v>
          </cell>
          <cell r="E40">
            <v>18</v>
          </cell>
          <cell r="F40">
            <v>0</v>
          </cell>
          <cell r="G40">
            <v>30</v>
          </cell>
          <cell r="H40">
            <v>9</v>
          </cell>
          <cell r="J40" t="str">
            <v>B+</v>
          </cell>
        </row>
        <row r="41">
          <cell r="A41" t="str">
            <v>2023-IT-22</v>
          </cell>
          <cell r="B41" t="str">
            <v>Muhammad Sameer</v>
          </cell>
          <cell r="D41">
            <v>4</v>
          </cell>
          <cell r="E41">
            <v>21</v>
          </cell>
          <cell r="F41">
            <v>9</v>
          </cell>
          <cell r="G41">
            <v>16</v>
          </cell>
          <cell r="H41">
            <v>7</v>
          </cell>
          <cell r="J41" t="str">
            <v>B-</v>
          </cell>
        </row>
        <row r="42">
          <cell r="A42" t="str">
            <v>2023-IT-24</v>
          </cell>
          <cell r="B42" t="str">
            <v>Sher Shah Hussain</v>
          </cell>
          <cell r="D42">
            <v>6</v>
          </cell>
          <cell r="E42">
            <v>23</v>
          </cell>
          <cell r="F42">
            <v>8</v>
          </cell>
          <cell r="G42">
            <v>19</v>
          </cell>
          <cell r="H42">
            <v>8</v>
          </cell>
          <cell r="J42" t="str">
            <v>B+</v>
          </cell>
        </row>
        <row r="43">
          <cell r="A43" t="str">
            <v>2023-IT-26</v>
          </cell>
          <cell r="B43" t="str">
            <v>Abdul Ahad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 t="str">
            <v>F</v>
          </cell>
        </row>
        <row r="44">
          <cell r="A44" t="str">
            <v>2023-IT-28</v>
          </cell>
          <cell r="B44" t="str">
            <v>Ahmad Latif</v>
          </cell>
          <cell r="D44">
            <v>3</v>
          </cell>
          <cell r="E44">
            <v>6</v>
          </cell>
          <cell r="F44">
            <v>9</v>
          </cell>
          <cell r="G44">
            <v>8</v>
          </cell>
          <cell r="H44">
            <v>10</v>
          </cell>
          <cell r="J44" t="str">
            <v>D</v>
          </cell>
        </row>
        <row r="45">
          <cell r="A45" t="str">
            <v>2023-IT-32</v>
          </cell>
          <cell r="B45" t="str">
            <v>Muhammad Faisal</v>
          </cell>
          <cell r="D45">
            <v>6</v>
          </cell>
          <cell r="E45">
            <v>23</v>
          </cell>
          <cell r="F45">
            <v>8</v>
          </cell>
          <cell r="G45">
            <v>23</v>
          </cell>
          <cell r="H45">
            <v>8</v>
          </cell>
          <cell r="J45" t="str">
            <v>B+</v>
          </cell>
        </row>
        <row r="46">
          <cell r="A46" t="str">
            <v>2023-IT-34</v>
          </cell>
          <cell r="B46" t="str">
            <v>Jamshaid Abbas</v>
          </cell>
          <cell r="D46">
            <v>4</v>
          </cell>
          <cell r="E46">
            <v>6</v>
          </cell>
          <cell r="F46">
            <v>6</v>
          </cell>
          <cell r="G46">
            <v>10</v>
          </cell>
          <cell r="H46">
            <v>10</v>
          </cell>
          <cell r="J46" t="str">
            <v>D</v>
          </cell>
        </row>
        <row r="47">
          <cell r="A47" t="str">
            <v>2023-IT-38</v>
          </cell>
          <cell r="B47" t="str">
            <v>Sherzaman Bukhari</v>
          </cell>
          <cell r="D47">
            <v>5</v>
          </cell>
          <cell r="E47">
            <v>16</v>
          </cell>
          <cell r="F47">
            <v>8</v>
          </cell>
          <cell r="G47">
            <v>24</v>
          </cell>
          <cell r="H47">
            <v>8</v>
          </cell>
          <cell r="J47" t="str">
            <v>B</v>
          </cell>
        </row>
        <row r="48">
          <cell r="A48" t="str">
            <v>2023-IT-40</v>
          </cell>
          <cell r="B48" t="str">
            <v>Ahmad Raza Shareef</v>
          </cell>
          <cell r="D48">
            <v>5</v>
          </cell>
          <cell r="E48">
            <v>13</v>
          </cell>
          <cell r="F48">
            <v>9</v>
          </cell>
          <cell r="G48">
            <v>17</v>
          </cell>
          <cell r="H48">
            <v>10</v>
          </cell>
          <cell r="J48" t="str">
            <v>B-</v>
          </cell>
        </row>
        <row r="49">
          <cell r="A49" t="str">
            <v>2023-IT-41</v>
          </cell>
          <cell r="B49" t="str">
            <v>Anas Noor</v>
          </cell>
          <cell r="D49">
            <v>5</v>
          </cell>
          <cell r="E49">
            <v>5</v>
          </cell>
          <cell r="F49">
            <v>7</v>
          </cell>
          <cell r="G49">
            <v>10</v>
          </cell>
          <cell r="H49">
            <v>9</v>
          </cell>
          <cell r="J49" t="str">
            <v>D</v>
          </cell>
        </row>
        <row r="50">
          <cell r="A50" t="str">
            <v>2023-IT-42</v>
          </cell>
          <cell r="B50" t="str">
            <v>Muhammad Moosa Bhatti</v>
          </cell>
          <cell r="D50">
            <v>3</v>
          </cell>
          <cell r="E50">
            <v>11</v>
          </cell>
          <cell r="F50">
            <v>7</v>
          </cell>
          <cell r="G50">
            <v>20</v>
          </cell>
          <cell r="H50">
            <v>8</v>
          </cell>
          <cell r="J50" t="str">
            <v>C+</v>
          </cell>
        </row>
        <row r="51">
          <cell r="A51" t="str">
            <v>2023-IT-44</v>
          </cell>
          <cell r="B51" t="str">
            <v>Muhammad Nouman Aslam</v>
          </cell>
          <cell r="D51">
            <v>5</v>
          </cell>
          <cell r="E51">
            <v>22</v>
          </cell>
          <cell r="F51">
            <v>6</v>
          </cell>
          <cell r="G51">
            <v>19</v>
          </cell>
          <cell r="H51">
            <v>7</v>
          </cell>
          <cell r="J51" t="str">
            <v>B</v>
          </cell>
        </row>
        <row r="52">
          <cell r="A52" t="str">
            <v>2023-IT-46</v>
          </cell>
          <cell r="B52" t="str">
            <v>Muhammad Haseeb Anjum</v>
          </cell>
          <cell r="D52">
            <v>9</v>
          </cell>
          <cell r="E52">
            <v>26</v>
          </cell>
          <cell r="F52">
            <v>10</v>
          </cell>
          <cell r="G52">
            <v>39</v>
          </cell>
          <cell r="H52">
            <v>8</v>
          </cell>
          <cell r="J52" t="str">
            <v>A+</v>
          </cell>
        </row>
        <row r="53">
          <cell r="A53" t="str">
            <v>2023-IT-48</v>
          </cell>
          <cell r="B53" t="str">
            <v>Muhammad Arslan Waheed</v>
          </cell>
          <cell r="D53">
            <v>6</v>
          </cell>
          <cell r="E53">
            <v>19</v>
          </cell>
          <cell r="F53">
            <v>6</v>
          </cell>
          <cell r="G53">
            <v>32</v>
          </cell>
          <cell r="H53">
            <v>8</v>
          </cell>
          <cell r="J53" t="str">
            <v>A-</v>
          </cell>
        </row>
        <row r="54">
          <cell r="A54" t="str">
            <v>2023-IT-50</v>
          </cell>
          <cell r="B54" t="str">
            <v>Hafiz Muhammad Hasnain Saif</v>
          </cell>
          <cell r="D54">
            <v>10</v>
          </cell>
          <cell r="E54">
            <v>26</v>
          </cell>
          <cell r="F54">
            <v>9</v>
          </cell>
          <cell r="G54">
            <v>27</v>
          </cell>
          <cell r="H54">
            <v>8</v>
          </cell>
          <cell r="J54" t="str">
            <v>A-</v>
          </cell>
        </row>
        <row r="55">
          <cell r="A55" t="str">
            <v>2023-IT-54</v>
          </cell>
          <cell r="B55" t="str">
            <v>Muhammad Zeeshan</v>
          </cell>
          <cell r="D55">
            <v>6</v>
          </cell>
          <cell r="E55">
            <v>14</v>
          </cell>
          <cell r="F55">
            <v>6</v>
          </cell>
          <cell r="G55">
            <v>7</v>
          </cell>
          <cell r="H55">
            <v>8</v>
          </cell>
          <cell r="J55" t="str">
            <v>C-</v>
          </cell>
        </row>
        <row r="56">
          <cell r="A56" t="str">
            <v>2023-IT-56</v>
          </cell>
          <cell r="B56" t="str">
            <v>Muhammad Adeel</v>
          </cell>
          <cell r="D56">
            <v>0</v>
          </cell>
          <cell r="E56">
            <v>0</v>
          </cell>
          <cell r="F56">
            <v>0</v>
          </cell>
          <cell r="G56">
            <v>12</v>
          </cell>
          <cell r="H56">
            <v>3</v>
          </cell>
          <cell r="J56" t="str">
            <v>F</v>
          </cell>
        </row>
        <row r="57">
          <cell r="A57" t="str">
            <v>2023-IT-60</v>
          </cell>
          <cell r="B57" t="str">
            <v>Mughees Ahmad</v>
          </cell>
          <cell r="D57">
            <v>7</v>
          </cell>
          <cell r="E57">
            <v>20</v>
          </cell>
          <cell r="F57">
            <v>5</v>
          </cell>
          <cell r="G57">
            <v>17</v>
          </cell>
          <cell r="H57">
            <v>8</v>
          </cell>
          <cell r="J57" t="str">
            <v>B-</v>
          </cell>
        </row>
        <row r="58">
          <cell r="A58" t="str">
            <v>2023-IT-62</v>
          </cell>
          <cell r="B58" t="str">
            <v>Muhammad Azeem</v>
          </cell>
          <cell r="D58">
            <v>5</v>
          </cell>
          <cell r="E58">
            <v>23</v>
          </cell>
          <cell r="F58">
            <v>8</v>
          </cell>
          <cell r="G58">
            <v>18</v>
          </cell>
          <cell r="H58">
            <v>8</v>
          </cell>
          <cell r="J58" t="str">
            <v>B+</v>
          </cell>
        </row>
        <row r="59">
          <cell r="A59" t="str">
            <v>2023-IT-64</v>
          </cell>
          <cell r="B59" t="str">
            <v>Abdul Ahad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 t="str">
            <v>F</v>
          </cell>
        </row>
        <row r="60">
          <cell r="A60" t="str">
            <v>2023-IT-66</v>
          </cell>
          <cell r="B60" t="str">
            <v>Muhammad Haris Javed</v>
          </cell>
          <cell r="D60">
            <v>7</v>
          </cell>
          <cell r="E60">
            <v>27</v>
          </cell>
          <cell r="F60">
            <v>7</v>
          </cell>
          <cell r="G60">
            <v>40</v>
          </cell>
          <cell r="H60">
            <v>8</v>
          </cell>
          <cell r="J60" t="str">
            <v>A</v>
          </cell>
        </row>
        <row r="61">
          <cell r="A61" t="str">
            <v>2023-IT-68</v>
          </cell>
          <cell r="B61" t="str">
            <v>Muhammad Mubashir</v>
          </cell>
          <cell r="D61">
            <v>5</v>
          </cell>
          <cell r="E61">
            <v>20</v>
          </cell>
          <cell r="F61">
            <v>0</v>
          </cell>
          <cell r="G61">
            <v>29</v>
          </cell>
          <cell r="H61">
            <v>8</v>
          </cell>
          <cell r="J61" t="str">
            <v>B+</v>
          </cell>
        </row>
        <row r="62">
          <cell r="A62" t="str">
            <v>2023-IT-70</v>
          </cell>
          <cell r="B62" t="str">
            <v>Muhammad Usama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 t="str">
            <v>F</v>
          </cell>
        </row>
        <row r="63">
          <cell r="A63" t="str">
            <v>2023-IT-72</v>
          </cell>
          <cell r="B63" t="str">
            <v>Muhammad Zohaib Akhtar</v>
          </cell>
          <cell r="D63">
            <v>5</v>
          </cell>
          <cell r="E63">
            <v>19</v>
          </cell>
          <cell r="F63">
            <v>8</v>
          </cell>
          <cell r="G63">
            <v>25</v>
          </cell>
          <cell r="H63">
            <v>7</v>
          </cell>
          <cell r="J63" t="str">
            <v>B+</v>
          </cell>
        </row>
        <row r="64">
          <cell r="A64" t="str">
            <v>2023-IT-74</v>
          </cell>
          <cell r="B64" t="str">
            <v>Ashir Mudassir</v>
          </cell>
          <cell r="D64">
            <v>8</v>
          </cell>
          <cell r="E64">
            <v>19</v>
          </cell>
          <cell r="F64">
            <v>8</v>
          </cell>
          <cell r="G64">
            <v>30</v>
          </cell>
          <cell r="H64">
            <v>8</v>
          </cell>
          <cell r="J64" t="str">
            <v>A-</v>
          </cell>
        </row>
        <row r="65">
          <cell r="A65" t="str">
            <v>2023-IT-76</v>
          </cell>
          <cell r="B65" t="str">
            <v>Rao Usama</v>
          </cell>
          <cell r="D65">
            <v>6</v>
          </cell>
          <cell r="E65">
            <v>13</v>
          </cell>
          <cell r="F65">
            <v>7</v>
          </cell>
          <cell r="G65">
            <v>16</v>
          </cell>
          <cell r="H65">
            <v>8</v>
          </cell>
          <cell r="J65" t="str">
            <v>C+</v>
          </cell>
        </row>
        <row r="66">
          <cell r="A66" t="str">
            <v>2023-IT-78</v>
          </cell>
          <cell r="B66" t="str">
            <v>Muhammad Zaman</v>
          </cell>
          <cell r="D66">
            <v>2</v>
          </cell>
          <cell r="E66">
            <v>18</v>
          </cell>
          <cell r="F66">
            <v>7</v>
          </cell>
          <cell r="G66">
            <v>20</v>
          </cell>
          <cell r="H66">
            <v>8</v>
          </cell>
          <cell r="J66" t="str">
            <v>B-</v>
          </cell>
        </row>
        <row r="67">
          <cell r="A67" t="str">
            <v>2023-IT-79</v>
          </cell>
          <cell r="B67" t="str">
            <v>Iqra Moeen</v>
          </cell>
          <cell r="D67">
            <v>6</v>
          </cell>
          <cell r="E67">
            <v>17</v>
          </cell>
          <cell r="F67">
            <v>9</v>
          </cell>
          <cell r="G67">
            <v>24</v>
          </cell>
          <cell r="H67">
            <v>8</v>
          </cell>
          <cell r="J67" t="str">
            <v>B+</v>
          </cell>
        </row>
        <row r="68">
          <cell r="A68" t="str">
            <v>2023-IT-80</v>
          </cell>
          <cell r="B68" t="str">
            <v>Ali Raza</v>
          </cell>
          <cell r="D68">
            <v>1</v>
          </cell>
          <cell r="E68">
            <v>20</v>
          </cell>
          <cell r="F68">
            <v>7</v>
          </cell>
          <cell r="G68">
            <v>14</v>
          </cell>
          <cell r="H68">
            <v>7</v>
          </cell>
          <cell r="J68" t="str">
            <v>C+</v>
          </cell>
        </row>
      </sheetData>
      <sheetData sheetId="1">
        <row r="69">
          <cell r="D69" t="str">
            <v>Achieved the PLO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Theory (Activity sheet)"/>
      <sheetName val="Rubrics "/>
    </sheetNames>
    <sheetDataSet>
      <sheetData sheetId="0">
        <row r="1">
          <cell r="A1" t="str">
            <v>MNS - UNIVERSITY OF ENGINEERING AND TECHNOLOGY MULTAN</v>
          </cell>
        </row>
        <row r="3">
          <cell r="B3" t="str">
            <v>BS Information Technology</v>
          </cell>
          <cell r="H3" t="str">
            <v>1st  Semester</v>
          </cell>
        </row>
        <row r="4">
          <cell r="B4" t="str">
            <v>Fall-2023-2027 (Evening-A)</v>
          </cell>
          <cell r="H4" t="str">
            <v>Fall 2023</v>
          </cell>
        </row>
        <row r="5">
          <cell r="B5" t="str">
            <v>Title (Code):  Teaching of the Holy Quran-I (QS-110)</v>
          </cell>
          <cell r="H5" t="str">
            <v>Abdul Nasir Zamir</v>
          </cell>
        </row>
        <row r="25">
          <cell r="A25" t="str">
            <v>2023-IT-01</v>
          </cell>
          <cell r="B25" t="str">
            <v>Rahma Noor</v>
          </cell>
          <cell r="D25">
            <v>2</v>
          </cell>
          <cell r="E25">
            <v>24</v>
          </cell>
          <cell r="F25">
            <v>8</v>
          </cell>
          <cell r="G25">
            <v>31</v>
          </cell>
          <cell r="H25">
            <v>9</v>
          </cell>
          <cell r="J25" t="str">
            <v>B+</v>
          </cell>
        </row>
        <row r="26">
          <cell r="A26" t="str">
            <v>2023-IT-02</v>
          </cell>
          <cell r="B26" t="str">
            <v>Alishba Manzoor</v>
          </cell>
          <cell r="D26">
            <v>2</v>
          </cell>
          <cell r="E26">
            <v>25</v>
          </cell>
          <cell r="F26">
            <v>9</v>
          </cell>
          <cell r="G26">
            <v>25</v>
          </cell>
          <cell r="H26">
            <v>8</v>
          </cell>
          <cell r="J26" t="str">
            <v>B</v>
          </cell>
        </row>
        <row r="27">
          <cell r="A27" t="str">
            <v>2023-IT-03</v>
          </cell>
          <cell r="B27" t="str">
            <v>Maheen Fatima</v>
          </cell>
          <cell r="D27">
            <v>2</v>
          </cell>
          <cell r="E27">
            <v>23</v>
          </cell>
          <cell r="F27">
            <v>10</v>
          </cell>
          <cell r="G27">
            <v>26</v>
          </cell>
          <cell r="H27">
            <v>7</v>
          </cell>
          <cell r="J27" t="str">
            <v>B</v>
          </cell>
        </row>
        <row r="28">
          <cell r="A28" t="str">
            <v>2023-IT-04</v>
          </cell>
          <cell r="B28" t="str">
            <v>Aneela</v>
          </cell>
          <cell r="D28">
            <v>6</v>
          </cell>
          <cell r="E28">
            <v>23</v>
          </cell>
          <cell r="F28">
            <v>10</v>
          </cell>
          <cell r="G28">
            <v>25</v>
          </cell>
          <cell r="H28">
            <v>8</v>
          </cell>
          <cell r="J28" t="str">
            <v>B+</v>
          </cell>
        </row>
        <row r="29">
          <cell r="A29" t="str">
            <v>2023-IT-05</v>
          </cell>
          <cell r="B29" t="str">
            <v>Alishba Saleem</v>
          </cell>
          <cell r="D29">
            <v>4</v>
          </cell>
          <cell r="E29">
            <v>25</v>
          </cell>
          <cell r="F29">
            <v>7</v>
          </cell>
          <cell r="G29">
            <v>22</v>
          </cell>
          <cell r="H29">
            <v>8</v>
          </cell>
          <cell r="J29" t="str">
            <v>B</v>
          </cell>
        </row>
        <row r="30">
          <cell r="A30" t="str">
            <v>2023-IT-06</v>
          </cell>
          <cell r="B30" t="str">
            <v>Mehak Asghar</v>
          </cell>
          <cell r="D30">
            <v>7</v>
          </cell>
          <cell r="E30">
            <v>24</v>
          </cell>
          <cell r="F30">
            <v>10</v>
          </cell>
          <cell r="G30">
            <v>25</v>
          </cell>
          <cell r="H30">
            <v>7</v>
          </cell>
          <cell r="J30" t="str">
            <v>B+</v>
          </cell>
        </row>
        <row r="31">
          <cell r="A31" t="str">
            <v>2023-IT-07</v>
          </cell>
          <cell r="B31" t="str">
            <v>Humaira Afzal</v>
          </cell>
          <cell r="D31">
            <v>8</v>
          </cell>
          <cell r="E31">
            <v>24</v>
          </cell>
          <cell r="F31">
            <v>9</v>
          </cell>
          <cell r="G31">
            <v>33</v>
          </cell>
          <cell r="H31">
            <v>8</v>
          </cell>
          <cell r="J31" t="str">
            <v>A-</v>
          </cell>
        </row>
        <row r="32">
          <cell r="A32" t="str">
            <v>2023-IT-08</v>
          </cell>
          <cell r="B32" t="str">
            <v>Saleena Khan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 t="str">
            <v>F</v>
          </cell>
        </row>
        <row r="33">
          <cell r="A33" t="str">
            <v>2023-IT-10</v>
          </cell>
          <cell r="B33" t="str">
            <v>Asad Ullah</v>
          </cell>
          <cell r="D33">
            <v>5</v>
          </cell>
          <cell r="E33">
            <v>25</v>
          </cell>
          <cell r="F33">
            <v>10</v>
          </cell>
          <cell r="G33">
            <v>27</v>
          </cell>
          <cell r="H33">
            <v>9</v>
          </cell>
          <cell r="J33" t="str">
            <v>B+</v>
          </cell>
        </row>
        <row r="34">
          <cell r="A34" t="str">
            <v>2023-IT-11</v>
          </cell>
          <cell r="B34" t="str">
            <v>Rana Talha dawood</v>
          </cell>
          <cell r="D34">
            <v>5</v>
          </cell>
          <cell r="E34">
            <v>23</v>
          </cell>
          <cell r="F34">
            <v>10</v>
          </cell>
          <cell r="G34">
            <v>29</v>
          </cell>
          <cell r="H34">
            <v>8</v>
          </cell>
          <cell r="J34" t="str">
            <v>B+</v>
          </cell>
        </row>
        <row r="35">
          <cell r="A35" t="str">
            <v>2023-IT-12</v>
          </cell>
          <cell r="B35" t="str">
            <v>Ali Ahmad</v>
          </cell>
          <cell r="D35">
            <v>7</v>
          </cell>
          <cell r="E35">
            <v>24</v>
          </cell>
          <cell r="F35">
            <v>9</v>
          </cell>
          <cell r="G35">
            <v>33</v>
          </cell>
          <cell r="H35">
            <v>7</v>
          </cell>
          <cell r="J35" t="str">
            <v>A-</v>
          </cell>
        </row>
        <row r="36">
          <cell r="A36" t="str">
            <v>2023-IT-13</v>
          </cell>
          <cell r="B36" t="str">
            <v>Muhammad Daud</v>
          </cell>
          <cell r="D36">
            <v>5</v>
          </cell>
          <cell r="E36">
            <v>23</v>
          </cell>
          <cell r="F36">
            <v>9</v>
          </cell>
          <cell r="G36">
            <v>32</v>
          </cell>
          <cell r="H36">
            <v>8</v>
          </cell>
          <cell r="J36" t="str">
            <v>B+</v>
          </cell>
        </row>
        <row r="37">
          <cell r="A37" t="str">
            <v>2023-IT-14</v>
          </cell>
          <cell r="B37" t="str">
            <v>Mursil Mateen</v>
          </cell>
          <cell r="D37">
            <v>6</v>
          </cell>
          <cell r="E37">
            <v>23</v>
          </cell>
          <cell r="F37">
            <v>9</v>
          </cell>
          <cell r="G37">
            <v>33</v>
          </cell>
          <cell r="H37">
            <v>8</v>
          </cell>
          <cell r="J37" t="str">
            <v>B+</v>
          </cell>
        </row>
        <row r="38">
          <cell r="A38" t="str">
            <v>2023-IT-16</v>
          </cell>
          <cell r="B38" t="str">
            <v>Muhammad Usman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 t="str">
            <v>F</v>
          </cell>
        </row>
        <row r="39">
          <cell r="A39" t="str">
            <v>2023-IT-18</v>
          </cell>
          <cell r="B39" t="str">
            <v>Adeel Maqbool</v>
          </cell>
          <cell r="D39">
            <v>6</v>
          </cell>
          <cell r="E39">
            <v>23</v>
          </cell>
          <cell r="F39">
            <v>9</v>
          </cell>
          <cell r="G39">
            <v>26</v>
          </cell>
          <cell r="H39">
            <v>8</v>
          </cell>
          <cell r="J39" t="str">
            <v>B+</v>
          </cell>
        </row>
        <row r="40">
          <cell r="A40" t="str">
            <v>2023-IT-20</v>
          </cell>
          <cell r="B40" t="str">
            <v>Husnain Saleem</v>
          </cell>
          <cell r="D40">
            <v>4</v>
          </cell>
          <cell r="E40">
            <v>24</v>
          </cell>
          <cell r="F40">
            <v>9</v>
          </cell>
          <cell r="G40">
            <v>25</v>
          </cell>
          <cell r="H40">
            <v>8</v>
          </cell>
          <cell r="J40" t="str">
            <v>B+</v>
          </cell>
        </row>
        <row r="41">
          <cell r="A41" t="str">
            <v>2023-IT-22</v>
          </cell>
          <cell r="B41" t="str">
            <v>Muhammad Sameer</v>
          </cell>
          <cell r="D41">
            <v>5</v>
          </cell>
          <cell r="E41">
            <v>23</v>
          </cell>
          <cell r="F41">
            <v>9</v>
          </cell>
          <cell r="G41">
            <v>26</v>
          </cell>
          <cell r="H41">
            <v>7</v>
          </cell>
          <cell r="J41" t="str">
            <v>B+</v>
          </cell>
        </row>
        <row r="42">
          <cell r="A42" t="str">
            <v>2023-IT-24</v>
          </cell>
          <cell r="B42" t="str">
            <v>Sher Shah Hussain</v>
          </cell>
          <cell r="D42">
            <v>6</v>
          </cell>
          <cell r="E42">
            <v>24</v>
          </cell>
          <cell r="F42">
            <v>10</v>
          </cell>
          <cell r="G42">
            <v>24</v>
          </cell>
          <cell r="H42">
            <v>8</v>
          </cell>
          <cell r="J42" t="str">
            <v>B+</v>
          </cell>
        </row>
        <row r="43">
          <cell r="A43" t="str">
            <v>2023-IT-26</v>
          </cell>
          <cell r="B43" t="str">
            <v>Abdul Ahad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 t="str">
            <v>F</v>
          </cell>
        </row>
        <row r="44">
          <cell r="A44" t="str">
            <v>2023-IT-28</v>
          </cell>
          <cell r="B44" t="str">
            <v>Ahmad Latif</v>
          </cell>
          <cell r="D44">
            <v>6</v>
          </cell>
          <cell r="E44">
            <v>25</v>
          </cell>
          <cell r="F44">
            <v>10</v>
          </cell>
          <cell r="G44">
            <v>31</v>
          </cell>
          <cell r="H44">
            <v>9</v>
          </cell>
          <cell r="J44" t="str">
            <v>A-</v>
          </cell>
        </row>
        <row r="45">
          <cell r="A45" t="str">
            <v>2023-IT-32</v>
          </cell>
          <cell r="B45" t="str">
            <v>Muhammad Faisal</v>
          </cell>
          <cell r="D45">
            <v>8</v>
          </cell>
          <cell r="E45">
            <v>25</v>
          </cell>
          <cell r="F45">
            <v>10</v>
          </cell>
          <cell r="G45">
            <v>32</v>
          </cell>
          <cell r="H45">
            <v>9</v>
          </cell>
          <cell r="J45" t="str">
            <v>A-</v>
          </cell>
        </row>
        <row r="46">
          <cell r="A46" t="str">
            <v>2023-IT-34</v>
          </cell>
          <cell r="B46" t="str">
            <v>Jamshaid Abbas</v>
          </cell>
          <cell r="D46">
            <v>8</v>
          </cell>
          <cell r="E46">
            <v>22</v>
          </cell>
          <cell r="F46">
            <v>9</v>
          </cell>
          <cell r="G46">
            <v>21</v>
          </cell>
          <cell r="H46">
            <v>8</v>
          </cell>
          <cell r="J46" t="str">
            <v>B</v>
          </cell>
        </row>
        <row r="47">
          <cell r="A47" t="str">
            <v>2023-IT-38</v>
          </cell>
          <cell r="B47" t="str">
            <v>Sherzaman Bukhari</v>
          </cell>
          <cell r="D47">
            <v>8</v>
          </cell>
          <cell r="E47">
            <v>21</v>
          </cell>
          <cell r="F47">
            <v>10</v>
          </cell>
          <cell r="G47">
            <v>31</v>
          </cell>
          <cell r="H47">
            <v>8</v>
          </cell>
          <cell r="J47" t="str">
            <v>B+</v>
          </cell>
        </row>
        <row r="48">
          <cell r="A48" t="str">
            <v>2023-IT-40</v>
          </cell>
          <cell r="B48" t="str">
            <v>Ahmad Raza Shareef</v>
          </cell>
          <cell r="D48">
            <v>7</v>
          </cell>
          <cell r="E48">
            <v>22</v>
          </cell>
          <cell r="F48">
            <v>9</v>
          </cell>
          <cell r="G48">
            <v>25</v>
          </cell>
          <cell r="H48">
            <v>7</v>
          </cell>
          <cell r="J48" t="str">
            <v>B+</v>
          </cell>
        </row>
        <row r="49">
          <cell r="A49" t="str">
            <v>2023-IT-41</v>
          </cell>
          <cell r="B49" t="str">
            <v>Anas Noor</v>
          </cell>
          <cell r="D49">
            <v>3</v>
          </cell>
          <cell r="E49">
            <v>20</v>
          </cell>
          <cell r="F49">
            <v>0</v>
          </cell>
          <cell r="G49">
            <v>0</v>
          </cell>
          <cell r="J49" t="str">
            <v>F</v>
          </cell>
        </row>
        <row r="50">
          <cell r="A50" t="str">
            <v>2023-IT-42</v>
          </cell>
          <cell r="B50" t="str">
            <v>Muhammad Moosa Bhatti</v>
          </cell>
          <cell r="D50">
            <v>6</v>
          </cell>
          <cell r="E50">
            <v>23</v>
          </cell>
          <cell r="F50">
            <v>9</v>
          </cell>
          <cell r="G50">
            <v>31</v>
          </cell>
          <cell r="H50">
            <v>8</v>
          </cell>
          <cell r="J50" t="str">
            <v>B+</v>
          </cell>
        </row>
        <row r="51">
          <cell r="A51" t="str">
            <v>2023-IT-44</v>
          </cell>
          <cell r="B51" t="str">
            <v>Muhammad Nouman Aslam</v>
          </cell>
          <cell r="D51">
            <v>6</v>
          </cell>
          <cell r="E51">
            <v>25</v>
          </cell>
          <cell r="F51">
            <v>10</v>
          </cell>
          <cell r="G51">
            <v>25</v>
          </cell>
          <cell r="H51">
            <v>7</v>
          </cell>
          <cell r="J51" t="str">
            <v>B+</v>
          </cell>
        </row>
        <row r="52">
          <cell r="A52" t="str">
            <v>2023-IT-46</v>
          </cell>
          <cell r="B52" t="str">
            <v>Muhammad Haseeb Anjum</v>
          </cell>
          <cell r="D52">
            <v>6</v>
          </cell>
          <cell r="E52">
            <v>24</v>
          </cell>
          <cell r="F52">
            <v>10</v>
          </cell>
          <cell r="G52">
            <v>30</v>
          </cell>
          <cell r="H52">
            <v>8</v>
          </cell>
          <cell r="J52" t="str">
            <v>B+</v>
          </cell>
        </row>
        <row r="53">
          <cell r="A53" t="str">
            <v>2023-IT-48</v>
          </cell>
          <cell r="B53" t="str">
            <v>Muhammad Arslan Waheed</v>
          </cell>
          <cell r="D53">
            <v>6</v>
          </cell>
          <cell r="E53">
            <v>24</v>
          </cell>
          <cell r="F53">
            <v>9</v>
          </cell>
          <cell r="G53">
            <v>25</v>
          </cell>
          <cell r="H53">
            <v>7</v>
          </cell>
          <cell r="J53" t="str">
            <v>B+</v>
          </cell>
        </row>
        <row r="54">
          <cell r="A54" t="str">
            <v>2023-IT-50</v>
          </cell>
          <cell r="B54" t="str">
            <v>Hafiz Muhammad Hasnain Saif</v>
          </cell>
          <cell r="D54">
            <v>8</v>
          </cell>
          <cell r="E54">
            <v>25</v>
          </cell>
          <cell r="F54">
            <v>10</v>
          </cell>
          <cell r="G54">
            <v>30</v>
          </cell>
          <cell r="H54">
            <v>8</v>
          </cell>
          <cell r="J54" t="str">
            <v>A-</v>
          </cell>
        </row>
        <row r="55">
          <cell r="A55" t="str">
            <v>2023-IT-54</v>
          </cell>
          <cell r="B55" t="str">
            <v>Muhammad Zeeshan</v>
          </cell>
          <cell r="D55">
            <v>6</v>
          </cell>
          <cell r="E55">
            <v>25</v>
          </cell>
          <cell r="F55">
            <v>10</v>
          </cell>
          <cell r="G55">
            <v>28</v>
          </cell>
          <cell r="H55">
            <v>8</v>
          </cell>
          <cell r="J55" t="str">
            <v>B+</v>
          </cell>
        </row>
        <row r="56">
          <cell r="A56" t="str">
            <v>2023-IT-56</v>
          </cell>
          <cell r="B56" t="str">
            <v>Muhammad Adeel</v>
          </cell>
          <cell r="D56">
            <v>3</v>
          </cell>
          <cell r="E56">
            <v>23</v>
          </cell>
          <cell r="F56">
            <v>9</v>
          </cell>
          <cell r="G56">
            <v>30</v>
          </cell>
          <cell r="H56">
            <v>9</v>
          </cell>
          <cell r="J56" t="str">
            <v>B+</v>
          </cell>
        </row>
        <row r="57">
          <cell r="A57" t="str">
            <v>2023-IT-60</v>
          </cell>
          <cell r="B57" t="str">
            <v>Mughees Ahmad</v>
          </cell>
          <cell r="D57">
            <v>6</v>
          </cell>
          <cell r="E57">
            <v>25</v>
          </cell>
          <cell r="F57">
            <v>9</v>
          </cell>
          <cell r="G57">
            <v>31</v>
          </cell>
          <cell r="H57">
            <v>8</v>
          </cell>
          <cell r="J57" t="str">
            <v>B+</v>
          </cell>
        </row>
        <row r="58">
          <cell r="A58" t="str">
            <v>2023-IT-62</v>
          </cell>
          <cell r="B58" t="str">
            <v>Muhammad Azeem</v>
          </cell>
          <cell r="D58">
            <v>7</v>
          </cell>
          <cell r="E58">
            <v>23</v>
          </cell>
          <cell r="F58">
            <v>10</v>
          </cell>
          <cell r="G58">
            <v>29</v>
          </cell>
          <cell r="H58">
            <v>8</v>
          </cell>
          <cell r="J58" t="str">
            <v>B+</v>
          </cell>
        </row>
        <row r="59">
          <cell r="A59" t="str">
            <v>2023-IT-64</v>
          </cell>
          <cell r="B59" t="str">
            <v>Abdul Ahad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 t="str">
            <v>F</v>
          </cell>
        </row>
        <row r="60">
          <cell r="A60" t="str">
            <v>2023-IT-66</v>
          </cell>
          <cell r="B60" t="str">
            <v>Muhammad Haris Javed</v>
          </cell>
          <cell r="D60">
            <v>7</v>
          </cell>
          <cell r="E60">
            <v>25</v>
          </cell>
          <cell r="F60">
            <v>10</v>
          </cell>
          <cell r="G60">
            <v>33</v>
          </cell>
          <cell r="H60">
            <v>7</v>
          </cell>
          <cell r="J60" t="str">
            <v>A-</v>
          </cell>
        </row>
        <row r="61">
          <cell r="A61" t="str">
            <v>2023-IT-68</v>
          </cell>
          <cell r="B61" t="str">
            <v>Muhammad Mubashir</v>
          </cell>
          <cell r="D61">
            <v>7</v>
          </cell>
          <cell r="E61">
            <v>24</v>
          </cell>
          <cell r="F61">
            <v>10</v>
          </cell>
          <cell r="G61">
            <v>31</v>
          </cell>
          <cell r="H61">
            <v>7</v>
          </cell>
          <cell r="J61" t="str">
            <v>B+</v>
          </cell>
        </row>
        <row r="62">
          <cell r="A62" t="str">
            <v>2023-IT-70</v>
          </cell>
          <cell r="B62" t="str">
            <v>Muhammad Usama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 t="str">
            <v>F</v>
          </cell>
        </row>
        <row r="63">
          <cell r="A63" t="str">
            <v>2023-IT-72</v>
          </cell>
          <cell r="B63" t="str">
            <v>Muhammad Zohaib Akhtar</v>
          </cell>
          <cell r="D63">
            <v>7</v>
          </cell>
          <cell r="E63">
            <v>24</v>
          </cell>
          <cell r="F63">
            <v>10</v>
          </cell>
          <cell r="G63">
            <v>29</v>
          </cell>
          <cell r="H63">
            <v>8</v>
          </cell>
          <cell r="J63" t="str">
            <v>B+</v>
          </cell>
        </row>
        <row r="64">
          <cell r="A64" t="str">
            <v>2023-IT-74</v>
          </cell>
          <cell r="B64" t="str">
            <v>Ashir Mudassir</v>
          </cell>
          <cell r="D64">
            <v>7</v>
          </cell>
          <cell r="E64">
            <v>25</v>
          </cell>
          <cell r="F64">
            <v>10</v>
          </cell>
          <cell r="G64">
            <v>33</v>
          </cell>
          <cell r="H64">
            <v>9</v>
          </cell>
          <cell r="J64" t="str">
            <v>A-</v>
          </cell>
        </row>
        <row r="65">
          <cell r="A65" t="str">
            <v>2023-IT-76</v>
          </cell>
          <cell r="B65" t="str">
            <v>Rao Usama</v>
          </cell>
          <cell r="D65">
            <v>6</v>
          </cell>
          <cell r="E65">
            <v>17</v>
          </cell>
          <cell r="F65">
            <v>10</v>
          </cell>
          <cell r="G65">
            <v>25</v>
          </cell>
          <cell r="H65">
            <v>8</v>
          </cell>
          <cell r="J65" t="str">
            <v>B</v>
          </cell>
        </row>
        <row r="66">
          <cell r="A66" t="str">
            <v>2023-IT-78</v>
          </cell>
          <cell r="B66" t="str">
            <v>Muhammad Zaman</v>
          </cell>
          <cell r="D66">
            <v>6</v>
          </cell>
          <cell r="E66">
            <v>24</v>
          </cell>
          <cell r="F66">
            <v>10</v>
          </cell>
          <cell r="G66">
            <v>27</v>
          </cell>
          <cell r="H66">
            <v>7</v>
          </cell>
          <cell r="J66" t="str">
            <v>B+</v>
          </cell>
        </row>
        <row r="67">
          <cell r="A67" t="str">
            <v>2023-IT-79</v>
          </cell>
          <cell r="B67" t="str">
            <v>Iqra Moeen</v>
          </cell>
          <cell r="D67">
            <v>3</v>
          </cell>
          <cell r="E67">
            <v>23</v>
          </cell>
          <cell r="F67">
            <v>10</v>
          </cell>
          <cell r="G67">
            <v>25</v>
          </cell>
          <cell r="H67">
            <v>8</v>
          </cell>
          <cell r="J67" t="str">
            <v>B</v>
          </cell>
        </row>
        <row r="68">
          <cell r="A68" t="str">
            <v>2023-IT-80</v>
          </cell>
          <cell r="B68" t="str">
            <v>Ali Raza</v>
          </cell>
          <cell r="D68">
            <v>6</v>
          </cell>
          <cell r="E68">
            <v>25</v>
          </cell>
          <cell r="F68">
            <v>10</v>
          </cell>
          <cell r="G68">
            <v>25</v>
          </cell>
          <cell r="H68">
            <v>8</v>
          </cell>
          <cell r="J68" t="str">
            <v>B+</v>
          </cell>
        </row>
      </sheetData>
      <sheetData sheetId="1">
        <row r="69">
          <cell r="D69" t="str">
            <v>Achieved the PLO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ry"/>
      <sheetName val="Theory (Activity sheet)"/>
      <sheetName val="Rubrics "/>
    </sheetNames>
    <sheetDataSet>
      <sheetData sheetId="0">
        <row r="1">
          <cell r="A1" t="str">
            <v>MNS - UNIVERSITY OF ENGINEERING AND TECHNOLOGY MULTAN</v>
          </cell>
        </row>
        <row r="3">
          <cell r="B3" t="str">
            <v>BS Information Technology</v>
          </cell>
          <cell r="H3" t="str">
            <v>1st  Semester</v>
          </cell>
        </row>
        <row r="4">
          <cell r="B4" t="str">
            <v>Fall-2023-2027 (Evening-A)</v>
          </cell>
          <cell r="H4" t="str">
            <v>Fall 2023</v>
          </cell>
        </row>
        <row r="5">
          <cell r="B5" t="str">
            <v>Title (Code):   Functional English  (ENG-115)</v>
          </cell>
          <cell r="H5" t="str">
            <v>Hina Zulfiqar</v>
          </cell>
        </row>
        <row r="25">
          <cell r="A25" t="str">
            <v>2023-IT-01</v>
          </cell>
          <cell r="B25" t="str">
            <v>Rahma Noor</v>
          </cell>
          <cell r="D25">
            <v>6</v>
          </cell>
          <cell r="E25">
            <v>10</v>
          </cell>
          <cell r="F25">
            <v>9</v>
          </cell>
          <cell r="G25">
            <v>26</v>
          </cell>
          <cell r="H25">
            <v>8</v>
          </cell>
          <cell r="J25" t="str">
            <v>C+</v>
          </cell>
        </row>
        <row r="26">
          <cell r="A26" t="str">
            <v>2023-IT-02</v>
          </cell>
          <cell r="B26" t="str">
            <v>Alishba Manzoor</v>
          </cell>
          <cell r="D26">
            <v>4</v>
          </cell>
          <cell r="E26">
            <v>9</v>
          </cell>
          <cell r="F26">
            <v>5</v>
          </cell>
          <cell r="G26">
            <v>14</v>
          </cell>
          <cell r="H26">
            <v>8</v>
          </cell>
          <cell r="J26" t="str">
            <v>C-</v>
          </cell>
        </row>
        <row r="27">
          <cell r="A27" t="str">
            <v>2023-IT-03</v>
          </cell>
          <cell r="B27" t="str">
            <v>Maheen Fatima</v>
          </cell>
          <cell r="D27">
            <v>6</v>
          </cell>
          <cell r="E27">
            <v>12</v>
          </cell>
          <cell r="F27">
            <v>7</v>
          </cell>
          <cell r="G27">
            <v>28</v>
          </cell>
          <cell r="H27">
            <v>8</v>
          </cell>
          <cell r="J27" t="str">
            <v>B-</v>
          </cell>
        </row>
        <row r="28">
          <cell r="A28" t="str">
            <v>2023-IT-04</v>
          </cell>
          <cell r="B28" t="str">
            <v>Aneela</v>
          </cell>
          <cell r="D28">
            <v>7</v>
          </cell>
          <cell r="E28">
            <v>21</v>
          </cell>
          <cell r="F28">
            <v>8</v>
          </cell>
          <cell r="G28">
            <v>30</v>
          </cell>
          <cell r="H28">
            <v>8</v>
          </cell>
          <cell r="J28" t="str">
            <v>B+</v>
          </cell>
        </row>
        <row r="29">
          <cell r="A29" t="str">
            <v>2023-IT-05</v>
          </cell>
          <cell r="B29" t="str">
            <v>Alishba Saleem</v>
          </cell>
          <cell r="D29">
            <v>8</v>
          </cell>
          <cell r="E29">
            <v>16</v>
          </cell>
          <cell r="F29">
            <v>8</v>
          </cell>
          <cell r="G29">
            <v>24</v>
          </cell>
          <cell r="H29">
            <v>8</v>
          </cell>
          <cell r="J29" t="str">
            <v>B-</v>
          </cell>
        </row>
        <row r="30">
          <cell r="A30" t="str">
            <v>2023-IT-06</v>
          </cell>
          <cell r="B30" t="str">
            <v>Mehak Asghar</v>
          </cell>
          <cell r="D30">
            <v>8</v>
          </cell>
          <cell r="E30">
            <v>20</v>
          </cell>
          <cell r="F30">
            <v>8</v>
          </cell>
          <cell r="G30">
            <v>29</v>
          </cell>
          <cell r="H30">
            <v>8</v>
          </cell>
          <cell r="J30" t="str">
            <v>B+</v>
          </cell>
        </row>
        <row r="31">
          <cell r="A31" t="str">
            <v>2023-IT-07</v>
          </cell>
          <cell r="B31" t="str">
            <v>Humaira Afzal</v>
          </cell>
          <cell r="D31">
            <v>9</v>
          </cell>
          <cell r="E31">
            <v>20</v>
          </cell>
          <cell r="F31">
            <v>9</v>
          </cell>
          <cell r="G31">
            <v>32</v>
          </cell>
          <cell r="H31">
            <v>8</v>
          </cell>
          <cell r="J31" t="str">
            <v>A-</v>
          </cell>
        </row>
        <row r="32">
          <cell r="A32" t="str">
            <v>2023-IT-08</v>
          </cell>
          <cell r="B32" t="str">
            <v>Saleena Khan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 t="str">
            <v>F</v>
          </cell>
        </row>
        <row r="33">
          <cell r="A33" t="str">
            <v>2023-IT-10</v>
          </cell>
          <cell r="B33" t="str">
            <v>Asad Ullah</v>
          </cell>
          <cell r="D33">
            <v>6</v>
          </cell>
          <cell r="E33">
            <v>15</v>
          </cell>
          <cell r="F33">
            <v>9</v>
          </cell>
          <cell r="G33">
            <v>29</v>
          </cell>
          <cell r="H33">
            <v>7</v>
          </cell>
          <cell r="J33" t="str">
            <v>B</v>
          </cell>
        </row>
        <row r="34">
          <cell r="A34" t="str">
            <v>2023-IT-11</v>
          </cell>
          <cell r="B34" t="str">
            <v>Rana Talha dawood</v>
          </cell>
          <cell r="D34">
            <v>7</v>
          </cell>
          <cell r="E34">
            <v>18</v>
          </cell>
          <cell r="F34">
            <v>9</v>
          </cell>
          <cell r="G34">
            <v>32</v>
          </cell>
          <cell r="H34">
            <v>8</v>
          </cell>
          <cell r="J34" t="str">
            <v>B+</v>
          </cell>
        </row>
        <row r="35">
          <cell r="A35" t="str">
            <v>2023-IT-12</v>
          </cell>
          <cell r="B35" t="str">
            <v>Ali Ahmad</v>
          </cell>
          <cell r="D35">
            <v>4</v>
          </cell>
          <cell r="E35">
            <v>15</v>
          </cell>
          <cell r="F35">
            <v>9</v>
          </cell>
          <cell r="G35">
            <v>27</v>
          </cell>
          <cell r="H35">
            <v>7</v>
          </cell>
          <cell r="J35" t="str">
            <v>B-</v>
          </cell>
        </row>
        <row r="36">
          <cell r="A36" t="str">
            <v>2023-IT-13</v>
          </cell>
          <cell r="B36" t="str">
            <v>Muhammad Daud</v>
          </cell>
          <cell r="D36">
            <v>10</v>
          </cell>
          <cell r="E36">
            <v>17</v>
          </cell>
          <cell r="F36">
            <v>7</v>
          </cell>
          <cell r="G36">
            <v>28</v>
          </cell>
          <cell r="H36">
            <v>7</v>
          </cell>
          <cell r="J36" t="str">
            <v>B</v>
          </cell>
        </row>
        <row r="37">
          <cell r="A37" t="str">
            <v>2023-IT-14</v>
          </cell>
          <cell r="B37" t="str">
            <v>Mursil Mateen</v>
          </cell>
          <cell r="D37">
            <v>9</v>
          </cell>
          <cell r="E37">
            <v>15</v>
          </cell>
          <cell r="F37">
            <v>10</v>
          </cell>
          <cell r="G37">
            <v>28</v>
          </cell>
          <cell r="H37">
            <v>8</v>
          </cell>
          <cell r="J37" t="str">
            <v>B</v>
          </cell>
        </row>
        <row r="38">
          <cell r="A38" t="str">
            <v>2023-IT-16</v>
          </cell>
          <cell r="B38" t="str">
            <v>Muhammad Usman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 t="str">
            <v>F</v>
          </cell>
        </row>
        <row r="39">
          <cell r="A39" t="str">
            <v>2023-IT-18</v>
          </cell>
          <cell r="B39" t="str">
            <v>Adeel Maqbool</v>
          </cell>
          <cell r="D39">
            <v>9</v>
          </cell>
          <cell r="E39">
            <v>20</v>
          </cell>
          <cell r="F39">
            <v>8</v>
          </cell>
          <cell r="G39">
            <v>23</v>
          </cell>
          <cell r="H39">
            <v>8</v>
          </cell>
          <cell r="J39" t="str">
            <v>B</v>
          </cell>
        </row>
        <row r="40">
          <cell r="A40" t="str">
            <v>2023-IT-20</v>
          </cell>
          <cell r="B40" t="str">
            <v>Husnain Saleem</v>
          </cell>
          <cell r="D40">
            <v>7</v>
          </cell>
          <cell r="E40">
            <v>18</v>
          </cell>
          <cell r="F40">
            <v>10</v>
          </cell>
          <cell r="G40">
            <v>29</v>
          </cell>
          <cell r="H40">
            <v>8</v>
          </cell>
          <cell r="J40" t="str">
            <v>B+</v>
          </cell>
        </row>
        <row r="41">
          <cell r="A41" t="str">
            <v>2023-IT-22</v>
          </cell>
          <cell r="B41" t="str">
            <v>Muhammad Sameer</v>
          </cell>
          <cell r="D41">
            <v>4</v>
          </cell>
          <cell r="E41">
            <v>13</v>
          </cell>
          <cell r="F41">
            <v>9</v>
          </cell>
          <cell r="G41">
            <v>26</v>
          </cell>
          <cell r="H41">
            <v>7</v>
          </cell>
          <cell r="J41" t="str">
            <v>C+</v>
          </cell>
        </row>
        <row r="42">
          <cell r="A42" t="str">
            <v>2023-IT-24</v>
          </cell>
          <cell r="B42" t="str">
            <v>Sher Shah Hussain</v>
          </cell>
          <cell r="D42">
            <v>6</v>
          </cell>
          <cell r="E42">
            <v>14</v>
          </cell>
          <cell r="F42">
            <v>9</v>
          </cell>
          <cell r="G42">
            <v>24</v>
          </cell>
          <cell r="H42">
            <v>8</v>
          </cell>
          <cell r="J42" t="str">
            <v>B-</v>
          </cell>
        </row>
        <row r="43">
          <cell r="A43" t="str">
            <v>2023-IT-26</v>
          </cell>
          <cell r="B43" t="str">
            <v>Abdul Ahad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 t="str">
            <v>F</v>
          </cell>
        </row>
        <row r="44">
          <cell r="A44" t="str">
            <v>2023-IT-28</v>
          </cell>
          <cell r="B44" t="str">
            <v>Ahmad Latif</v>
          </cell>
          <cell r="D44">
            <v>5</v>
          </cell>
          <cell r="E44">
            <v>14</v>
          </cell>
          <cell r="F44">
            <v>10</v>
          </cell>
          <cell r="G44">
            <v>21</v>
          </cell>
          <cell r="H44">
            <v>7</v>
          </cell>
          <cell r="J44" t="str">
            <v>C+</v>
          </cell>
        </row>
        <row r="45">
          <cell r="A45" t="str">
            <v>2023-IT-32</v>
          </cell>
          <cell r="B45" t="str">
            <v>Muhammad Faisal</v>
          </cell>
          <cell r="D45">
            <v>9</v>
          </cell>
          <cell r="E45">
            <v>19</v>
          </cell>
          <cell r="F45">
            <v>8</v>
          </cell>
          <cell r="G45">
            <v>28</v>
          </cell>
          <cell r="H45">
            <v>8</v>
          </cell>
          <cell r="J45" t="str">
            <v>B+</v>
          </cell>
        </row>
        <row r="46">
          <cell r="A46" t="str">
            <v>2023-IT-34</v>
          </cell>
          <cell r="B46" t="str">
            <v>Jamshaid Abbas</v>
          </cell>
          <cell r="D46">
            <v>7</v>
          </cell>
          <cell r="E46">
            <v>10</v>
          </cell>
          <cell r="F46">
            <v>7</v>
          </cell>
          <cell r="G46">
            <v>12</v>
          </cell>
          <cell r="H46">
            <v>8</v>
          </cell>
          <cell r="J46" t="str">
            <v>C-</v>
          </cell>
        </row>
        <row r="47">
          <cell r="A47" t="str">
            <v>2023-IT-38</v>
          </cell>
          <cell r="B47" t="str">
            <v>Sherzaman Bukhari</v>
          </cell>
          <cell r="D47">
            <v>8</v>
          </cell>
          <cell r="E47">
            <v>7</v>
          </cell>
          <cell r="F47">
            <v>8</v>
          </cell>
          <cell r="G47">
            <v>20</v>
          </cell>
          <cell r="H47">
            <v>8</v>
          </cell>
          <cell r="J47" t="str">
            <v>C</v>
          </cell>
        </row>
        <row r="48">
          <cell r="A48" t="str">
            <v>2023-IT-40</v>
          </cell>
          <cell r="B48" t="str">
            <v>Ahmad Raza Shareef</v>
          </cell>
          <cell r="D48">
            <v>4</v>
          </cell>
          <cell r="E48">
            <v>11</v>
          </cell>
          <cell r="F48">
            <v>5</v>
          </cell>
          <cell r="G48">
            <v>28</v>
          </cell>
          <cell r="H48">
            <v>7</v>
          </cell>
          <cell r="J48" t="str">
            <v>C</v>
          </cell>
        </row>
        <row r="49">
          <cell r="A49" t="str">
            <v>2023-IT-41</v>
          </cell>
          <cell r="B49" t="str">
            <v>Anas Noor</v>
          </cell>
          <cell r="D49">
            <v>4</v>
          </cell>
          <cell r="E49">
            <v>1</v>
          </cell>
          <cell r="F49">
            <v>5</v>
          </cell>
          <cell r="G49">
            <v>0</v>
          </cell>
          <cell r="H49">
            <v>7</v>
          </cell>
          <cell r="J49" t="str">
            <v>F</v>
          </cell>
        </row>
        <row r="50">
          <cell r="A50" t="str">
            <v>2023-IT-42</v>
          </cell>
          <cell r="B50" t="str">
            <v>Muhammad Moosa Bhatti</v>
          </cell>
          <cell r="D50">
            <v>6</v>
          </cell>
          <cell r="E50">
            <v>16</v>
          </cell>
          <cell r="F50">
            <v>10</v>
          </cell>
          <cell r="G50">
            <v>23</v>
          </cell>
          <cell r="H50">
            <v>8</v>
          </cell>
          <cell r="J50" t="str">
            <v>B-</v>
          </cell>
        </row>
        <row r="51">
          <cell r="A51" t="str">
            <v>2023-IT-44</v>
          </cell>
          <cell r="B51" t="str">
            <v>Muhammad Nouman Aslam</v>
          </cell>
          <cell r="D51">
            <v>8</v>
          </cell>
          <cell r="E51">
            <v>17</v>
          </cell>
          <cell r="F51">
            <v>6</v>
          </cell>
          <cell r="G51">
            <v>27</v>
          </cell>
          <cell r="H51">
            <v>7</v>
          </cell>
          <cell r="J51" t="str">
            <v>B-</v>
          </cell>
        </row>
        <row r="52">
          <cell r="A52" t="str">
            <v>2023-IT-46</v>
          </cell>
          <cell r="B52" t="str">
            <v>Muhammad Haseeb Anjum</v>
          </cell>
          <cell r="D52">
            <v>10</v>
          </cell>
          <cell r="E52">
            <v>22</v>
          </cell>
          <cell r="F52">
            <v>10</v>
          </cell>
          <cell r="G52">
            <v>32</v>
          </cell>
          <cell r="H52">
            <v>8</v>
          </cell>
          <cell r="J52" t="str">
            <v>A</v>
          </cell>
        </row>
        <row r="53">
          <cell r="A53" t="str">
            <v>2023-IT-48</v>
          </cell>
          <cell r="B53" t="str">
            <v>Muhammad Arslan Waheed</v>
          </cell>
          <cell r="D53">
            <v>7</v>
          </cell>
          <cell r="E53">
            <v>19</v>
          </cell>
          <cell r="F53">
            <v>10</v>
          </cell>
          <cell r="G53">
            <v>22</v>
          </cell>
          <cell r="H53">
            <v>8</v>
          </cell>
          <cell r="J53" t="str">
            <v>B</v>
          </cell>
        </row>
        <row r="54">
          <cell r="A54" t="str">
            <v>2023-IT-50</v>
          </cell>
          <cell r="B54" t="str">
            <v>Hafiz Muhammad Hasnain Saif</v>
          </cell>
          <cell r="D54">
            <v>8</v>
          </cell>
          <cell r="E54">
            <v>18</v>
          </cell>
          <cell r="F54">
            <v>8</v>
          </cell>
          <cell r="G54">
            <v>25</v>
          </cell>
          <cell r="H54">
            <v>8</v>
          </cell>
          <cell r="J54" t="str">
            <v>B</v>
          </cell>
        </row>
        <row r="55">
          <cell r="A55" t="str">
            <v>2023-IT-54</v>
          </cell>
          <cell r="B55" t="str">
            <v>Muhammad Zeeshan</v>
          </cell>
          <cell r="D55">
            <v>10</v>
          </cell>
          <cell r="E55">
            <v>19</v>
          </cell>
          <cell r="F55">
            <v>10</v>
          </cell>
          <cell r="G55">
            <v>23</v>
          </cell>
          <cell r="H55">
            <v>8</v>
          </cell>
          <cell r="J55" t="str">
            <v>B</v>
          </cell>
        </row>
        <row r="56">
          <cell r="A56" t="str">
            <v>2023-IT-56</v>
          </cell>
          <cell r="B56" t="str">
            <v>Muhammad Adeel</v>
          </cell>
          <cell r="D56">
            <v>6</v>
          </cell>
          <cell r="E56">
            <v>15</v>
          </cell>
          <cell r="F56">
            <v>6</v>
          </cell>
          <cell r="G56">
            <v>22</v>
          </cell>
          <cell r="H56">
            <v>7</v>
          </cell>
          <cell r="J56" t="str">
            <v>C+</v>
          </cell>
        </row>
        <row r="57">
          <cell r="A57" t="str">
            <v>2023-IT-60</v>
          </cell>
          <cell r="B57" t="str">
            <v>Mughees Ahmad</v>
          </cell>
          <cell r="D57">
            <v>5</v>
          </cell>
          <cell r="E57">
            <v>20</v>
          </cell>
          <cell r="F57">
            <v>9</v>
          </cell>
          <cell r="G57">
            <v>24</v>
          </cell>
          <cell r="H57">
            <v>8</v>
          </cell>
          <cell r="J57" t="str">
            <v>B</v>
          </cell>
        </row>
        <row r="58">
          <cell r="A58" t="str">
            <v>2023-IT-62</v>
          </cell>
          <cell r="B58" t="str">
            <v>Muhammad Azeem</v>
          </cell>
          <cell r="D58">
            <v>7</v>
          </cell>
          <cell r="E58">
            <v>21</v>
          </cell>
          <cell r="F58">
            <v>9</v>
          </cell>
          <cell r="G58">
            <v>31</v>
          </cell>
          <cell r="H58">
            <v>8</v>
          </cell>
          <cell r="J58" t="str">
            <v>B+</v>
          </cell>
        </row>
        <row r="59">
          <cell r="A59" t="str">
            <v>2023-IT-64</v>
          </cell>
          <cell r="B59" t="str">
            <v>Abdul Ahad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 t="str">
            <v>F</v>
          </cell>
        </row>
        <row r="60">
          <cell r="A60" t="str">
            <v>2023-IT-66</v>
          </cell>
          <cell r="B60" t="str">
            <v>Muhammad Haris Javed</v>
          </cell>
          <cell r="D60">
            <v>9</v>
          </cell>
          <cell r="E60">
            <v>18</v>
          </cell>
          <cell r="F60">
            <v>10</v>
          </cell>
          <cell r="G60">
            <v>33</v>
          </cell>
          <cell r="H60">
            <v>8</v>
          </cell>
          <cell r="J60" t="str">
            <v>A-</v>
          </cell>
        </row>
        <row r="61">
          <cell r="A61" t="str">
            <v>2023-IT-68</v>
          </cell>
          <cell r="B61" t="str">
            <v>Muhammad Mubashir</v>
          </cell>
          <cell r="D61">
            <v>7</v>
          </cell>
          <cell r="E61">
            <v>19</v>
          </cell>
          <cell r="F61">
            <v>7</v>
          </cell>
          <cell r="G61">
            <v>26</v>
          </cell>
          <cell r="H61">
            <v>8</v>
          </cell>
          <cell r="J61" t="str">
            <v>B</v>
          </cell>
        </row>
        <row r="62">
          <cell r="A62" t="str">
            <v>2023-IT-70</v>
          </cell>
          <cell r="B62" t="str">
            <v>Muhammad Usama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 t="str">
            <v>F</v>
          </cell>
        </row>
        <row r="63">
          <cell r="A63" t="str">
            <v>2023-IT-72</v>
          </cell>
          <cell r="B63" t="str">
            <v>Muhammad Zohaib Akhtar</v>
          </cell>
          <cell r="D63">
            <v>7</v>
          </cell>
          <cell r="E63">
            <v>19</v>
          </cell>
          <cell r="F63">
            <v>10</v>
          </cell>
          <cell r="G63">
            <v>29</v>
          </cell>
          <cell r="H63">
            <v>7</v>
          </cell>
          <cell r="J63" t="str">
            <v>B+</v>
          </cell>
        </row>
        <row r="64">
          <cell r="A64" t="str">
            <v>2023-IT-74</v>
          </cell>
          <cell r="B64" t="str">
            <v>Ashir Mudassir</v>
          </cell>
          <cell r="D64">
            <v>5</v>
          </cell>
          <cell r="E64">
            <v>17</v>
          </cell>
          <cell r="F64">
            <v>9</v>
          </cell>
          <cell r="G64">
            <v>31</v>
          </cell>
          <cell r="H64">
            <v>8</v>
          </cell>
          <cell r="J64" t="str">
            <v>B</v>
          </cell>
        </row>
        <row r="65">
          <cell r="A65" t="str">
            <v>2023-IT-76</v>
          </cell>
          <cell r="B65" t="str">
            <v>Rao Usama</v>
          </cell>
          <cell r="D65">
            <v>8</v>
          </cell>
          <cell r="E65">
            <v>11</v>
          </cell>
          <cell r="F65">
            <v>8</v>
          </cell>
          <cell r="G65">
            <v>23</v>
          </cell>
          <cell r="H65">
            <v>8</v>
          </cell>
          <cell r="J65" t="str">
            <v>C+</v>
          </cell>
        </row>
        <row r="66">
          <cell r="A66" t="str">
            <v>2023-IT-78</v>
          </cell>
          <cell r="B66" t="str">
            <v>Muhammad Zaman</v>
          </cell>
          <cell r="D66">
            <v>5</v>
          </cell>
          <cell r="E66">
            <v>17</v>
          </cell>
          <cell r="F66">
            <v>7</v>
          </cell>
          <cell r="G66">
            <v>27</v>
          </cell>
          <cell r="H66">
            <v>8</v>
          </cell>
          <cell r="J66" t="str">
            <v>B-</v>
          </cell>
        </row>
        <row r="67">
          <cell r="A67" t="str">
            <v>2023-IT-79</v>
          </cell>
          <cell r="B67" t="str">
            <v>Iqra Moeen</v>
          </cell>
          <cell r="D67">
            <v>4</v>
          </cell>
          <cell r="E67">
            <v>7</v>
          </cell>
          <cell r="F67">
            <v>6</v>
          </cell>
          <cell r="G67">
            <v>27</v>
          </cell>
          <cell r="H67">
            <v>8</v>
          </cell>
          <cell r="J67" t="str">
            <v>C</v>
          </cell>
        </row>
        <row r="68">
          <cell r="A68" t="str">
            <v>2023-IT-80</v>
          </cell>
          <cell r="B68" t="str">
            <v>Ali Raza</v>
          </cell>
          <cell r="D68">
            <v>5</v>
          </cell>
          <cell r="E68">
            <v>19</v>
          </cell>
          <cell r="F68">
            <v>6</v>
          </cell>
          <cell r="G68">
            <v>28</v>
          </cell>
          <cell r="H68">
            <v>7</v>
          </cell>
          <cell r="J68" t="str">
            <v>B-</v>
          </cell>
        </row>
      </sheetData>
      <sheetData sheetId="1">
        <row r="69">
          <cell r="D69" t="str">
            <v>Achieved the PLO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 Network"/>
      <sheetName val="OBE Sheet"/>
      <sheetName val="CLO &amp; PLO"/>
    </sheetNames>
    <sheetDataSet>
      <sheetData sheetId="0">
        <row r="5">
          <cell r="B5" t="str">
            <v>Title (Code):  Computer Networks (IT-123)</v>
          </cell>
          <cell r="H5" t="str">
            <v>Name: Mr. Arbab Haider</v>
          </cell>
        </row>
        <row r="26">
          <cell r="A26" t="str">
            <v>2023-IT-01</v>
          </cell>
          <cell r="B26" t="str">
            <v>Rahma Noor</v>
          </cell>
          <cell r="D26">
            <v>10</v>
          </cell>
          <cell r="E26">
            <v>16</v>
          </cell>
          <cell r="F26">
            <v>9</v>
          </cell>
          <cell r="G26">
            <v>30</v>
          </cell>
          <cell r="H26">
            <v>9</v>
          </cell>
        </row>
        <row r="27">
          <cell r="A27" t="str">
            <v>2023-IT-02</v>
          </cell>
          <cell r="B27" t="str">
            <v>Alishba Manzoor</v>
          </cell>
          <cell r="D27">
            <v>9</v>
          </cell>
          <cell r="E27">
            <v>14</v>
          </cell>
          <cell r="F27">
            <v>10</v>
          </cell>
          <cell r="G27">
            <v>21</v>
          </cell>
          <cell r="H27">
            <v>9</v>
          </cell>
        </row>
        <row r="28">
          <cell r="A28" t="str">
            <v>2023-IT-03</v>
          </cell>
          <cell r="B28" t="str">
            <v>Maheen Fatima</v>
          </cell>
          <cell r="D28">
            <v>9</v>
          </cell>
          <cell r="E28">
            <v>15</v>
          </cell>
          <cell r="F28">
            <v>9</v>
          </cell>
          <cell r="G28">
            <v>29</v>
          </cell>
          <cell r="H28">
            <v>8</v>
          </cell>
        </row>
        <row r="29">
          <cell r="A29" t="str">
            <v>2023-IT-04</v>
          </cell>
          <cell r="B29" t="str">
            <v>Aneela</v>
          </cell>
          <cell r="D29">
            <v>9</v>
          </cell>
          <cell r="E29">
            <v>16</v>
          </cell>
          <cell r="F29">
            <v>10</v>
          </cell>
          <cell r="G29">
            <v>29</v>
          </cell>
          <cell r="H29">
            <v>7</v>
          </cell>
        </row>
        <row r="30">
          <cell r="A30" t="str">
            <v>2023-IT-05</v>
          </cell>
          <cell r="B30" t="str">
            <v>Alishba Saleem</v>
          </cell>
          <cell r="D30">
            <v>10</v>
          </cell>
          <cell r="E30">
            <v>15</v>
          </cell>
          <cell r="F30">
            <v>4</v>
          </cell>
          <cell r="G30">
            <v>28</v>
          </cell>
          <cell r="H30">
            <v>9</v>
          </cell>
        </row>
        <row r="31">
          <cell r="A31" t="str">
            <v>2023-IT-06</v>
          </cell>
          <cell r="B31" t="str">
            <v>Mehak Asghar</v>
          </cell>
          <cell r="D31">
            <v>7</v>
          </cell>
          <cell r="E31">
            <v>21</v>
          </cell>
          <cell r="F31">
            <v>9</v>
          </cell>
          <cell r="G31">
            <v>35</v>
          </cell>
          <cell r="H31">
            <v>9</v>
          </cell>
        </row>
        <row r="32">
          <cell r="A32" t="str">
            <v>2023-IT-07</v>
          </cell>
          <cell r="B32" t="str">
            <v>Humaira Afzal</v>
          </cell>
          <cell r="D32">
            <v>8</v>
          </cell>
          <cell r="E32">
            <v>23</v>
          </cell>
          <cell r="F32">
            <v>10</v>
          </cell>
          <cell r="G32">
            <v>31</v>
          </cell>
          <cell r="H32">
            <v>6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8</v>
          </cell>
          <cell r="E34">
            <v>13</v>
          </cell>
          <cell r="F34">
            <v>9</v>
          </cell>
          <cell r="G34">
            <v>18</v>
          </cell>
          <cell r="H34">
            <v>8</v>
          </cell>
        </row>
        <row r="35">
          <cell r="A35" t="str">
            <v>2023-IT-11</v>
          </cell>
          <cell r="B35" t="str">
            <v>Rana Talha dawood</v>
          </cell>
          <cell r="D35">
            <v>9</v>
          </cell>
          <cell r="E35">
            <v>22</v>
          </cell>
          <cell r="F35">
            <v>5</v>
          </cell>
          <cell r="G35">
            <v>25</v>
          </cell>
          <cell r="H35">
            <v>7</v>
          </cell>
        </row>
        <row r="36">
          <cell r="A36" t="str">
            <v>2023-IT-12</v>
          </cell>
          <cell r="B36" t="str">
            <v>Ali Ahmad</v>
          </cell>
          <cell r="D36">
            <v>7</v>
          </cell>
          <cell r="E36">
            <v>13</v>
          </cell>
          <cell r="F36">
            <v>6</v>
          </cell>
          <cell r="G36">
            <v>22</v>
          </cell>
          <cell r="H36">
            <v>8</v>
          </cell>
        </row>
        <row r="37">
          <cell r="A37" t="str">
            <v>2023-IT-13</v>
          </cell>
          <cell r="B37" t="str">
            <v>Muhammad Daud</v>
          </cell>
          <cell r="D37">
            <v>8</v>
          </cell>
          <cell r="E37">
            <v>16</v>
          </cell>
          <cell r="F37">
            <v>7</v>
          </cell>
          <cell r="G37">
            <v>28</v>
          </cell>
          <cell r="H37">
            <v>8</v>
          </cell>
        </row>
        <row r="38">
          <cell r="A38" t="str">
            <v>2023-IT-14</v>
          </cell>
          <cell r="B38" t="str">
            <v>Mursil Mateen</v>
          </cell>
          <cell r="D38">
            <v>9</v>
          </cell>
          <cell r="E38">
            <v>18</v>
          </cell>
          <cell r="F38">
            <v>8</v>
          </cell>
          <cell r="G38">
            <v>31</v>
          </cell>
          <cell r="H38">
            <v>7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2023-IT-18</v>
          </cell>
          <cell r="B40" t="str">
            <v>Adeel Maqbool</v>
          </cell>
          <cell r="D40">
            <v>10</v>
          </cell>
          <cell r="E40">
            <v>16</v>
          </cell>
          <cell r="F40">
            <v>8</v>
          </cell>
          <cell r="G40">
            <v>27</v>
          </cell>
          <cell r="H40">
            <v>5</v>
          </cell>
        </row>
        <row r="41">
          <cell r="A41" t="str">
            <v>2023-IT-20</v>
          </cell>
          <cell r="B41" t="str">
            <v>Husnain Saleem</v>
          </cell>
          <cell r="D41">
            <v>9</v>
          </cell>
          <cell r="E41">
            <v>18</v>
          </cell>
          <cell r="F41">
            <v>9</v>
          </cell>
          <cell r="G41">
            <v>31</v>
          </cell>
          <cell r="H41">
            <v>6</v>
          </cell>
        </row>
        <row r="42">
          <cell r="A42" t="str">
            <v>2023-IT-22</v>
          </cell>
          <cell r="B42" t="str">
            <v>Muhammad Sameer</v>
          </cell>
          <cell r="D42">
            <v>9</v>
          </cell>
          <cell r="E42">
            <v>17</v>
          </cell>
          <cell r="F42">
            <v>6</v>
          </cell>
          <cell r="G42">
            <v>26</v>
          </cell>
          <cell r="H42">
            <v>7</v>
          </cell>
        </row>
        <row r="43">
          <cell r="A43" t="str">
            <v>2023-IT-24</v>
          </cell>
          <cell r="B43" t="str">
            <v>Sher Shah Hussain</v>
          </cell>
          <cell r="D43">
            <v>8</v>
          </cell>
          <cell r="E43">
            <v>20</v>
          </cell>
          <cell r="F43">
            <v>6</v>
          </cell>
          <cell r="G43">
            <v>23</v>
          </cell>
          <cell r="H43">
            <v>6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9</v>
          </cell>
          <cell r="E45">
            <v>15</v>
          </cell>
          <cell r="F45">
            <v>8</v>
          </cell>
          <cell r="G45">
            <v>24</v>
          </cell>
          <cell r="H45">
            <v>6</v>
          </cell>
        </row>
        <row r="46">
          <cell r="A46" t="str">
            <v>2023-IT-32</v>
          </cell>
          <cell r="B46" t="str">
            <v>Muhammad Faisal</v>
          </cell>
          <cell r="D46">
            <v>8</v>
          </cell>
          <cell r="E46">
            <v>17</v>
          </cell>
          <cell r="F46">
            <v>7</v>
          </cell>
          <cell r="G46">
            <v>31</v>
          </cell>
          <cell r="H46">
            <v>7</v>
          </cell>
        </row>
        <row r="47">
          <cell r="A47" t="str">
            <v>2023-IT-34</v>
          </cell>
          <cell r="B47" t="str">
            <v>Jamshaid Abbas</v>
          </cell>
          <cell r="D47">
            <v>10</v>
          </cell>
          <cell r="E47">
            <v>15</v>
          </cell>
          <cell r="F47">
            <v>8</v>
          </cell>
          <cell r="G47">
            <v>13</v>
          </cell>
          <cell r="H47">
            <v>5</v>
          </cell>
        </row>
        <row r="48">
          <cell r="A48" t="str">
            <v>2023-IT-38</v>
          </cell>
          <cell r="B48" t="str">
            <v>Sherzaman Bukhari</v>
          </cell>
          <cell r="D48">
            <v>9</v>
          </cell>
          <cell r="E48">
            <v>9</v>
          </cell>
          <cell r="F48">
            <v>8</v>
          </cell>
          <cell r="G48">
            <v>25</v>
          </cell>
          <cell r="H48">
            <v>7</v>
          </cell>
        </row>
        <row r="49">
          <cell r="A49" t="str">
            <v>2023-IT-40</v>
          </cell>
          <cell r="B49" t="str">
            <v>Ahmad Raza Shareef</v>
          </cell>
          <cell r="D49">
            <v>8</v>
          </cell>
          <cell r="E49">
            <v>16</v>
          </cell>
          <cell r="F49">
            <v>9</v>
          </cell>
          <cell r="G49">
            <v>24</v>
          </cell>
          <cell r="H49">
            <v>5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8</v>
          </cell>
          <cell r="E51">
            <v>12</v>
          </cell>
          <cell r="F51">
            <v>8</v>
          </cell>
          <cell r="G51">
            <v>20</v>
          </cell>
          <cell r="H51">
            <v>9</v>
          </cell>
        </row>
        <row r="52">
          <cell r="A52" t="str">
            <v>2023-IT-44</v>
          </cell>
          <cell r="B52" t="str">
            <v>Muhammad Nouman Aslam</v>
          </cell>
          <cell r="D52">
            <v>9</v>
          </cell>
          <cell r="E52">
            <v>16</v>
          </cell>
          <cell r="F52">
            <v>9</v>
          </cell>
          <cell r="G52">
            <v>30</v>
          </cell>
          <cell r="H52">
            <v>8</v>
          </cell>
        </row>
        <row r="53">
          <cell r="A53" t="str">
            <v>2023-IT-46</v>
          </cell>
          <cell r="B53" t="str">
            <v>Muhammad Haseeb Anjum</v>
          </cell>
          <cell r="D53">
            <v>10</v>
          </cell>
          <cell r="E53">
            <v>20</v>
          </cell>
          <cell r="F53">
            <v>5</v>
          </cell>
          <cell r="G53">
            <v>31</v>
          </cell>
          <cell r="H53">
            <v>6</v>
          </cell>
        </row>
        <row r="54">
          <cell r="A54" t="str">
            <v>2023-IT-48</v>
          </cell>
          <cell r="B54" t="str">
            <v>Muhammad Arslan Waheed</v>
          </cell>
          <cell r="D54">
            <v>9</v>
          </cell>
          <cell r="E54">
            <v>21</v>
          </cell>
          <cell r="F54">
            <v>9</v>
          </cell>
          <cell r="G54">
            <v>23</v>
          </cell>
          <cell r="H54">
            <v>8</v>
          </cell>
        </row>
        <row r="55">
          <cell r="A55" t="str">
            <v>2023-IT-50</v>
          </cell>
          <cell r="B55" t="str">
            <v>Hafiz Muhammad Hasnain Saif</v>
          </cell>
          <cell r="D55">
            <v>7</v>
          </cell>
          <cell r="E55">
            <v>19</v>
          </cell>
          <cell r="F55">
            <v>6</v>
          </cell>
          <cell r="G55">
            <v>31</v>
          </cell>
          <cell r="H55">
            <v>7</v>
          </cell>
        </row>
        <row r="56">
          <cell r="A56" t="str">
            <v>2023-IT-54</v>
          </cell>
          <cell r="B56" t="str">
            <v>Muhammad Zeeshan</v>
          </cell>
          <cell r="D56">
            <v>9</v>
          </cell>
          <cell r="E56">
            <v>19</v>
          </cell>
          <cell r="F56">
            <v>8</v>
          </cell>
          <cell r="G56">
            <v>25</v>
          </cell>
          <cell r="H56">
            <v>8</v>
          </cell>
        </row>
        <row r="57">
          <cell r="A57" t="str">
            <v>2023-IT-56</v>
          </cell>
          <cell r="B57" t="str">
            <v>Muhammad Adeel</v>
          </cell>
          <cell r="D57">
            <v>9</v>
          </cell>
          <cell r="E57">
            <v>15</v>
          </cell>
          <cell r="F57">
            <v>8</v>
          </cell>
          <cell r="G57">
            <v>17</v>
          </cell>
          <cell r="H57">
            <v>4</v>
          </cell>
        </row>
        <row r="58">
          <cell r="A58" t="str">
            <v>2023-IT-60</v>
          </cell>
          <cell r="B58" t="str">
            <v>Mughees Ahmad</v>
          </cell>
          <cell r="D58">
            <v>7</v>
          </cell>
          <cell r="E58">
            <v>16</v>
          </cell>
          <cell r="F58">
            <v>6</v>
          </cell>
          <cell r="G58">
            <v>28</v>
          </cell>
          <cell r="H58">
            <v>7</v>
          </cell>
        </row>
        <row r="59">
          <cell r="A59" t="str">
            <v>2023-IT-62</v>
          </cell>
          <cell r="B59" t="str">
            <v>Muhammad Azeem</v>
          </cell>
          <cell r="D59">
            <v>10</v>
          </cell>
          <cell r="E59">
            <v>15</v>
          </cell>
          <cell r="F59">
            <v>6</v>
          </cell>
          <cell r="G59">
            <v>28</v>
          </cell>
          <cell r="H59">
            <v>7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9</v>
          </cell>
          <cell r="E61">
            <v>15</v>
          </cell>
          <cell r="F61">
            <v>7</v>
          </cell>
          <cell r="G61">
            <v>29</v>
          </cell>
          <cell r="H61">
            <v>8</v>
          </cell>
        </row>
        <row r="62">
          <cell r="A62" t="str">
            <v>2023-IT-68</v>
          </cell>
          <cell r="B62" t="str">
            <v>Muhammad Mubashir</v>
          </cell>
          <cell r="D62">
            <v>9</v>
          </cell>
          <cell r="E62">
            <v>20</v>
          </cell>
          <cell r="F62">
            <v>6</v>
          </cell>
          <cell r="G62">
            <v>31</v>
          </cell>
          <cell r="H62">
            <v>8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8</v>
          </cell>
          <cell r="E64">
            <v>19</v>
          </cell>
          <cell r="F64">
            <v>9</v>
          </cell>
          <cell r="G64">
            <v>23</v>
          </cell>
          <cell r="H64">
            <v>7</v>
          </cell>
        </row>
        <row r="65">
          <cell r="A65" t="str">
            <v>2023-IT-74</v>
          </cell>
          <cell r="B65" t="str">
            <v>Ashir Mudassir</v>
          </cell>
          <cell r="D65">
            <v>9</v>
          </cell>
          <cell r="E65">
            <v>17</v>
          </cell>
          <cell r="F65">
            <v>6</v>
          </cell>
          <cell r="G65">
            <v>28</v>
          </cell>
          <cell r="H65">
            <v>6</v>
          </cell>
        </row>
        <row r="66">
          <cell r="A66" t="str">
            <v>2023-IT-76</v>
          </cell>
          <cell r="B66" t="str">
            <v>Rao Usama</v>
          </cell>
          <cell r="D66">
            <v>7</v>
          </cell>
          <cell r="E66">
            <v>10</v>
          </cell>
          <cell r="F66">
            <v>8</v>
          </cell>
          <cell r="G66">
            <v>26</v>
          </cell>
          <cell r="H66">
            <v>6</v>
          </cell>
        </row>
        <row r="67">
          <cell r="A67" t="str">
            <v>2023-IT-78</v>
          </cell>
          <cell r="B67" t="str">
            <v>Muhammad Zaman</v>
          </cell>
          <cell r="D67">
            <v>6</v>
          </cell>
          <cell r="E67">
            <v>12</v>
          </cell>
          <cell r="F67">
            <v>8</v>
          </cell>
          <cell r="G67">
            <v>20</v>
          </cell>
          <cell r="H67">
            <v>7</v>
          </cell>
        </row>
        <row r="68">
          <cell r="A68" t="str">
            <v>2023-IT-79</v>
          </cell>
          <cell r="B68" t="str">
            <v>Iqra Moeen</v>
          </cell>
          <cell r="D68">
            <v>6</v>
          </cell>
          <cell r="E68">
            <v>12</v>
          </cell>
          <cell r="F68">
            <v>7</v>
          </cell>
          <cell r="G68">
            <v>26</v>
          </cell>
          <cell r="H68">
            <v>5</v>
          </cell>
        </row>
        <row r="69">
          <cell r="A69" t="str">
            <v>2023-IT-80</v>
          </cell>
          <cell r="B69" t="str">
            <v>Ali Raza</v>
          </cell>
          <cell r="D69">
            <v>7</v>
          </cell>
          <cell r="E69">
            <v>18</v>
          </cell>
          <cell r="F69">
            <v>8</v>
          </cell>
          <cell r="G69">
            <v>28</v>
          </cell>
          <cell r="H69">
            <v>8</v>
          </cell>
        </row>
      </sheetData>
      <sheetData sheetId="1" refreshError="1"/>
      <sheetData sheetId="2">
        <row r="1">
          <cell r="A1" t="str">
            <v>CLO1</v>
          </cell>
          <cell r="K1">
            <v>30</v>
          </cell>
          <cell r="N1" t="str">
            <v>PLO1</v>
          </cell>
          <cell r="X1">
            <v>0</v>
          </cell>
        </row>
        <row r="2">
          <cell r="K2">
            <v>40</v>
          </cell>
          <cell r="X2">
            <v>60</v>
          </cell>
        </row>
        <row r="3">
          <cell r="K3">
            <v>20</v>
          </cell>
          <cell r="X3">
            <v>40</v>
          </cell>
        </row>
        <row r="4">
          <cell r="K4">
            <v>10</v>
          </cell>
          <cell r="X4">
            <v>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sitory Writing"/>
      <sheetName val="OBE Sheet"/>
      <sheetName val="CLO &amp; PLO"/>
    </sheetNames>
    <sheetDataSet>
      <sheetData sheetId="0">
        <row r="5">
          <cell r="B5" t="str">
            <v>Title (Code): Expository Writing  (ENG-125)</v>
          </cell>
          <cell r="H5" t="str">
            <v>Name: M. Amir Khan</v>
          </cell>
        </row>
        <row r="26">
          <cell r="A26" t="str">
            <v>2023-IT-01</v>
          </cell>
          <cell r="B26" t="str">
            <v>Rahma Noor</v>
          </cell>
          <cell r="D26">
            <v>4</v>
          </cell>
          <cell r="E26">
            <v>18</v>
          </cell>
          <cell r="F26">
            <v>5</v>
          </cell>
          <cell r="G26">
            <v>20</v>
          </cell>
          <cell r="H26">
            <v>5</v>
          </cell>
        </row>
        <row r="27">
          <cell r="A27" t="str">
            <v>2023-IT-02</v>
          </cell>
          <cell r="B27" t="str">
            <v>Alishba Manzoor</v>
          </cell>
          <cell r="D27">
            <v>3</v>
          </cell>
          <cell r="E27">
            <v>6</v>
          </cell>
          <cell r="F27">
            <v>2</v>
          </cell>
          <cell r="G27">
            <v>18</v>
          </cell>
          <cell r="H27">
            <v>5</v>
          </cell>
        </row>
        <row r="28">
          <cell r="A28" t="str">
            <v>2023-IT-03</v>
          </cell>
          <cell r="B28" t="str">
            <v>Maheen Fatima</v>
          </cell>
          <cell r="D28">
            <v>4</v>
          </cell>
          <cell r="E28">
            <v>12</v>
          </cell>
          <cell r="F28">
            <v>3</v>
          </cell>
          <cell r="G28">
            <v>22</v>
          </cell>
          <cell r="H28">
            <v>5</v>
          </cell>
        </row>
        <row r="29">
          <cell r="A29" t="str">
            <v>2023-IT-04</v>
          </cell>
          <cell r="B29" t="str">
            <v>Aneela</v>
          </cell>
          <cell r="D29">
            <v>4</v>
          </cell>
          <cell r="E29">
            <v>8</v>
          </cell>
          <cell r="F29">
            <v>4</v>
          </cell>
          <cell r="G29">
            <v>22</v>
          </cell>
          <cell r="H29">
            <v>5</v>
          </cell>
        </row>
        <row r="30">
          <cell r="A30" t="str">
            <v>2023-IT-05</v>
          </cell>
          <cell r="B30" t="str">
            <v>Alishba Saleem</v>
          </cell>
          <cell r="D30">
            <v>5</v>
          </cell>
          <cell r="E30">
            <v>6</v>
          </cell>
          <cell r="F30">
            <v>3</v>
          </cell>
          <cell r="G30">
            <v>17</v>
          </cell>
          <cell r="H30">
            <v>6</v>
          </cell>
        </row>
        <row r="31">
          <cell r="A31" t="str">
            <v>2023-IT-06</v>
          </cell>
          <cell r="B31" t="str">
            <v>Mehak Asghar</v>
          </cell>
          <cell r="D31">
            <v>4</v>
          </cell>
          <cell r="E31">
            <v>13</v>
          </cell>
          <cell r="F31">
            <v>4</v>
          </cell>
          <cell r="G31">
            <v>28</v>
          </cell>
          <cell r="H31">
            <v>7</v>
          </cell>
        </row>
        <row r="32">
          <cell r="A32" t="str">
            <v>2023-IT-07</v>
          </cell>
          <cell r="B32" t="str">
            <v>Humaira Afzal</v>
          </cell>
          <cell r="D32">
            <v>5</v>
          </cell>
          <cell r="E32">
            <v>14</v>
          </cell>
          <cell r="F32">
            <v>4</v>
          </cell>
          <cell r="G32">
            <v>29</v>
          </cell>
          <cell r="H32">
            <v>6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6</v>
          </cell>
          <cell r="E34">
            <v>12</v>
          </cell>
          <cell r="F34">
            <v>4</v>
          </cell>
          <cell r="G34">
            <v>28</v>
          </cell>
          <cell r="H34">
            <v>7</v>
          </cell>
        </row>
        <row r="35">
          <cell r="A35" t="str">
            <v>2023-IT-11</v>
          </cell>
          <cell r="B35" t="str">
            <v>Rana Talha dawood</v>
          </cell>
          <cell r="D35">
            <v>4</v>
          </cell>
          <cell r="E35">
            <v>10</v>
          </cell>
          <cell r="F35">
            <v>5</v>
          </cell>
          <cell r="G35">
            <v>24</v>
          </cell>
          <cell r="H35">
            <v>6</v>
          </cell>
        </row>
        <row r="36">
          <cell r="A36" t="str">
            <v>2023-IT-12</v>
          </cell>
          <cell r="B36" t="str">
            <v>Ali Ahmad</v>
          </cell>
          <cell r="D36">
            <v>5</v>
          </cell>
          <cell r="E36">
            <v>6</v>
          </cell>
          <cell r="F36">
            <v>7</v>
          </cell>
          <cell r="G36">
            <v>29</v>
          </cell>
          <cell r="H36">
            <v>7</v>
          </cell>
        </row>
        <row r="37">
          <cell r="A37" t="str">
            <v>2023-IT-13</v>
          </cell>
          <cell r="B37" t="str">
            <v>Muhammad Daud</v>
          </cell>
          <cell r="D37">
            <v>5</v>
          </cell>
          <cell r="E37">
            <v>8</v>
          </cell>
          <cell r="F37">
            <v>5</v>
          </cell>
          <cell r="G37">
            <v>29</v>
          </cell>
          <cell r="H37">
            <v>7</v>
          </cell>
        </row>
        <row r="38">
          <cell r="A38" t="str">
            <v>2023-IT-14</v>
          </cell>
          <cell r="B38" t="str">
            <v>Mursil Mateen</v>
          </cell>
          <cell r="D38">
            <v>6</v>
          </cell>
          <cell r="E38">
            <v>9</v>
          </cell>
          <cell r="F38">
            <v>5</v>
          </cell>
          <cell r="G38">
            <v>28</v>
          </cell>
          <cell r="H38">
            <v>8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7</v>
          </cell>
        </row>
        <row r="40">
          <cell r="A40" t="str">
            <v>2023-IT-18</v>
          </cell>
          <cell r="B40" t="str">
            <v>Adeel Maqbool</v>
          </cell>
          <cell r="D40">
            <v>5</v>
          </cell>
          <cell r="E40">
            <v>4</v>
          </cell>
          <cell r="F40">
            <v>6</v>
          </cell>
          <cell r="G40">
            <v>28</v>
          </cell>
          <cell r="H40">
            <v>8</v>
          </cell>
        </row>
        <row r="41">
          <cell r="A41" t="str">
            <v>2023-IT-20</v>
          </cell>
          <cell r="B41" t="str">
            <v>Husnain Saleem</v>
          </cell>
          <cell r="D41">
            <v>5</v>
          </cell>
          <cell r="E41">
            <v>9</v>
          </cell>
          <cell r="F41">
            <v>5</v>
          </cell>
          <cell r="G41">
            <v>25</v>
          </cell>
          <cell r="H41">
            <v>7</v>
          </cell>
        </row>
        <row r="42">
          <cell r="A42" t="str">
            <v>2023-IT-22</v>
          </cell>
          <cell r="B42" t="str">
            <v>Muhammad Sameer</v>
          </cell>
          <cell r="D42">
            <v>2</v>
          </cell>
          <cell r="E42">
            <v>12</v>
          </cell>
          <cell r="F42">
            <v>6</v>
          </cell>
          <cell r="G42">
            <v>28</v>
          </cell>
          <cell r="H42">
            <v>8</v>
          </cell>
        </row>
        <row r="43">
          <cell r="A43" t="str">
            <v>2023-IT-24</v>
          </cell>
          <cell r="B43" t="str">
            <v>Sher Shah Hussain</v>
          </cell>
          <cell r="D43">
            <v>5</v>
          </cell>
          <cell r="E43">
            <v>18</v>
          </cell>
          <cell r="F43">
            <v>7</v>
          </cell>
          <cell r="G43">
            <v>30</v>
          </cell>
          <cell r="H43">
            <v>8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4</v>
          </cell>
          <cell r="E45">
            <v>20</v>
          </cell>
          <cell r="F45">
            <v>4</v>
          </cell>
          <cell r="G45">
            <v>20</v>
          </cell>
          <cell r="H45">
            <v>6</v>
          </cell>
        </row>
        <row r="46">
          <cell r="A46" t="str">
            <v>2023-IT-32</v>
          </cell>
          <cell r="B46" t="str">
            <v>Muhammad Faisal</v>
          </cell>
          <cell r="D46">
            <v>4</v>
          </cell>
          <cell r="E46">
            <v>8</v>
          </cell>
          <cell r="F46">
            <v>5</v>
          </cell>
          <cell r="G46">
            <v>25</v>
          </cell>
          <cell r="H46">
            <v>5</v>
          </cell>
        </row>
        <row r="47">
          <cell r="A47" t="str">
            <v>2023-IT-34</v>
          </cell>
          <cell r="B47" t="str">
            <v>Jamshaid Abbas</v>
          </cell>
          <cell r="D47">
            <v>4</v>
          </cell>
          <cell r="E47">
            <v>7</v>
          </cell>
          <cell r="F47">
            <v>5</v>
          </cell>
          <cell r="G47">
            <v>25</v>
          </cell>
          <cell r="H47">
            <v>7</v>
          </cell>
        </row>
        <row r="48">
          <cell r="A48" t="str">
            <v>2023-IT-38</v>
          </cell>
          <cell r="B48" t="str">
            <v>Sherzaman Bukhari</v>
          </cell>
          <cell r="D48">
            <v>4</v>
          </cell>
          <cell r="E48">
            <v>6</v>
          </cell>
          <cell r="F48">
            <v>5</v>
          </cell>
          <cell r="G48">
            <v>13</v>
          </cell>
          <cell r="H48">
            <v>6</v>
          </cell>
        </row>
        <row r="49">
          <cell r="A49" t="str">
            <v>2023-IT-40</v>
          </cell>
          <cell r="B49" t="str">
            <v>Ahmad Raza Shareef</v>
          </cell>
          <cell r="D49">
            <v>4</v>
          </cell>
          <cell r="E49">
            <v>8</v>
          </cell>
          <cell r="F49">
            <v>5</v>
          </cell>
          <cell r="G49">
            <v>21</v>
          </cell>
          <cell r="H49">
            <v>5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9</v>
          </cell>
          <cell r="E51">
            <v>8</v>
          </cell>
          <cell r="F51">
            <v>6</v>
          </cell>
          <cell r="G51">
            <v>29</v>
          </cell>
          <cell r="H51">
            <v>8</v>
          </cell>
        </row>
        <row r="52">
          <cell r="A52" t="str">
            <v>2023-IT-44</v>
          </cell>
          <cell r="B52" t="str">
            <v>Muhammad Nouman Aslam</v>
          </cell>
          <cell r="D52">
            <v>7</v>
          </cell>
          <cell r="E52">
            <v>9</v>
          </cell>
          <cell r="F52">
            <v>4</v>
          </cell>
          <cell r="G52">
            <v>20</v>
          </cell>
          <cell r="H52">
            <v>7</v>
          </cell>
        </row>
        <row r="53">
          <cell r="A53" t="str">
            <v>2023-IT-46</v>
          </cell>
          <cell r="B53" t="str">
            <v>Muhammad Haseeb Anjum</v>
          </cell>
          <cell r="D53">
            <v>8</v>
          </cell>
          <cell r="E53">
            <v>14</v>
          </cell>
          <cell r="F53">
            <v>5</v>
          </cell>
          <cell r="G53">
            <v>27</v>
          </cell>
          <cell r="H53">
            <v>7</v>
          </cell>
        </row>
        <row r="54">
          <cell r="A54" t="str">
            <v>2023-IT-48</v>
          </cell>
          <cell r="B54" t="str">
            <v>Muhammad Arslan Waheed</v>
          </cell>
          <cell r="D54">
            <v>5</v>
          </cell>
          <cell r="E54">
            <v>13</v>
          </cell>
          <cell r="F54">
            <v>6</v>
          </cell>
          <cell r="G54">
            <v>27</v>
          </cell>
          <cell r="H54">
            <v>7</v>
          </cell>
        </row>
        <row r="55">
          <cell r="A55" t="str">
            <v>2023-IT-50</v>
          </cell>
          <cell r="B55" t="str">
            <v>Hafiz Muhammad Hasnain Saif</v>
          </cell>
          <cell r="D55">
            <v>6</v>
          </cell>
          <cell r="E55">
            <v>10</v>
          </cell>
          <cell r="F55">
            <v>5</v>
          </cell>
          <cell r="G55">
            <v>28</v>
          </cell>
          <cell r="H55">
            <v>8</v>
          </cell>
        </row>
        <row r="56">
          <cell r="A56" t="str">
            <v>2023-IT-54</v>
          </cell>
          <cell r="B56" t="str">
            <v>Muhammad Zeeshan</v>
          </cell>
          <cell r="D56">
            <v>8</v>
          </cell>
          <cell r="E56">
            <v>20</v>
          </cell>
          <cell r="F56">
            <v>6</v>
          </cell>
          <cell r="G56">
            <v>29</v>
          </cell>
          <cell r="H56">
            <v>8</v>
          </cell>
        </row>
        <row r="57">
          <cell r="A57" t="str">
            <v>2023-IT-56</v>
          </cell>
          <cell r="B57" t="str">
            <v>Muhammad Adeel</v>
          </cell>
          <cell r="D57">
            <v>2</v>
          </cell>
          <cell r="E57">
            <v>12</v>
          </cell>
          <cell r="F57">
            <v>6</v>
          </cell>
          <cell r="G57">
            <v>26</v>
          </cell>
          <cell r="H57">
            <v>7</v>
          </cell>
        </row>
        <row r="58">
          <cell r="A58" t="str">
            <v>2023-IT-60</v>
          </cell>
          <cell r="B58" t="str">
            <v>Mughees Ahmad</v>
          </cell>
          <cell r="D58">
            <v>4</v>
          </cell>
          <cell r="E58">
            <v>10</v>
          </cell>
          <cell r="F58">
            <v>6</v>
          </cell>
          <cell r="G58">
            <v>24</v>
          </cell>
          <cell r="H58">
            <v>6</v>
          </cell>
        </row>
        <row r="59">
          <cell r="A59" t="str">
            <v>2023-IT-62</v>
          </cell>
          <cell r="B59" t="str">
            <v>Muhammad Azeem</v>
          </cell>
          <cell r="D59">
            <v>6</v>
          </cell>
          <cell r="E59">
            <v>12</v>
          </cell>
          <cell r="F59">
            <v>6</v>
          </cell>
          <cell r="G59">
            <v>26</v>
          </cell>
          <cell r="H59">
            <v>6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5</v>
          </cell>
          <cell r="E61">
            <v>19</v>
          </cell>
          <cell r="F61">
            <v>8</v>
          </cell>
          <cell r="G61">
            <v>29</v>
          </cell>
          <cell r="H61">
            <v>7</v>
          </cell>
        </row>
        <row r="62">
          <cell r="A62" t="str">
            <v>2023-IT-68</v>
          </cell>
          <cell r="B62" t="str">
            <v>Muhammad Mubashir</v>
          </cell>
          <cell r="D62">
            <v>6</v>
          </cell>
          <cell r="E62">
            <v>10</v>
          </cell>
          <cell r="F62">
            <v>8</v>
          </cell>
          <cell r="G62">
            <v>28</v>
          </cell>
          <cell r="H62">
            <v>7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7</v>
          </cell>
          <cell r="E64">
            <v>12</v>
          </cell>
          <cell r="F64">
            <v>5</v>
          </cell>
          <cell r="G64">
            <v>28</v>
          </cell>
          <cell r="H64">
            <v>7</v>
          </cell>
        </row>
        <row r="65">
          <cell r="A65" t="str">
            <v>2023-IT-74</v>
          </cell>
          <cell r="B65" t="str">
            <v>Ashir Mudassir</v>
          </cell>
          <cell r="D65">
            <v>8</v>
          </cell>
          <cell r="E65">
            <v>14</v>
          </cell>
          <cell r="F65">
            <v>5</v>
          </cell>
          <cell r="G65">
            <v>26</v>
          </cell>
          <cell r="H65">
            <v>7</v>
          </cell>
        </row>
        <row r="66">
          <cell r="A66" t="str">
            <v>2023-IT-76</v>
          </cell>
          <cell r="B66" t="str">
            <v>Rao Usama</v>
          </cell>
          <cell r="D66">
            <v>5</v>
          </cell>
          <cell r="E66">
            <v>12</v>
          </cell>
          <cell r="F66">
            <v>5</v>
          </cell>
          <cell r="G66">
            <v>23</v>
          </cell>
          <cell r="H66">
            <v>6</v>
          </cell>
        </row>
        <row r="67">
          <cell r="A67" t="str">
            <v>2023-IT-78</v>
          </cell>
          <cell r="B67" t="str">
            <v>Muhammad Zaman</v>
          </cell>
          <cell r="D67">
            <v>9</v>
          </cell>
          <cell r="E67">
            <v>11</v>
          </cell>
          <cell r="F67">
            <v>5</v>
          </cell>
          <cell r="G67">
            <v>26</v>
          </cell>
          <cell r="H67">
            <v>6</v>
          </cell>
        </row>
        <row r="68">
          <cell r="A68" t="str">
            <v>2023-IT-79</v>
          </cell>
          <cell r="B68" t="str">
            <v>Iqra Moeen</v>
          </cell>
          <cell r="D68">
            <v>3</v>
          </cell>
          <cell r="E68">
            <v>8</v>
          </cell>
          <cell r="F68">
            <v>4</v>
          </cell>
          <cell r="G68">
            <v>28</v>
          </cell>
          <cell r="H68">
            <v>7</v>
          </cell>
        </row>
        <row r="69">
          <cell r="A69" t="str">
            <v>2023-IT-80</v>
          </cell>
          <cell r="B69" t="str">
            <v>Ali Raza</v>
          </cell>
          <cell r="D69">
            <v>5</v>
          </cell>
          <cell r="E69">
            <v>17</v>
          </cell>
          <cell r="F69">
            <v>4</v>
          </cell>
          <cell r="G69">
            <v>26</v>
          </cell>
          <cell r="H69">
            <v>6</v>
          </cell>
        </row>
      </sheetData>
      <sheetData sheetId="1"/>
      <sheetData sheetId="2">
        <row r="1">
          <cell r="A1" t="str">
            <v>CLO1</v>
          </cell>
          <cell r="K1">
            <v>50</v>
          </cell>
          <cell r="N1" t="str">
            <v>PLO1</v>
          </cell>
          <cell r="X1">
            <v>50</v>
          </cell>
        </row>
        <row r="2">
          <cell r="K2">
            <v>20</v>
          </cell>
          <cell r="X2">
            <v>20</v>
          </cell>
        </row>
        <row r="3">
          <cell r="K3">
            <v>30</v>
          </cell>
          <cell r="X3">
            <v>30</v>
          </cell>
        </row>
        <row r="4">
          <cell r="K4">
            <v>0</v>
          </cell>
          <cell r="X4">
            <v>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lamic Studies"/>
      <sheetName val="OBE Sheet"/>
      <sheetName val="CLO &amp; PLO"/>
    </sheetNames>
    <sheetDataSet>
      <sheetData sheetId="0">
        <row r="5">
          <cell r="B5" t="str">
            <v>Title (Code):  Islamic Studies (ISL-126)</v>
          </cell>
          <cell r="H5" t="str">
            <v>Name: Abdul Nasir Zamir</v>
          </cell>
        </row>
        <row r="26">
          <cell r="A26" t="str">
            <v>2023-IT-01</v>
          </cell>
          <cell r="B26" t="str">
            <v>Rahma Noor</v>
          </cell>
          <cell r="D26">
            <v>8</v>
          </cell>
          <cell r="E26">
            <v>22</v>
          </cell>
          <cell r="F26">
            <v>10</v>
          </cell>
          <cell r="G26">
            <v>30</v>
          </cell>
          <cell r="H26">
            <v>9</v>
          </cell>
        </row>
        <row r="27">
          <cell r="A27" t="str">
            <v>2023-IT-02</v>
          </cell>
          <cell r="B27" t="str">
            <v>Alishba Manzoor</v>
          </cell>
          <cell r="D27">
            <v>7</v>
          </cell>
          <cell r="E27">
            <v>22</v>
          </cell>
          <cell r="F27">
            <v>9</v>
          </cell>
          <cell r="G27">
            <v>30</v>
          </cell>
          <cell r="H27">
            <v>8</v>
          </cell>
        </row>
        <row r="28">
          <cell r="A28" t="str">
            <v>2023-IT-03</v>
          </cell>
          <cell r="B28" t="str">
            <v>Maheen Fatima</v>
          </cell>
          <cell r="D28">
            <v>8</v>
          </cell>
          <cell r="E28">
            <v>21</v>
          </cell>
          <cell r="F28">
            <v>9</v>
          </cell>
          <cell r="G28">
            <v>24</v>
          </cell>
          <cell r="H28">
            <v>7</v>
          </cell>
        </row>
        <row r="29">
          <cell r="A29" t="str">
            <v>2023-IT-04</v>
          </cell>
          <cell r="B29" t="str">
            <v>Aneela</v>
          </cell>
          <cell r="D29">
            <v>10</v>
          </cell>
          <cell r="E29">
            <v>20</v>
          </cell>
          <cell r="F29">
            <v>10</v>
          </cell>
          <cell r="G29">
            <v>30</v>
          </cell>
          <cell r="H29">
            <v>8</v>
          </cell>
        </row>
        <row r="30">
          <cell r="A30" t="str">
            <v>2023-IT-05</v>
          </cell>
          <cell r="B30" t="str">
            <v>Alishba Saleem</v>
          </cell>
          <cell r="D30">
            <v>8</v>
          </cell>
          <cell r="E30">
            <v>20</v>
          </cell>
          <cell r="F30">
            <v>8</v>
          </cell>
          <cell r="G30">
            <v>28</v>
          </cell>
          <cell r="H30">
            <v>8</v>
          </cell>
        </row>
        <row r="31">
          <cell r="A31" t="str">
            <v>2023-IT-06</v>
          </cell>
          <cell r="B31" t="str">
            <v>Mehak Asghar</v>
          </cell>
          <cell r="D31">
            <v>8</v>
          </cell>
          <cell r="E31">
            <v>21</v>
          </cell>
          <cell r="F31">
            <v>10</v>
          </cell>
          <cell r="G31">
            <v>32</v>
          </cell>
          <cell r="H31">
            <v>10</v>
          </cell>
        </row>
        <row r="32">
          <cell r="A32" t="str">
            <v>2023-IT-07</v>
          </cell>
          <cell r="B32" t="str">
            <v>Humaira Afzal</v>
          </cell>
          <cell r="D32">
            <v>9</v>
          </cell>
          <cell r="E32">
            <v>22</v>
          </cell>
          <cell r="F32">
            <v>9</v>
          </cell>
          <cell r="G32">
            <v>32</v>
          </cell>
          <cell r="H32">
            <v>8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7</v>
          </cell>
          <cell r="E34">
            <v>15</v>
          </cell>
          <cell r="F34">
            <v>7</v>
          </cell>
          <cell r="G34">
            <v>24</v>
          </cell>
          <cell r="H34">
            <v>9</v>
          </cell>
        </row>
        <row r="35">
          <cell r="A35" t="str">
            <v>2023-IT-11</v>
          </cell>
          <cell r="B35" t="str">
            <v>Rana Talha dawood</v>
          </cell>
          <cell r="D35">
            <v>7</v>
          </cell>
          <cell r="E35">
            <v>15</v>
          </cell>
          <cell r="F35">
            <v>7</v>
          </cell>
          <cell r="G35">
            <v>26</v>
          </cell>
          <cell r="H35">
            <v>8</v>
          </cell>
        </row>
        <row r="36">
          <cell r="A36" t="str">
            <v>2023-IT-12</v>
          </cell>
          <cell r="B36" t="str">
            <v>Ali Ahmad</v>
          </cell>
          <cell r="D36">
            <v>8</v>
          </cell>
          <cell r="E36">
            <v>21</v>
          </cell>
          <cell r="F36">
            <v>7</v>
          </cell>
          <cell r="G36">
            <v>32</v>
          </cell>
          <cell r="H36">
            <v>7</v>
          </cell>
        </row>
        <row r="37">
          <cell r="A37" t="str">
            <v>2023-IT-13</v>
          </cell>
          <cell r="B37" t="str">
            <v>Muhammad Daud</v>
          </cell>
          <cell r="D37">
            <v>7</v>
          </cell>
          <cell r="E37">
            <v>18</v>
          </cell>
          <cell r="F37">
            <v>9</v>
          </cell>
          <cell r="G37">
            <v>24</v>
          </cell>
          <cell r="H37">
            <v>8</v>
          </cell>
        </row>
        <row r="38">
          <cell r="A38" t="str">
            <v>2023-IT-14</v>
          </cell>
          <cell r="B38" t="str">
            <v>Mursil Mateen</v>
          </cell>
          <cell r="D38">
            <v>8</v>
          </cell>
          <cell r="E38">
            <v>22</v>
          </cell>
          <cell r="F38">
            <v>9</v>
          </cell>
          <cell r="G38">
            <v>31</v>
          </cell>
          <cell r="H38">
            <v>8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2023-IT-18</v>
          </cell>
          <cell r="B40" t="str">
            <v>Adeel Maqbool</v>
          </cell>
          <cell r="D40">
            <v>7</v>
          </cell>
          <cell r="E40">
            <v>19</v>
          </cell>
          <cell r="F40">
            <v>9</v>
          </cell>
          <cell r="G40">
            <v>27</v>
          </cell>
          <cell r="H40">
            <v>8</v>
          </cell>
        </row>
        <row r="41">
          <cell r="A41" t="str">
            <v>2023-IT-20</v>
          </cell>
          <cell r="B41" t="str">
            <v>Husnain Saleem</v>
          </cell>
          <cell r="D41">
            <v>10</v>
          </cell>
          <cell r="E41">
            <v>22</v>
          </cell>
          <cell r="F41">
            <v>9</v>
          </cell>
          <cell r="G41">
            <v>32</v>
          </cell>
          <cell r="H41">
            <v>8</v>
          </cell>
        </row>
        <row r="42">
          <cell r="A42" t="str">
            <v>2023-IT-22</v>
          </cell>
          <cell r="B42" t="str">
            <v>Muhammad Sameer</v>
          </cell>
          <cell r="D42">
            <v>8</v>
          </cell>
          <cell r="E42">
            <v>20</v>
          </cell>
          <cell r="F42">
            <v>9</v>
          </cell>
          <cell r="G42">
            <v>28</v>
          </cell>
          <cell r="H42">
            <v>7</v>
          </cell>
        </row>
        <row r="43">
          <cell r="A43" t="str">
            <v>2023-IT-24</v>
          </cell>
          <cell r="B43" t="str">
            <v>Sher Shah Hussain</v>
          </cell>
          <cell r="D43">
            <v>10</v>
          </cell>
          <cell r="E43">
            <v>21</v>
          </cell>
          <cell r="F43">
            <v>10</v>
          </cell>
          <cell r="G43">
            <v>30</v>
          </cell>
          <cell r="H43">
            <v>8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8</v>
          </cell>
          <cell r="E45">
            <v>15</v>
          </cell>
          <cell r="F45">
            <v>8</v>
          </cell>
          <cell r="G45">
            <v>24</v>
          </cell>
          <cell r="H45">
            <v>9</v>
          </cell>
        </row>
        <row r="46">
          <cell r="A46" t="str">
            <v>2023-IT-32</v>
          </cell>
          <cell r="B46" t="str">
            <v>Muhammad Faisal</v>
          </cell>
          <cell r="D46">
            <v>8</v>
          </cell>
          <cell r="E46">
            <v>23</v>
          </cell>
          <cell r="F46">
            <v>9</v>
          </cell>
          <cell r="G46">
            <v>29</v>
          </cell>
          <cell r="H46">
            <v>9</v>
          </cell>
        </row>
        <row r="47">
          <cell r="A47" t="str">
            <v>2023-IT-34</v>
          </cell>
          <cell r="B47" t="str">
            <v>Jamshaid Abbas</v>
          </cell>
          <cell r="D47">
            <v>10</v>
          </cell>
          <cell r="E47">
            <v>21</v>
          </cell>
          <cell r="F47">
            <v>9</v>
          </cell>
          <cell r="G47">
            <v>31</v>
          </cell>
          <cell r="H47">
            <v>8</v>
          </cell>
        </row>
        <row r="48">
          <cell r="A48" t="str">
            <v>2023-IT-38</v>
          </cell>
          <cell r="B48" t="str">
            <v>Sherzaman Bukhari</v>
          </cell>
          <cell r="D48">
            <v>8</v>
          </cell>
          <cell r="E48">
            <v>16</v>
          </cell>
          <cell r="F48">
            <v>8</v>
          </cell>
          <cell r="G48">
            <v>25</v>
          </cell>
          <cell r="H48">
            <v>8</v>
          </cell>
        </row>
        <row r="49">
          <cell r="A49" t="str">
            <v>2023-IT-40</v>
          </cell>
          <cell r="B49" t="str">
            <v>Ahmad Raza Shareef</v>
          </cell>
          <cell r="D49">
            <v>7</v>
          </cell>
          <cell r="E49">
            <v>22</v>
          </cell>
          <cell r="F49">
            <v>9</v>
          </cell>
          <cell r="G49">
            <v>28</v>
          </cell>
          <cell r="H49">
            <v>7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21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8</v>
          </cell>
          <cell r="E51">
            <v>20</v>
          </cell>
          <cell r="F51">
            <v>9</v>
          </cell>
          <cell r="G51">
            <v>29</v>
          </cell>
          <cell r="H51">
            <v>7</v>
          </cell>
        </row>
        <row r="52">
          <cell r="A52" t="str">
            <v>2023-IT-44</v>
          </cell>
          <cell r="B52" t="str">
            <v>Muhammad Nouman Aslam</v>
          </cell>
          <cell r="D52">
            <v>7</v>
          </cell>
          <cell r="E52">
            <v>24</v>
          </cell>
          <cell r="F52">
            <v>10</v>
          </cell>
          <cell r="G52">
            <v>29</v>
          </cell>
          <cell r="H52">
            <v>7</v>
          </cell>
        </row>
        <row r="53">
          <cell r="A53" t="str">
            <v>2023-IT-46</v>
          </cell>
          <cell r="B53" t="str">
            <v>Muhammad Haseeb Anjum</v>
          </cell>
          <cell r="D53">
            <v>8</v>
          </cell>
          <cell r="E53">
            <v>23</v>
          </cell>
          <cell r="F53">
            <v>8</v>
          </cell>
          <cell r="G53">
            <v>29</v>
          </cell>
          <cell r="H53">
            <v>8</v>
          </cell>
        </row>
        <row r="54">
          <cell r="A54" t="str">
            <v>2023-IT-48</v>
          </cell>
          <cell r="B54" t="str">
            <v>Muhammad Arslan Waheed</v>
          </cell>
          <cell r="D54">
            <v>7</v>
          </cell>
          <cell r="E54">
            <v>0</v>
          </cell>
          <cell r="F54">
            <v>8</v>
          </cell>
          <cell r="G54">
            <v>28</v>
          </cell>
          <cell r="H54">
            <v>7</v>
          </cell>
        </row>
        <row r="55">
          <cell r="A55" t="str">
            <v>2023-IT-50</v>
          </cell>
          <cell r="B55" t="str">
            <v>Hafiz Muhammad Hasnain Saif</v>
          </cell>
          <cell r="D55">
            <v>8</v>
          </cell>
          <cell r="E55">
            <v>20</v>
          </cell>
          <cell r="F55">
            <v>10</v>
          </cell>
          <cell r="G55">
            <v>3</v>
          </cell>
          <cell r="H55">
            <v>8</v>
          </cell>
        </row>
        <row r="56">
          <cell r="A56" t="str">
            <v>2023-IT-54</v>
          </cell>
          <cell r="B56" t="str">
            <v>Muhammad Zeeshan</v>
          </cell>
          <cell r="D56">
            <v>7</v>
          </cell>
          <cell r="E56">
            <v>19</v>
          </cell>
          <cell r="F56">
            <v>10</v>
          </cell>
          <cell r="G56">
            <v>32</v>
          </cell>
          <cell r="H56">
            <v>10</v>
          </cell>
        </row>
        <row r="57">
          <cell r="A57" t="str">
            <v>2023-IT-56</v>
          </cell>
          <cell r="B57" t="str">
            <v>Muhammad Adeel</v>
          </cell>
          <cell r="D57">
            <v>9</v>
          </cell>
          <cell r="E57">
            <v>20</v>
          </cell>
          <cell r="F57">
            <v>9</v>
          </cell>
          <cell r="G57">
            <v>31</v>
          </cell>
          <cell r="H57">
            <v>9</v>
          </cell>
        </row>
        <row r="58">
          <cell r="A58" t="str">
            <v>2023-IT-60</v>
          </cell>
          <cell r="B58" t="str">
            <v>Mughees Ahmad</v>
          </cell>
          <cell r="D58">
            <v>8</v>
          </cell>
          <cell r="E58">
            <v>19</v>
          </cell>
          <cell r="F58">
            <v>9</v>
          </cell>
          <cell r="G58">
            <v>26</v>
          </cell>
          <cell r="H58">
            <v>8</v>
          </cell>
        </row>
        <row r="59">
          <cell r="A59" t="str">
            <v>2023-IT-62</v>
          </cell>
          <cell r="B59" t="str">
            <v>Muhammad Azeem</v>
          </cell>
          <cell r="D59">
            <v>7</v>
          </cell>
          <cell r="E59">
            <v>14</v>
          </cell>
          <cell r="F59">
            <v>8</v>
          </cell>
          <cell r="G59">
            <v>24</v>
          </cell>
          <cell r="H59">
            <v>8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8</v>
          </cell>
          <cell r="E61">
            <v>18</v>
          </cell>
          <cell r="F61">
            <v>9</v>
          </cell>
          <cell r="G61">
            <v>24</v>
          </cell>
          <cell r="H61">
            <v>8</v>
          </cell>
        </row>
        <row r="62">
          <cell r="A62" t="str">
            <v>2023-IT-68</v>
          </cell>
          <cell r="B62" t="str">
            <v>Muhammad Mubashir</v>
          </cell>
          <cell r="D62">
            <v>7</v>
          </cell>
          <cell r="E62">
            <v>22</v>
          </cell>
          <cell r="F62">
            <v>10</v>
          </cell>
          <cell r="G62">
            <v>30</v>
          </cell>
          <cell r="H62">
            <v>10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9</v>
          </cell>
          <cell r="E64">
            <v>19</v>
          </cell>
          <cell r="F64">
            <v>8</v>
          </cell>
          <cell r="G64">
            <v>27</v>
          </cell>
          <cell r="H64">
            <v>8</v>
          </cell>
        </row>
        <row r="65">
          <cell r="A65" t="str">
            <v>2023-IT-74</v>
          </cell>
          <cell r="B65" t="str">
            <v>Ashir Mudassir</v>
          </cell>
          <cell r="D65">
            <v>7</v>
          </cell>
          <cell r="E65">
            <v>23</v>
          </cell>
          <cell r="F65">
            <v>10</v>
          </cell>
          <cell r="G65">
            <v>31</v>
          </cell>
          <cell r="H65">
            <v>9</v>
          </cell>
        </row>
        <row r="66">
          <cell r="A66" t="str">
            <v>2023-IT-76</v>
          </cell>
          <cell r="B66" t="str">
            <v>Rao Usama</v>
          </cell>
          <cell r="D66">
            <v>8</v>
          </cell>
          <cell r="E66">
            <v>5</v>
          </cell>
          <cell r="F66">
            <v>7</v>
          </cell>
          <cell r="G66">
            <v>31</v>
          </cell>
          <cell r="H66">
            <v>8</v>
          </cell>
        </row>
        <row r="67">
          <cell r="A67" t="str">
            <v>2023-IT-78</v>
          </cell>
          <cell r="B67" t="str">
            <v>Muhammad Zaman</v>
          </cell>
          <cell r="D67">
            <v>8</v>
          </cell>
          <cell r="E67">
            <v>22</v>
          </cell>
          <cell r="F67">
            <v>9</v>
          </cell>
          <cell r="G67">
            <v>28</v>
          </cell>
          <cell r="H67">
            <v>7</v>
          </cell>
        </row>
        <row r="68">
          <cell r="A68" t="str">
            <v>2023-IT-79</v>
          </cell>
          <cell r="B68" t="str">
            <v>Iqra Moeen</v>
          </cell>
          <cell r="D68">
            <v>7</v>
          </cell>
          <cell r="E68">
            <v>20</v>
          </cell>
          <cell r="F68">
            <v>10</v>
          </cell>
          <cell r="G68">
            <v>30</v>
          </cell>
          <cell r="H68">
            <v>10</v>
          </cell>
        </row>
        <row r="69">
          <cell r="A69" t="str">
            <v>2023-IT-80</v>
          </cell>
          <cell r="B69" t="str">
            <v>Ali Raza</v>
          </cell>
          <cell r="D69">
            <v>8</v>
          </cell>
          <cell r="E69">
            <v>22</v>
          </cell>
          <cell r="F69">
            <v>10</v>
          </cell>
          <cell r="G69">
            <v>32</v>
          </cell>
          <cell r="H69">
            <v>8</v>
          </cell>
        </row>
      </sheetData>
      <sheetData sheetId="1" refreshError="1"/>
      <sheetData sheetId="2">
        <row r="1">
          <cell r="A1" t="str">
            <v>CLO1</v>
          </cell>
          <cell r="K1">
            <v>40</v>
          </cell>
          <cell r="N1" t="str">
            <v>PLO1</v>
          </cell>
          <cell r="X1">
            <v>100</v>
          </cell>
        </row>
        <row r="2">
          <cell r="K2">
            <v>30</v>
          </cell>
          <cell r="X2">
            <v>0</v>
          </cell>
        </row>
        <row r="3">
          <cell r="K3">
            <v>30</v>
          </cell>
          <cell r="X3">
            <v>0</v>
          </cell>
        </row>
        <row r="4">
          <cell r="K4">
            <v>0</v>
          </cell>
          <cell r="X4">
            <v>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ar Algebra"/>
      <sheetName val="OBE Sheet"/>
      <sheetName val="CLO &amp; PLO"/>
    </sheetNames>
    <sheetDataSet>
      <sheetData sheetId="0">
        <row r="5">
          <cell r="B5" t="str">
            <v>Title (Code):  Linear Algebra (MTH-124)</v>
          </cell>
          <cell r="H5" t="str">
            <v>Name: Dr. Farooq</v>
          </cell>
        </row>
        <row r="26">
          <cell r="A26" t="str">
            <v>2023-IT-01</v>
          </cell>
          <cell r="B26" t="str">
            <v>Rahma Noor</v>
          </cell>
          <cell r="D26">
            <v>8</v>
          </cell>
          <cell r="E26">
            <v>22</v>
          </cell>
          <cell r="F26">
            <v>8</v>
          </cell>
          <cell r="G26">
            <v>29</v>
          </cell>
          <cell r="H26">
            <v>8</v>
          </cell>
        </row>
        <row r="27">
          <cell r="A27" t="str">
            <v>2023-IT-02</v>
          </cell>
          <cell r="B27" t="str">
            <v>Alishba Manzoor</v>
          </cell>
          <cell r="D27">
            <v>7</v>
          </cell>
          <cell r="E27">
            <v>18</v>
          </cell>
          <cell r="F27">
            <v>7</v>
          </cell>
          <cell r="G27">
            <v>26</v>
          </cell>
          <cell r="H27">
            <v>7</v>
          </cell>
        </row>
        <row r="28">
          <cell r="A28" t="str">
            <v>2023-IT-03</v>
          </cell>
          <cell r="B28" t="str">
            <v>Maheen Fatima</v>
          </cell>
          <cell r="D28">
            <v>6</v>
          </cell>
          <cell r="E28">
            <v>16</v>
          </cell>
          <cell r="F28">
            <v>7</v>
          </cell>
          <cell r="G28">
            <v>28</v>
          </cell>
          <cell r="H28">
            <v>7</v>
          </cell>
        </row>
        <row r="29">
          <cell r="A29" t="str">
            <v>2023-IT-04</v>
          </cell>
          <cell r="B29" t="str">
            <v>Aneela</v>
          </cell>
          <cell r="D29">
            <v>8</v>
          </cell>
          <cell r="E29">
            <v>20</v>
          </cell>
          <cell r="F29">
            <v>8</v>
          </cell>
          <cell r="G29">
            <v>29</v>
          </cell>
          <cell r="H29">
            <v>9</v>
          </cell>
        </row>
        <row r="30">
          <cell r="A30" t="str">
            <v>2023-IT-05</v>
          </cell>
          <cell r="B30" t="str">
            <v>Alishba Saleem</v>
          </cell>
          <cell r="D30">
            <v>6</v>
          </cell>
          <cell r="E30">
            <v>14</v>
          </cell>
          <cell r="F30">
            <v>8</v>
          </cell>
          <cell r="G30">
            <v>34</v>
          </cell>
          <cell r="H30">
            <v>9</v>
          </cell>
        </row>
        <row r="31">
          <cell r="A31" t="str">
            <v>2023-IT-06</v>
          </cell>
          <cell r="B31" t="str">
            <v>Mehak Asghar</v>
          </cell>
          <cell r="D31">
            <v>9</v>
          </cell>
          <cell r="E31">
            <v>21</v>
          </cell>
          <cell r="F31">
            <v>8</v>
          </cell>
          <cell r="G31">
            <v>33</v>
          </cell>
          <cell r="H31">
            <v>9</v>
          </cell>
        </row>
        <row r="32">
          <cell r="A32" t="str">
            <v>2023-IT-07</v>
          </cell>
          <cell r="B32" t="str">
            <v>Humaira Afzal</v>
          </cell>
          <cell r="D32">
            <v>9</v>
          </cell>
          <cell r="E32">
            <v>26</v>
          </cell>
          <cell r="F32">
            <v>9</v>
          </cell>
          <cell r="G32">
            <v>34</v>
          </cell>
          <cell r="H32">
            <v>9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6</v>
          </cell>
          <cell r="E34">
            <v>13</v>
          </cell>
          <cell r="F34">
            <v>6</v>
          </cell>
          <cell r="G34">
            <v>17</v>
          </cell>
          <cell r="H34">
            <v>8</v>
          </cell>
        </row>
        <row r="35">
          <cell r="A35" t="str">
            <v>2023-IT-11</v>
          </cell>
          <cell r="B35" t="str">
            <v>Rana Talha dawood</v>
          </cell>
          <cell r="D35">
            <v>8</v>
          </cell>
          <cell r="E35">
            <v>21</v>
          </cell>
          <cell r="F35">
            <v>7</v>
          </cell>
          <cell r="G35">
            <v>27</v>
          </cell>
          <cell r="H35">
            <v>8</v>
          </cell>
        </row>
        <row r="36">
          <cell r="A36" t="str">
            <v>2023-IT-12</v>
          </cell>
          <cell r="B36" t="str">
            <v>Ali Ahmad</v>
          </cell>
          <cell r="D36">
            <v>8</v>
          </cell>
          <cell r="E36">
            <v>20</v>
          </cell>
          <cell r="F36">
            <v>7</v>
          </cell>
          <cell r="G36">
            <v>23</v>
          </cell>
          <cell r="H36">
            <v>8</v>
          </cell>
        </row>
        <row r="37">
          <cell r="A37" t="str">
            <v>2023-IT-13</v>
          </cell>
          <cell r="B37" t="str">
            <v>Muhammad Daud</v>
          </cell>
          <cell r="D37">
            <v>7</v>
          </cell>
          <cell r="E37">
            <v>19</v>
          </cell>
          <cell r="F37">
            <v>7</v>
          </cell>
          <cell r="G37">
            <v>26</v>
          </cell>
          <cell r="H37">
            <v>8</v>
          </cell>
        </row>
        <row r="38">
          <cell r="A38" t="str">
            <v>2023-IT-14</v>
          </cell>
          <cell r="B38" t="str">
            <v>Mursil Mateen</v>
          </cell>
          <cell r="D38">
            <v>8</v>
          </cell>
          <cell r="E38">
            <v>20</v>
          </cell>
          <cell r="F38">
            <v>8</v>
          </cell>
          <cell r="G38">
            <v>29</v>
          </cell>
          <cell r="H38">
            <v>8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2023-IT-18</v>
          </cell>
          <cell r="B40" t="str">
            <v>Adeel Maqbool</v>
          </cell>
          <cell r="D40">
            <v>9</v>
          </cell>
          <cell r="E40">
            <v>22</v>
          </cell>
          <cell r="F40">
            <v>7</v>
          </cell>
          <cell r="G40">
            <v>26</v>
          </cell>
          <cell r="H40">
            <v>8</v>
          </cell>
        </row>
        <row r="41">
          <cell r="A41" t="str">
            <v>2023-IT-20</v>
          </cell>
          <cell r="B41" t="str">
            <v>Husnain Saleem</v>
          </cell>
          <cell r="D41">
            <v>9</v>
          </cell>
          <cell r="E41">
            <v>21</v>
          </cell>
          <cell r="F41">
            <v>9</v>
          </cell>
          <cell r="G41">
            <v>28</v>
          </cell>
          <cell r="H41">
            <v>9</v>
          </cell>
        </row>
        <row r="42">
          <cell r="A42" t="str">
            <v>2023-IT-22</v>
          </cell>
          <cell r="B42" t="str">
            <v>Muhammad Sameer</v>
          </cell>
          <cell r="D42">
            <v>7</v>
          </cell>
          <cell r="E42">
            <v>19</v>
          </cell>
          <cell r="F42">
            <v>8</v>
          </cell>
          <cell r="G42">
            <v>30</v>
          </cell>
          <cell r="H42">
            <v>8</v>
          </cell>
        </row>
        <row r="43">
          <cell r="A43" t="str">
            <v>2023-IT-24</v>
          </cell>
          <cell r="B43" t="str">
            <v>Sher Shah Hussain</v>
          </cell>
          <cell r="D43">
            <v>9</v>
          </cell>
          <cell r="E43">
            <v>26</v>
          </cell>
          <cell r="F43">
            <v>9</v>
          </cell>
          <cell r="G43">
            <v>30</v>
          </cell>
          <cell r="H43">
            <v>9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7</v>
          </cell>
          <cell r="E45">
            <v>16</v>
          </cell>
          <cell r="F45">
            <v>7</v>
          </cell>
          <cell r="G45">
            <v>20</v>
          </cell>
          <cell r="H45">
            <v>7</v>
          </cell>
        </row>
        <row r="46">
          <cell r="A46" t="str">
            <v>2023-IT-32</v>
          </cell>
          <cell r="B46" t="str">
            <v>Muhammad Faisal</v>
          </cell>
          <cell r="D46">
            <v>9</v>
          </cell>
          <cell r="E46">
            <v>23</v>
          </cell>
          <cell r="F46">
            <v>9</v>
          </cell>
          <cell r="G46">
            <v>31</v>
          </cell>
          <cell r="H46">
            <v>8</v>
          </cell>
        </row>
        <row r="47">
          <cell r="A47" t="str">
            <v>2023-IT-34</v>
          </cell>
          <cell r="B47" t="str">
            <v>Jamshaid Abbas</v>
          </cell>
          <cell r="D47">
            <v>4</v>
          </cell>
          <cell r="E47">
            <v>0</v>
          </cell>
          <cell r="F47">
            <v>4</v>
          </cell>
          <cell r="G47">
            <v>14</v>
          </cell>
          <cell r="H47">
            <v>4</v>
          </cell>
        </row>
        <row r="48">
          <cell r="A48" t="str">
            <v>2023-IT-38</v>
          </cell>
          <cell r="B48" t="str">
            <v>Sherzaman Bukhari</v>
          </cell>
          <cell r="D48">
            <v>8</v>
          </cell>
          <cell r="E48">
            <v>20</v>
          </cell>
          <cell r="F48">
            <v>8</v>
          </cell>
          <cell r="G48">
            <v>24</v>
          </cell>
          <cell r="H48">
            <v>8</v>
          </cell>
        </row>
        <row r="49">
          <cell r="A49" t="str">
            <v>2023-IT-40</v>
          </cell>
          <cell r="B49" t="str">
            <v>Ahmad Raza Shareef</v>
          </cell>
          <cell r="D49">
            <v>7</v>
          </cell>
          <cell r="E49">
            <v>21</v>
          </cell>
          <cell r="F49">
            <v>7</v>
          </cell>
          <cell r="G49">
            <v>27</v>
          </cell>
          <cell r="H49">
            <v>7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8</v>
          </cell>
          <cell r="E51">
            <v>21</v>
          </cell>
          <cell r="F51">
            <v>8</v>
          </cell>
          <cell r="G51">
            <v>22</v>
          </cell>
          <cell r="H51">
            <v>8</v>
          </cell>
        </row>
        <row r="52">
          <cell r="A52" t="str">
            <v>2023-IT-44</v>
          </cell>
          <cell r="B52" t="str">
            <v>Muhammad Nouman Aslam</v>
          </cell>
          <cell r="D52">
            <v>7</v>
          </cell>
          <cell r="E52">
            <v>15</v>
          </cell>
          <cell r="F52">
            <v>8</v>
          </cell>
          <cell r="G52">
            <v>25</v>
          </cell>
          <cell r="H52">
            <v>8</v>
          </cell>
        </row>
        <row r="53">
          <cell r="A53" t="str">
            <v>2023-IT-46</v>
          </cell>
          <cell r="B53" t="str">
            <v>Muhammad Haseeb Anjum</v>
          </cell>
          <cell r="D53">
            <v>9</v>
          </cell>
          <cell r="E53">
            <v>22</v>
          </cell>
          <cell r="F53">
            <v>9</v>
          </cell>
          <cell r="G53">
            <v>31</v>
          </cell>
          <cell r="H53">
            <v>9</v>
          </cell>
        </row>
        <row r="54">
          <cell r="A54" t="str">
            <v>2023-IT-48</v>
          </cell>
          <cell r="B54" t="str">
            <v>Muhammad Arslan Waheed</v>
          </cell>
          <cell r="D54">
            <v>8</v>
          </cell>
          <cell r="E54">
            <v>20</v>
          </cell>
          <cell r="F54">
            <v>8</v>
          </cell>
          <cell r="G54">
            <v>25</v>
          </cell>
          <cell r="H54">
            <v>8</v>
          </cell>
        </row>
        <row r="55">
          <cell r="A55" t="str">
            <v>2023-IT-50</v>
          </cell>
          <cell r="B55" t="str">
            <v>Hafiz Muhammad Hasnain Saif</v>
          </cell>
          <cell r="D55">
            <v>8</v>
          </cell>
          <cell r="E55">
            <v>21</v>
          </cell>
          <cell r="F55">
            <v>7</v>
          </cell>
          <cell r="G55">
            <v>26</v>
          </cell>
          <cell r="H55">
            <v>7</v>
          </cell>
        </row>
        <row r="56">
          <cell r="A56" t="str">
            <v>2023-IT-54</v>
          </cell>
          <cell r="B56" t="str">
            <v>Muhammad Zeeshan</v>
          </cell>
          <cell r="D56">
            <v>7</v>
          </cell>
          <cell r="E56">
            <v>18</v>
          </cell>
          <cell r="F56">
            <v>8</v>
          </cell>
          <cell r="G56">
            <v>28</v>
          </cell>
          <cell r="H56">
            <v>8</v>
          </cell>
        </row>
        <row r="57">
          <cell r="A57" t="str">
            <v>2023-IT-56</v>
          </cell>
          <cell r="B57" t="str">
            <v>Muhammad Adeel</v>
          </cell>
          <cell r="D57">
            <v>5</v>
          </cell>
          <cell r="E57">
            <v>10</v>
          </cell>
          <cell r="F57">
            <v>7</v>
          </cell>
          <cell r="G57">
            <v>23</v>
          </cell>
          <cell r="H57">
            <v>7</v>
          </cell>
        </row>
        <row r="58">
          <cell r="A58" t="str">
            <v>2023-IT-60</v>
          </cell>
          <cell r="B58" t="str">
            <v>Mughees Ahmad</v>
          </cell>
          <cell r="D58">
            <v>8</v>
          </cell>
          <cell r="E58">
            <v>21</v>
          </cell>
          <cell r="F58">
            <v>8</v>
          </cell>
          <cell r="G58">
            <v>25</v>
          </cell>
          <cell r="H58">
            <v>8</v>
          </cell>
        </row>
        <row r="59">
          <cell r="A59" t="str">
            <v>2023-IT-62</v>
          </cell>
          <cell r="B59" t="str">
            <v>Muhammad Azeem</v>
          </cell>
          <cell r="D59">
            <v>7</v>
          </cell>
          <cell r="E59">
            <v>17</v>
          </cell>
          <cell r="F59">
            <v>7</v>
          </cell>
          <cell r="G59">
            <v>27</v>
          </cell>
          <cell r="H59">
            <v>8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8</v>
          </cell>
          <cell r="E61">
            <v>18</v>
          </cell>
          <cell r="F61">
            <v>8</v>
          </cell>
          <cell r="G61">
            <v>29</v>
          </cell>
          <cell r="H61">
            <v>8</v>
          </cell>
        </row>
        <row r="62">
          <cell r="A62" t="str">
            <v>2023-IT-68</v>
          </cell>
          <cell r="B62" t="str">
            <v>Muhammad Mubashir</v>
          </cell>
          <cell r="D62">
            <v>6</v>
          </cell>
          <cell r="E62">
            <v>19</v>
          </cell>
          <cell r="F62">
            <v>6</v>
          </cell>
          <cell r="G62">
            <v>29</v>
          </cell>
          <cell r="H62">
            <v>7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8</v>
          </cell>
          <cell r="E64">
            <v>21</v>
          </cell>
          <cell r="F64">
            <v>8</v>
          </cell>
          <cell r="G64">
            <v>28</v>
          </cell>
          <cell r="H64">
            <v>8</v>
          </cell>
        </row>
        <row r="65">
          <cell r="A65" t="str">
            <v>2023-IT-74</v>
          </cell>
          <cell r="B65" t="str">
            <v>Ashir Mudassir</v>
          </cell>
          <cell r="D65">
            <v>8</v>
          </cell>
          <cell r="E65">
            <v>20</v>
          </cell>
          <cell r="F65">
            <v>8</v>
          </cell>
          <cell r="G65">
            <v>26</v>
          </cell>
          <cell r="H65">
            <v>8</v>
          </cell>
        </row>
        <row r="66">
          <cell r="A66" t="str">
            <v>2023-IT-76</v>
          </cell>
          <cell r="B66" t="str">
            <v>Rao Usama</v>
          </cell>
          <cell r="D66">
            <v>4</v>
          </cell>
          <cell r="E66">
            <v>7</v>
          </cell>
          <cell r="F66">
            <v>6</v>
          </cell>
          <cell r="G66">
            <v>20</v>
          </cell>
          <cell r="H66">
            <v>6</v>
          </cell>
        </row>
        <row r="67">
          <cell r="A67" t="str">
            <v>2023-IT-78</v>
          </cell>
          <cell r="B67" t="str">
            <v>Muhammad Zaman</v>
          </cell>
          <cell r="D67">
            <v>7</v>
          </cell>
          <cell r="E67">
            <v>19</v>
          </cell>
          <cell r="F67">
            <v>8</v>
          </cell>
          <cell r="G67">
            <v>28</v>
          </cell>
          <cell r="H67">
            <v>8</v>
          </cell>
        </row>
        <row r="68">
          <cell r="A68" t="str">
            <v>2023-IT-79</v>
          </cell>
          <cell r="B68" t="str">
            <v>Iqra Moeen</v>
          </cell>
          <cell r="D68">
            <v>9</v>
          </cell>
          <cell r="E68">
            <v>27</v>
          </cell>
          <cell r="F68">
            <v>9</v>
          </cell>
          <cell r="G68">
            <v>35</v>
          </cell>
          <cell r="H68">
            <v>9</v>
          </cell>
        </row>
        <row r="69">
          <cell r="A69" t="str">
            <v>2023-IT-80</v>
          </cell>
          <cell r="B69" t="str">
            <v>Ali Raza</v>
          </cell>
          <cell r="D69">
            <v>8</v>
          </cell>
          <cell r="E69">
            <v>22</v>
          </cell>
          <cell r="F69">
            <v>8</v>
          </cell>
          <cell r="G69">
            <v>28</v>
          </cell>
          <cell r="H69">
            <v>7</v>
          </cell>
        </row>
      </sheetData>
      <sheetData sheetId="1" refreshError="1"/>
      <sheetData sheetId="2">
        <row r="1">
          <cell r="A1" t="str">
            <v>CLO1</v>
          </cell>
          <cell r="K1">
            <v>30</v>
          </cell>
          <cell r="N1" t="str">
            <v>PLO1</v>
          </cell>
          <cell r="X1">
            <v>0</v>
          </cell>
        </row>
        <row r="2">
          <cell r="K2">
            <v>40</v>
          </cell>
          <cell r="X2">
            <v>70</v>
          </cell>
        </row>
        <row r="3">
          <cell r="K3">
            <v>20</v>
          </cell>
          <cell r="X3">
            <v>0</v>
          </cell>
        </row>
        <row r="4">
          <cell r="K4">
            <v>10</v>
          </cell>
          <cell r="X4">
            <v>30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BE Sheet"/>
      <sheetName val="CLO &amp; PLO"/>
    </sheetNames>
    <sheetDataSet>
      <sheetData sheetId="0">
        <row r="5">
          <cell r="B5" t="str">
            <v>Title (Code):  Object Oriented Programming (IT-121)</v>
          </cell>
          <cell r="H5" t="str">
            <v>Name: Engr. M Talha Jahangir</v>
          </cell>
        </row>
        <row r="26">
          <cell r="A26" t="str">
            <v>2023-IT-01</v>
          </cell>
          <cell r="B26" t="str">
            <v>Rahma Noor</v>
          </cell>
          <cell r="D26">
            <v>10</v>
          </cell>
          <cell r="E26">
            <v>15</v>
          </cell>
          <cell r="F26">
            <v>9</v>
          </cell>
          <cell r="G26">
            <v>16</v>
          </cell>
          <cell r="H26">
            <v>9</v>
          </cell>
        </row>
        <row r="27">
          <cell r="A27" t="str">
            <v>2023-IT-02</v>
          </cell>
          <cell r="B27" t="str">
            <v>Alishba Manzoor</v>
          </cell>
          <cell r="D27">
            <v>8</v>
          </cell>
          <cell r="E27">
            <v>12</v>
          </cell>
          <cell r="F27">
            <v>7</v>
          </cell>
          <cell r="G27">
            <v>19</v>
          </cell>
          <cell r="H27">
            <v>8</v>
          </cell>
        </row>
        <row r="28">
          <cell r="A28" t="str">
            <v>2023-IT-03</v>
          </cell>
          <cell r="B28" t="str">
            <v>Maheen Fatima</v>
          </cell>
          <cell r="D28">
            <v>8</v>
          </cell>
          <cell r="E28">
            <v>16</v>
          </cell>
          <cell r="F28">
            <v>9</v>
          </cell>
          <cell r="G28">
            <v>24</v>
          </cell>
          <cell r="H28">
            <v>8</v>
          </cell>
        </row>
        <row r="29">
          <cell r="A29" t="str">
            <v>2023-IT-04</v>
          </cell>
          <cell r="B29" t="str">
            <v>Aneela</v>
          </cell>
          <cell r="D29">
            <v>9</v>
          </cell>
          <cell r="E29">
            <v>15</v>
          </cell>
          <cell r="F29">
            <v>8</v>
          </cell>
          <cell r="G29">
            <v>23</v>
          </cell>
          <cell r="H29">
            <v>9</v>
          </cell>
        </row>
        <row r="30">
          <cell r="A30" t="str">
            <v>2023-IT-05</v>
          </cell>
          <cell r="B30" t="str">
            <v>Alishba Saleem</v>
          </cell>
          <cell r="D30">
            <v>8</v>
          </cell>
          <cell r="E30">
            <v>14</v>
          </cell>
          <cell r="F30">
            <v>8</v>
          </cell>
          <cell r="G30">
            <v>23</v>
          </cell>
          <cell r="H30">
            <v>9</v>
          </cell>
        </row>
        <row r="31">
          <cell r="A31" t="str">
            <v>2023-IT-06</v>
          </cell>
          <cell r="B31" t="str">
            <v>Mehak Asghar</v>
          </cell>
          <cell r="D31">
            <v>10</v>
          </cell>
          <cell r="E31">
            <v>18</v>
          </cell>
          <cell r="F31">
            <v>10</v>
          </cell>
          <cell r="G31">
            <v>28</v>
          </cell>
          <cell r="H31">
            <v>9</v>
          </cell>
        </row>
        <row r="32">
          <cell r="A32" t="str">
            <v>2023-IT-07</v>
          </cell>
          <cell r="B32" t="str">
            <v>Humaira Afzal</v>
          </cell>
          <cell r="D32">
            <v>7</v>
          </cell>
          <cell r="E32">
            <v>19</v>
          </cell>
          <cell r="F32">
            <v>7</v>
          </cell>
          <cell r="G32">
            <v>27</v>
          </cell>
          <cell r="H32">
            <v>7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10</v>
          </cell>
          <cell r="E34">
            <v>14</v>
          </cell>
          <cell r="F34">
            <v>9</v>
          </cell>
          <cell r="G34">
            <v>22</v>
          </cell>
          <cell r="H34">
            <v>9</v>
          </cell>
        </row>
        <row r="35">
          <cell r="A35" t="str">
            <v>2023-IT-11</v>
          </cell>
          <cell r="B35" t="str">
            <v>Rana Talha dawood</v>
          </cell>
          <cell r="D35">
            <v>6</v>
          </cell>
          <cell r="E35">
            <v>18</v>
          </cell>
          <cell r="F35">
            <v>6</v>
          </cell>
          <cell r="G35">
            <v>22</v>
          </cell>
          <cell r="H35">
            <v>6</v>
          </cell>
        </row>
        <row r="36">
          <cell r="A36" t="str">
            <v>2023-IT-12</v>
          </cell>
          <cell r="B36" t="str">
            <v>Ali Ahmad</v>
          </cell>
          <cell r="D36">
            <v>8</v>
          </cell>
          <cell r="E36">
            <v>15</v>
          </cell>
          <cell r="F36">
            <v>7</v>
          </cell>
          <cell r="G36">
            <v>21</v>
          </cell>
          <cell r="H36">
            <v>8</v>
          </cell>
        </row>
        <row r="37">
          <cell r="A37" t="str">
            <v>2023-IT-13</v>
          </cell>
          <cell r="B37" t="str">
            <v>Muhammad Daud</v>
          </cell>
          <cell r="D37">
            <v>8</v>
          </cell>
          <cell r="E37">
            <v>18</v>
          </cell>
          <cell r="F37">
            <v>8</v>
          </cell>
          <cell r="G37">
            <v>23</v>
          </cell>
          <cell r="H37">
            <v>9</v>
          </cell>
        </row>
        <row r="38">
          <cell r="A38" t="str">
            <v>2023-IT-14</v>
          </cell>
          <cell r="B38" t="str">
            <v>Mursil Mateen</v>
          </cell>
          <cell r="D38">
            <v>10</v>
          </cell>
          <cell r="E38">
            <v>16</v>
          </cell>
          <cell r="F38">
            <v>7</v>
          </cell>
          <cell r="G38">
            <v>25</v>
          </cell>
          <cell r="H38">
            <v>9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2023-IT-18</v>
          </cell>
          <cell r="B40" t="str">
            <v>Adeel Maqbool</v>
          </cell>
          <cell r="D40">
            <v>8</v>
          </cell>
          <cell r="E40">
            <v>16</v>
          </cell>
          <cell r="F40">
            <v>9</v>
          </cell>
          <cell r="G40">
            <v>26</v>
          </cell>
          <cell r="H40">
            <v>9</v>
          </cell>
        </row>
        <row r="41">
          <cell r="A41" t="str">
            <v>2023-IT-20</v>
          </cell>
          <cell r="B41" t="str">
            <v>Husnain Saleem</v>
          </cell>
          <cell r="D41">
            <v>8</v>
          </cell>
          <cell r="E41">
            <v>20</v>
          </cell>
          <cell r="F41">
            <v>8</v>
          </cell>
          <cell r="G41">
            <v>29</v>
          </cell>
          <cell r="H41">
            <v>8</v>
          </cell>
        </row>
        <row r="42">
          <cell r="A42" t="str">
            <v>2023-IT-22</v>
          </cell>
          <cell r="B42" t="str">
            <v>Muhammad Sameer</v>
          </cell>
          <cell r="D42">
            <v>7</v>
          </cell>
          <cell r="E42">
            <v>20</v>
          </cell>
          <cell r="F42">
            <v>8</v>
          </cell>
          <cell r="G42">
            <v>25</v>
          </cell>
          <cell r="H42">
            <v>9</v>
          </cell>
        </row>
        <row r="43">
          <cell r="A43" t="str">
            <v>2023-IT-24</v>
          </cell>
          <cell r="B43" t="str">
            <v>Sher Shah Hussain</v>
          </cell>
          <cell r="D43">
            <v>8</v>
          </cell>
          <cell r="E43">
            <v>11</v>
          </cell>
          <cell r="F43">
            <v>8</v>
          </cell>
          <cell r="G43">
            <v>23</v>
          </cell>
          <cell r="H43">
            <v>8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9</v>
          </cell>
          <cell r="E45">
            <v>17</v>
          </cell>
          <cell r="F45">
            <v>8</v>
          </cell>
          <cell r="G45">
            <v>22</v>
          </cell>
          <cell r="H45">
            <v>8</v>
          </cell>
        </row>
        <row r="46">
          <cell r="A46" t="str">
            <v>2023-IT-32</v>
          </cell>
          <cell r="B46" t="str">
            <v>Muhammad Faisal</v>
          </cell>
          <cell r="D46">
            <v>8</v>
          </cell>
          <cell r="E46">
            <v>19</v>
          </cell>
          <cell r="F46">
            <v>8</v>
          </cell>
          <cell r="G46">
            <v>28</v>
          </cell>
          <cell r="H46">
            <v>8</v>
          </cell>
        </row>
        <row r="47">
          <cell r="A47" t="str">
            <v>2023-IT-34</v>
          </cell>
          <cell r="B47" t="str">
            <v>Jamshaid Abbas</v>
          </cell>
          <cell r="D47">
            <v>7</v>
          </cell>
          <cell r="E47">
            <v>14</v>
          </cell>
          <cell r="F47">
            <v>8</v>
          </cell>
          <cell r="G47">
            <v>21</v>
          </cell>
          <cell r="H47">
            <v>8</v>
          </cell>
        </row>
        <row r="48">
          <cell r="A48" t="str">
            <v>2023-IT-38</v>
          </cell>
          <cell r="B48" t="str">
            <v>Sherzaman Bukhari</v>
          </cell>
          <cell r="D48">
            <v>8</v>
          </cell>
          <cell r="E48">
            <v>15</v>
          </cell>
          <cell r="F48">
            <v>8</v>
          </cell>
          <cell r="G48">
            <v>25</v>
          </cell>
          <cell r="H48">
            <v>8</v>
          </cell>
        </row>
        <row r="49">
          <cell r="A49" t="str">
            <v>2023-IT-40</v>
          </cell>
          <cell r="B49" t="str">
            <v>Ahmad Raza Shareef</v>
          </cell>
          <cell r="D49">
            <v>8</v>
          </cell>
          <cell r="E49">
            <v>20</v>
          </cell>
          <cell r="F49">
            <v>7</v>
          </cell>
          <cell r="G49">
            <v>22</v>
          </cell>
          <cell r="H49">
            <v>9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7</v>
          </cell>
          <cell r="E51">
            <v>12</v>
          </cell>
          <cell r="F51">
            <v>6</v>
          </cell>
          <cell r="G51">
            <v>24</v>
          </cell>
          <cell r="H51">
            <v>7</v>
          </cell>
        </row>
        <row r="52">
          <cell r="A52" t="str">
            <v>2023-IT-44</v>
          </cell>
          <cell r="B52" t="str">
            <v>Muhammad Nouman Aslam</v>
          </cell>
          <cell r="D52">
            <v>9</v>
          </cell>
          <cell r="E52">
            <v>17</v>
          </cell>
          <cell r="F52">
            <v>8</v>
          </cell>
          <cell r="G52">
            <v>26</v>
          </cell>
          <cell r="H52">
            <v>9</v>
          </cell>
        </row>
        <row r="53">
          <cell r="A53" t="str">
            <v>2023-IT-46</v>
          </cell>
          <cell r="B53" t="str">
            <v>Muhammad Haseeb Anjum</v>
          </cell>
          <cell r="D53">
            <v>8</v>
          </cell>
          <cell r="E53">
            <v>17</v>
          </cell>
          <cell r="F53">
            <v>9</v>
          </cell>
          <cell r="G53">
            <v>24</v>
          </cell>
          <cell r="H53">
            <v>9</v>
          </cell>
        </row>
        <row r="54">
          <cell r="A54" t="str">
            <v>2023-IT-48</v>
          </cell>
          <cell r="B54" t="str">
            <v>Muhammad Arslan Waheed</v>
          </cell>
          <cell r="D54">
            <v>8</v>
          </cell>
          <cell r="E54">
            <v>17</v>
          </cell>
          <cell r="F54">
            <v>8</v>
          </cell>
          <cell r="G54">
            <v>21</v>
          </cell>
          <cell r="H54">
            <v>7</v>
          </cell>
        </row>
        <row r="55">
          <cell r="A55" t="str">
            <v>2023-IT-50</v>
          </cell>
          <cell r="B55" t="str">
            <v>Hafiz Muhammad Hasnain Saif</v>
          </cell>
          <cell r="D55">
            <v>8</v>
          </cell>
          <cell r="E55">
            <v>15</v>
          </cell>
          <cell r="F55">
            <v>7</v>
          </cell>
          <cell r="G55">
            <v>21</v>
          </cell>
          <cell r="H55">
            <v>8</v>
          </cell>
        </row>
        <row r="56">
          <cell r="A56" t="str">
            <v>2023-IT-54</v>
          </cell>
          <cell r="B56" t="str">
            <v>Muhammad Zeeshan</v>
          </cell>
          <cell r="D56">
            <v>9</v>
          </cell>
          <cell r="E56">
            <v>11</v>
          </cell>
          <cell r="F56">
            <v>7</v>
          </cell>
          <cell r="G56">
            <v>21</v>
          </cell>
          <cell r="H56">
            <v>7</v>
          </cell>
        </row>
        <row r="57">
          <cell r="A57" t="str">
            <v>2023-IT-56</v>
          </cell>
          <cell r="B57" t="str">
            <v>Muhammad Adeel</v>
          </cell>
          <cell r="D57">
            <v>7</v>
          </cell>
          <cell r="E57">
            <v>16</v>
          </cell>
          <cell r="F57">
            <v>9</v>
          </cell>
          <cell r="G57">
            <v>20</v>
          </cell>
          <cell r="H57">
            <v>7</v>
          </cell>
        </row>
        <row r="58">
          <cell r="A58" t="str">
            <v>2023-IT-60</v>
          </cell>
          <cell r="B58" t="str">
            <v>Mughees Ahmad</v>
          </cell>
          <cell r="D58">
            <v>8</v>
          </cell>
          <cell r="E58">
            <v>18</v>
          </cell>
          <cell r="F58">
            <v>7</v>
          </cell>
          <cell r="G58">
            <v>20</v>
          </cell>
          <cell r="H58">
            <v>8</v>
          </cell>
        </row>
        <row r="59">
          <cell r="A59" t="str">
            <v>2023-IT-62</v>
          </cell>
          <cell r="B59" t="str">
            <v>Muhammad Azeem</v>
          </cell>
          <cell r="D59">
            <v>7</v>
          </cell>
          <cell r="E59">
            <v>20</v>
          </cell>
          <cell r="F59">
            <v>8</v>
          </cell>
          <cell r="G59">
            <v>22</v>
          </cell>
          <cell r="H59">
            <v>8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8</v>
          </cell>
          <cell r="E61">
            <v>15</v>
          </cell>
          <cell r="F61">
            <v>9</v>
          </cell>
          <cell r="G61">
            <v>24</v>
          </cell>
          <cell r="H61">
            <v>9</v>
          </cell>
        </row>
        <row r="62">
          <cell r="A62" t="str">
            <v>2023-IT-68</v>
          </cell>
          <cell r="B62" t="str">
            <v>Muhammad Mubashir</v>
          </cell>
          <cell r="D62">
            <v>8</v>
          </cell>
          <cell r="E62">
            <v>22</v>
          </cell>
          <cell r="F62">
            <v>7</v>
          </cell>
          <cell r="G62">
            <v>18</v>
          </cell>
          <cell r="H62">
            <v>8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8</v>
          </cell>
          <cell r="E64">
            <v>16</v>
          </cell>
          <cell r="F64">
            <v>9</v>
          </cell>
          <cell r="G64">
            <v>23</v>
          </cell>
          <cell r="H64">
            <v>9</v>
          </cell>
        </row>
        <row r="65">
          <cell r="A65" t="str">
            <v>2023-IT-74</v>
          </cell>
          <cell r="B65" t="str">
            <v>Ashir Mudassir</v>
          </cell>
          <cell r="D65">
            <v>8</v>
          </cell>
          <cell r="E65">
            <v>9</v>
          </cell>
          <cell r="F65">
            <v>7</v>
          </cell>
          <cell r="G65">
            <v>22</v>
          </cell>
          <cell r="H65">
            <v>7</v>
          </cell>
        </row>
        <row r="66">
          <cell r="A66" t="str">
            <v>2023-IT-76</v>
          </cell>
          <cell r="B66" t="str">
            <v>Rao Usama</v>
          </cell>
          <cell r="D66">
            <v>8</v>
          </cell>
          <cell r="E66">
            <v>14</v>
          </cell>
          <cell r="F66">
            <v>8</v>
          </cell>
          <cell r="G66">
            <v>27</v>
          </cell>
          <cell r="H66">
            <v>8</v>
          </cell>
        </row>
        <row r="67">
          <cell r="A67" t="str">
            <v>2023-IT-78</v>
          </cell>
          <cell r="B67" t="str">
            <v>Muhammad Zaman</v>
          </cell>
          <cell r="D67">
            <v>7</v>
          </cell>
          <cell r="E67">
            <v>9</v>
          </cell>
          <cell r="F67">
            <v>8</v>
          </cell>
          <cell r="G67">
            <v>27</v>
          </cell>
          <cell r="H67">
            <v>8</v>
          </cell>
        </row>
        <row r="68">
          <cell r="A68" t="str">
            <v>2023-IT-79</v>
          </cell>
          <cell r="B68" t="str">
            <v>Iqra Moeen</v>
          </cell>
          <cell r="D68">
            <v>8</v>
          </cell>
          <cell r="E68">
            <v>18</v>
          </cell>
          <cell r="F68">
            <v>8</v>
          </cell>
          <cell r="G68">
            <v>28</v>
          </cell>
          <cell r="H68">
            <v>8</v>
          </cell>
        </row>
        <row r="69">
          <cell r="A69" t="str">
            <v>2023-IT-80</v>
          </cell>
          <cell r="B69" t="str">
            <v>Ali Raza</v>
          </cell>
          <cell r="D69">
            <v>8</v>
          </cell>
          <cell r="E69">
            <v>13</v>
          </cell>
          <cell r="F69">
            <v>9</v>
          </cell>
          <cell r="G69">
            <v>25</v>
          </cell>
          <cell r="H69">
            <v>9</v>
          </cell>
        </row>
      </sheetData>
      <sheetData sheetId="1" refreshError="1"/>
      <sheetData sheetId="2">
        <row r="1">
          <cell r="A1" t="str">
            <v>CLO1</v>
          </cell>
          <cell r="K1">
            <v>30</v>
          </cell>
          <cell r="N1" t="str">
            <v>PLO1</v>
          </cell>
          <cell r="X1">
            <v>0</v>
          </cell>
        </row>
        <row r="2">
          <cell r="K2">
            <v>40</v>
          </cell>
          <cell r="X2">
            <v>60</v>
          </cell>
        </row>
        <row r="3">
          <cell r="K3">
            <v>20</v>
          </cell>
          <cell r="X3">
            <v>0</v>
          </cell>
        </row>
        <row r="4">
          <cell r="K4">
            <v>10</v>
          </cell>
          <cell r="X4">
            <v>40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LD A"/>
      <sheetName val="OBE Sheet"/>
      <sheetName val="CLO &amp; PLO"/>
    </sheetNames>
    <sheetDataSet>
      <sheetData sheetId="0">
        <row r="5">
          <cell r="B5" t="str">
            <v>Title (Code):   Digital Logic Design (IT-122)</v>
          </cell>
          <cell r="H5" t="str">
            <v>Engr. Nashitah Alwaz</v>
          </cell>
        </row>
        <row r="26">
          <cell r="A26" t="str">
            <v>2023-IT-01</v>
          </cell>
          <cell r="B26" t="str">
            <v>Rahma Noor</v>
          </cell>
          <cell r="D26">
            <v>6</v>
          </cell>
          <cell r="E26">
            <v>8</v>
          </cell>
          <cell r="F26">
            <v>6</v>
          </cell>
          <cell r="G26">
            <v>21</v>
          </cell>
          <cell r="H26">
            <v>8</v>
          </cell>
        </row>
        <row r="27">
          <cell r="A27" t="str">
            <v>2023-IT-02</v>
          </cell>
          <cell r="B27" t="str">
            <v>Alishba Manzoor</v>
          </cell>
          <cell r="D27">
            <v>7</v>
          </cell>
          <cell r="E27">
            <v>6</v>
          </cell>
          <cell r="F27">
            <v>7</v>
          </cell>
          <cell r="G27">
            <v>11</v>
          </cell>
          <cell r="H27">
            <v>8</v>
          </cell>
        </row>
        <row r="28">
          <cell r="A28" t="str">
            <v>2023-IT-03</v>
          </cell>
          <cell r="B28" t="str">
            <v>Maheen Fatima</v>
          </cell>
          <cell r="D28">
            <v>6</v>
          </cell>
          <cell r="E28">
            <v>11</v>
          </cell>
          <cell r="F28">
            <v>6</v>
          </cell>
          <cell r="G28">
            <v>14</v>
          </cell>
          <cell r="H28">
            <v>8</v>
          </cell>
        </row>
        <row r="29">
          <cell r="A29" t="str">
            <v>2023-IT-04</v>
          </cell>
          <cell r="B29" t="str">
            <v>Aneela</v>
          </cell>
          <cell r="D29">
            <v>6</v>
          </cell>
          <cell r="E29">
            <v>12</v>
          </cell>
          <cell r="F29">
            <v>6</v>
          </cell>
          <cell r="G29">
            <v>20</v>
          </cell>
          <cell r="H29">
            <v>8</v>
          </cell>
        </row>
        <row r="30">
          <cell r="A30" t="str">
            <v>2023-IT-05</v>
          </cell>
          <cell r="B30" t="str">
            <v>Alishba Saleem</v>
          </cell>
          <cell r="D30">
            <v>5</v>
          </cell>
          <cell r="E30">
            <v>17</v>
          </cell>
          <cell r="F30">
            <v>5</v>
          </cell>
          <cell r="G30">
            <v>19</v>
          </cell>
          <cell r="H30">
            <v>8</v>
          </cell>
        </row>
        <row r="31">
          <cell r="A31" t="str">
            <v>2023-IT-06</v>
          </cell>
          <cell r="B31" t="str">
            <v>Mehak Asghar</v>
          </cell>
          <cell r="D31">
            <v>8</v>
          </cell>
          <cell r="E31">
            <v>21</v>
          </cell>
          <cell r="F31">
            <v>9</v>
          </cell>
          <cell r="G31">
            <v>38</v>
          </cell>
          <cell r="H31">
            <v>9</v>
          </cell>
        </row>
        <row r="32">
          <cell r="A32" t="str">
            <v>2023-IT-07</v>
          </cell>
          <cell r="B32" t="str">
            <v>Humaira Afzal</v>
          </cell>
          <cell r="D32">
            <v>8</v>
          </cell>
          <cell r="E32">
            <v>13</v>
          </cell>
          <cell r="F32">
            <v>8</v>
          </cell>
          <cell r="G32">
            <v>19</v>
          </cell>
          <cell r="H32">
            <v>8</v>
          </cell>
        </row>
        <row r="33">
          <cell r="A33" t="str">
            <v>2023-IT-08</v>
          </cell>
          <cell r="B33" t="str">
            <v>Saleena Khan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2023-IT-10</v>
          </cell>
          <cell r="B34" t="str">
            <v>Asad Ullah</v>
          </cell>
          <cell r="D34">
            <v>7</v>
          </cell>
          <cell r="E34">
            <v>16</v>
          </cell>
          <cell r="F34">
            <v>6</v>
          </cell>
          <cell r="G34">
            <v>18</v>
          </cell>
          <cell r="H34">
            <v>8</v>
          </cell>
        </row>
        <row r="35">
          <cell r="A35" t="str">
            <v>2023-IT-11</v>
          </cell>
          <cell r="B35" t="str">
            <v>Rana Talha dawood</v>
          </cell>
          <cell r="D35">
            <v>7</v>
          </cell>
          <cell r="E35">
            <v>20</v>
          </cell>
          <cell r="F35">
            <v>6</v>
          </cell>
          <cell r="G35">
            <v>24</v>
          </cell>
          <cell r="H35">
            <v>8</v>
          </cell>
        </row>
        <row r="36">
          <cell r="A36" t="str">
            <v>2023-IT-12</v>
          </cell>
          <cell r="B36" t="str">
            <v>Ali Ahmad</v>
          </cell>
          <cell r="D36">
            <v>7</v>
          </cell>
          <cell r="E36">
            <v>19</v>
          </cell>
          <cell r="F36">
            <v>7</v>
          </cell>
          <cell r="G36">
            <v>20</v>
          </cell>
          <cell r="H36">
            <v>8</v>
          </cell>
        </row>
        <row r="37">
          <cell r="A37" t="str">
            <v>2023-IT-13</v>
          </cell>
          <cell r="B37" t="str">
            <v>Muhammad Daud</v>
          </cell>
          <cell r="D37">
            <v>5</v>
          </cell>
          <cell r="E37">
            <v>10</v>
          </cell>
          <cell r="F37">
            <v>7</v>
          </cell>
          <cell r="G37">
            <v>10</v>
          </cell>
          <cell r="H37">
            <v>8</v>
          </cell>
        </row>
        <row r="38">
          <cell r="A38" t="str">
            <v>2023-IT-14</v>
          </cell>
          <cell r="B38" t="str">
            <v>Mursil Mateen</v>
          </cell>
          <cell r="D38">
            <v>6</v>
          </cell>
          <cell r="E38">
            <v>12</v>
          </cell>
          <cell r="F38">
            <v>4</v>
          </cell>
          <cell r="G38">
            <v>12</v>
          </cell>
          <cell r="H38">
            <v>8</v>
          </cell>
        </row>
        <row r="39">
          <cell r="A39" t="str">
            <v>2023-IT-16</v>
          </cell>
          <cell r="B39" t="str">
            <v>Muhammad Usman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2023-IT-18</v>
          </cell>
          <cell r="B40" t="str">
            <v>Adeel Maqbool</v>
          </cell>
          <cell r="D40">
            <v>7</v>
          </cell>
          <cell r="E40">
            <v>15</v>
          </cell>
          <cell r="F40">
            <v>7</v>
          </cell>
          <cell r="G40">
            <v>19</v>
          </cell>
          <cell r="H40">
            <v>7</v>
          </cell>
        </row>
        <row r="41">
          <cell r="A41" t="str">
            <v>2023-IT-20</v>
          </cell>
          <cell r="B41" t="str">
            <v>Husnain Saleem</v>
          </cell>
          <cell r="D41">
            <v>5</v>
          </cell>
          <cell r="E41">
            <v>18</v>
          </cell>
          <cell r="F41">
            <v>6</v>
          </cell>
          <cell r="G41">
            <v>19</v>
          </cell>
          <cell r="H41">
            <v>8</v>
          </cell>
        </row>
        <row r="42">
          <cell r="A42" t="str">
            <v>2023-IT-22</v>
          </cell>
          <cell r="B42" t="str">
            <v>Muhammad Sameer</v>
          </cell>
          <cell r="D42">
            <v>6</v>
          </cell>
          <cell r="E42">
            <v>16</v>
          </cell>
          <cell r="F42">
            <v>8</v>
          </cell>
          <cell r="G42">
            <v>30</v>
          </cell>
          <cell r="H42">
            <v>8</v>
          </cell>
        </row>
        <row r="43">
          <cell r="A43" t="str">
            <v>2023-IT-24</v>
          </cell>
          <cell r="B43" t="str">
            <v>Sher Shah Hussain</v>
          </cell>
          <cell r="D43">
            <v>6</v>
          </cell>
          <cell r="E43">
            <v>12</v>
          </cell>
          <cell r="F43">
            <v>7</v>
          </cell>
          <cell r="G43">
            <v>23</v>
          </cell>
          <cell r="H43">
            <v>8</v>
          </cell>
        </row>
        <row r="44">
          <cell r="A44" t="str">
            <v>2023-IT-26</v>
          </cell>
          <cell r="B44" t="str">
            <v>Abdul Ahad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2023-IT-28</v>
          </cell>
          <cell r="B45" t="str">
            <v>Ahmad Latif</v>
          </cell>
          <cell r="D45">
            <v>4</v>
          </cell>
          <cell r="E45">
            <v>18</v>
          </cell>
          <cell r="F45">
            <v>5</v>
          </cell>
          <cell r="G45">
            <v>14</v>
          </cell>
          <cell r="H45">
            <v>8</v>
          </cell>
        </row>
        <row r="46">
          <cell r="A46" t="str">
            <v>2023-IT-32</v>
          </cell>
          <cell r="B46" t="str">
            <v>Muhammad Faisal</v>
          </cell>
          <cell r="D46">
            <v>8</v>
          </cell>
          <cell r="E46">
            <v>20</v>
          </cell>
          <cell r="F46">
            <v>7</v>
          </cell>
          <cell r="G46">
            <v>22</v>
          </cell>
          <cell r="H46">
            <v>8</v>
          </cell>
        </row>
        <row r="47">
          <cell r="A47" t="str">
            <v>2023-IT-34</v>
          </cell>
          <cell r="B47" t="str">
            <v>Jamshaid Abbas</v>
          </cell>
          <cell r="D47">
            <v>7</v>
          </cell>
          <cell r="E47">
            <v>15</v>
          </cell>
          <cell r="F47">
            <v>6</v>
          </cell>
          <cell r="G47">
            <v>19</v>
          </cell>
          <cell r="H47">
            <v>8</v>
          </cell>
        </row>
        <row r="48">
          <cell r="A48" t="str">
            <v>2023-IT-38</v>
          </cell>
          <cell r="B48" t="str">
            <v>Sherzaman Bukhari</v>
          </cell>
          <cell r="D48">
            <v>6</v>
          </cell>
          <cell r="E48">
            <v>14</v>
          </cell>
          <cell r="F48">
            <v>7</v>
          </cell>
          <cell r="G48">
            <v>21</v>
          </cell>
          <cell r="H48">
            <v>8</v>
          </cell>
        </row>
        <row r="49">
          <cell r="A49" t="str">
            <v>2023-IT-40</v>
          </cell>
          <cell r="B49" t="str">
            <v>Ahmad Raza Shareef</v>
          </cell>
          <cell r="D49">
            <v>7</v>
          </cell>
          <cell r="E49">
            <v>15</v>
          </cell>
          <cell r="F49">
            <v>7</v>
          </cell>
          <cell r="G49">
            <v>25</v>
          </cell>
          <cell r="H49">
            <v>8</v>
          </cell>
        </row>
        <row r="50">
          <cell r="A50" t="str">
            <v>2023-IT-41</v>
          </cell>
          <cell r="B50" t="str">
            <v>Anas Noor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2023-IT-42</v>
          </cell>
          <cell r="B51" t="str">
            <v>Muhammad Moosa Bhatti</v>
          </cell>
          <cell r="D51">
            <v>7</v>
          </cell>
          <cell r="E51">
            <v>13</v>
          </cell>
          <cell r="F51">
            <v>6</v>
          </cell>
          <cell r="G51">
            <v>23</v>
          </cell>
          <cell r="H51">
            <v>8</v>
          </cell>
        </row>
        <row r="52">
          <cell r="A52" t="str">
            <v>2023-IT-44</v>
          </cell>
          <cell r="B52" t="str">
            <v>Muhammad Nouman Aslam</v>
          </cell>
          <cell r="D52">
            <v>7</v>
          </cell>
          <cell r="E52">
            <v>16</v>
          </cell>
          <cell r="F52">
            <v>6</v>
          </cell>
          <cell r="G52">
            <v>20</v>
          </cell>
          <cell r="H52">
            <v>8</v>
          </cell>
        </row>
        <row r="53">
          <cell r="A53" t="str">
            <v>2023-IT-46</v>
          </cell>
          <cell r="B53" t="str">
            <v>Muhammad Haseeb Anjum</v>
          </cell>
          <cell r="D53">
            <v>8</v>
          </cell>
          <cell r="E53">
            <v>19</v>
          </cell>
          <cell r="F53">
            <v>5</v>
          </cell>
          <cell r="G53">
            <v>19</v>
          </cell>
          <cell r="H53">
            <v>8</v>
          </cell>
        </row>
        <row r="54">
          <cell r="A54" t="str">
            <v>2023-IT-48</v>
          </cell>
          <cell r="B54" t="str">
            <v>Muhammad Arslan Waheed</v>
          </cell>
          <cell r="D54">
            <v>6</v>
          </cell>
          <cell r="E54">
            <v>12</v>
          </cell>
          <cell r="F54">
            <v>5</v>
          </cell>
          <cell r="G54">
            <v>17</v>
          </cell>
          <cell r="H54">
            <v>8</v>
          </cell>
        </row>
        <row r="55">
          <cell r="A55" t="str">
            <v>2023-IT-50</v>
          </cell>
          <cell r="B55" t="str">
            <v>Hafiz Muhammad Hasnain Saif</v>
          </cell>
          <cell r="D55">
            <v>8</v>
          </cell>
          <cell r="E55">
            <v>18</v>
          </cell>
          <cell r="F55">
            <v>8</v>
          </cell>
          <cell r="G55">
            <v>27</v>
          </cell>
          <cell r="H55">
            <v>8</v>
          </cell>
        </row>
        <row r="56">
          <cell r="A56" t="str">
            <v>2023-IT-54</v>
          </cell>
          <cell r="B56" t="str">
            <v>Muhammad Zeeshan</v>
          </cell>
          <cell r="D56">
            <v>4</v>
          </cell>
          <cell r="E56">
            <v>11</v>
          </cell>
          <cell r="F56">
            <v>6</v>
          </cell>
          <cell r="G56">
            <v>16</v>
          </cell>
          <cell r="H56">
            <v>8</v>
          </cell>
        </row>
        <row r="57">
          <cell r="A57" t="str">
            <v>2023-IT-56</v>
          </cell>
          <cell r="B57" t="str">
            <v>Muhammad Adeel</v>
          </cell>
          <cell r="D57">
            <v>5</v>
          </cell>
          <cell r="E57">
            <v>0</v>
          </cell>
          <cell r="F57">
            <v>4</v>
          </cell>
          <cell r="G57">
            <v>9</v>
          </cell>
          <cell r="H57">
            <v>8</v>
          </cell>
        </row>
        <row r="58">
          <cell r="A58" t="str">
            <v>2023-IT-60</v>
          </cell>
          <cell r="B58" t="str">
            <v>Mughees Ahmad</v>
          </cell>
          <cell r="D58">
            <v>6</v>
          </cell>
          <cell r="E58">
            <v>19</v>
          </cell>
          <cell r="F58">
            <v>4</v>
          </cell>
          <cell r="G58">
            <v>13</v>
          </cell>
          <cell r="H58">
            <v>8</v>
          </cell>
        </row>
        <row r="59">
          <cell r="A59" t="str">
            <v>2023-IT-62</v>
          </cell>
          <cell r="B59" t="str">
            <v>Muhammad Azeem</v>
          </cell>
          <cell r="D59">
            <v>7</v>
          </cell>
          <cell r="E59">
            <v>10</v>
          </cell>
          <cell r="F59">
            <v>7</v>
          </cell>
          <cell r="G59">
            <v>27</v>
          </cell>
          <cell r="H59">
            <v>8</v>
          </cell>
        </row>
        <row r="60">
          <cell r="A60" t="str">
            <v>2023-IT-64</v>
          </cell>
          <cell r="B60" t="str">
            <v>Abdul Ahad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2023-IT-66</v>
          </cell>
          <cell r="B61" t="str">
            <v>Muhammad Haris Javed</v>
          </cell>
          <cell r="D61">
            <v>8</v>
          </cell>
          <cell r="E61">
            <v>19</v>
          </cell>
          <cell r="F61">
            <v>8</v>
          </cell>
          <cell r="G61">
            <v>31</v>
          </cell>
          <cell r="H61">
            <v>9</v>
          </cell>
        </row>
        <row r="62">
          <cell r="A62" t="str">
            <v>2023-IT-68</v>
          </cell>
          <cell r="B62" t="str">
            <v>Muhammad Mubashir</v>
          </cell>
          <cell r="D62">
            <v>7</v>
          </cell>
          <cell r="E62">
            <v>16</v>
          </cell>
          <cell r="F62">
            <v>8</v>
          </cell>
          <cell r="G62">
            <v>30</v>
          </cell>
          <cell r="H62">
            <v>9</v>
          </cell>
        </row>
        <row r="63">
          <cell r="A63" t="str">
            <v>2023-IT-70</v>
          </cell>
          <cell r="B63" t="str">
            <v>Muhammad Usama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2023-IT-72</v>
          </cell>
          <cell r="B64" t="str">
            <v>Muhammad Zohaib Akhtar</v>
          </cell>
          <cell r="D64">
            <v>8</v>
          </cell>
          <cell r="E64">
            <v>19</v>
          </cell>
          <cell r="F64">
            <v>7</v>
          </cell>
          <cell r="G64">
            <v>33</v>
          </cell>
          <cell r="H64">
            <v>9</v>
          </cell>
        </row>
        <row r="65">
          <cell r="A65" t="str">
            <v>2023-IT-74</v>
          </cell>
          <cell r="B65" t="str">
            <v>Ashir Mudassir</v>
          </cell>
          <cell r="D65">
            <v>6</v>
          </cell>
          <cell r="E65">
            <v>16</v>
          </cell>
          <cell r="F65">
            <v>7</v>
          </cell>
          <cell r="G65">
            <v>28</v>
          </cell>
          <cell r="H65">
            <v>8</v>
          </cell>
        </row>
        <row r="66">
          <cell r="A66" t="str">
            <v>2023-IT-76</v>
          </cell>
          <cell r="B66" t="str">
            <v>Rao Usama</v>
          </cell>
          <cell r="D66">
            <v>5</v>
          </cell>
          <cell r="E66">
            <v>23</v>
          </cell>
          <cell r="F66">
            <v>6</v>
          </cell>
          <cell r="G66">
            <v>22</v>
          </cell>
          <cell r="H66">
            <v>8</v>
          </cell>
        </row>
        <row r="67">
          <cell r="A67" t="str">
            <v>2023-IT-78</v>
          </cell>
          <cell r="B67" t="str">
            <v>Muhammad Zaman</v>
          </cell>
          <cell r="D67">
            <v>5</v>
          </cell>
          <cell r="E67">
            <v>16</v>
          </cell>
          <cell r="F67">
            <v>5</v>
          </cell>
          <cell r="G67">
            <v>19</v>
          </cell>
          <cell r="H67">
            <v>8</v>
          </cell>
        </row>
        <row r="68">
          <cell r="A68" t="str">
            <v>2023-IT-79</v>
          </cell>
          <cell r="B68" t="str">
            <v>Iqra Moeen</v>
          </cell>
          <cell r="D68">
            <v>4</v>
          </cell>
          <cell r="E68">
            <v>10</v>
          </cell>
          <cell r="F68">
            <v>5</v>
          </cell>
          <cell r="G68">
            <v>23</v>
          </cell>
          <cell r="H68">
            <v>8</v>
          </cell>
        </row>
        <row r="69">
          <cell r="A69" t="str">
            <v>2023-IT-80</v>
          </cell>
          <cell r="B69" t="str">
            <v>Ali Raza</v>
          </cell>
          <cell r="D69">
            <v>7</v>
          </cell>
          <cell r="E69">
            <v>21</v>
          </cell>
          <cell r="F69">
            <v>7</v>
          </cell>
          <cell r="G69">
            <v>23</v>
          </cell>
          <cell r="H69">
            <v>8</v>
          </cell>
        </row>
      </sheetData>
      <sheetData sheetId="1">
        <row r="57">
          <cell r="F57" t="str">
            <v>PLO1</v>
          </cell>
        </row>
      </sheetData>
      <sheetData sheetId="2">
        <row r="1">
          <cell r="A1" t="str">
            <v>CLO1</v>
          </cell>
          <cell r="K1">
            <v>30</v>
          </cell>
          <cell r="N1" t="str">
            <v>PLO1</v>
          </cell>
          <cell r="X1">
            <v>0</v>
          </cell>
        </row>
        <row r="2">
          <cell r="K2">
            <v>40</v>
          </cell>
          <cell r="X2">
            <v>70</v>
          </cell>
        </row>
        <row r="3">
          <cell r="K3">
            <v>20</v>
          </cell>
          <cell r="X3">
            <v>0</v>
          </cell>
        </row>
        <row r="4">
          <cell r="K4">
            <v>10</v>
          </cell>
          <cell r="X4">
            <v>30</v>
          </cell>
        </row>
        <row r="5">
          <cell r="K5">
            <v>0</v>
          </cell>
          <cell r="X5">
            <v>0</v>
          </cell>
        </row>
        <row r="6">
          <cell r="K6">
            <v>0</v>
          </cell>
          <cell r="X6">
            <v>0</v>
          </cell>
        </row>
        <row r="7">
          <cell r="K7">
            <v>0</v>
          </cell>
          <cell r="X7">
            <v>0</v>
          </cell>
        </row>
        <row r="8">
          <cell r="K8">
            <v>0</v>
          </cell>
          <cell r="X8">
            <v>0</v>
          </cell>
        </row>
        <row r="9">
          <cell r="K9">
            <v>0</v>
          </cell>
          <cell r="X9">
            <v>0</v>
          </cell>
        </row>
        <row r="10">
          <cell r="K10">
            <v>0</v>
          </cell>
          <cell r="X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2142-0764-437C-8F43-BD845F67D418}">
  <sheetPr>
    <pageSetUpPr fitToPage="1"/>
  </sheetPr>
  <dimension ref="B1:AA100"/>
  <sheetViews>
    <sheetView topLeftCell="C1" zoomScale="41" zoomScaleNormal="41" zoomScalePageLayoutView="22" workbookViewId="0">
      <pane ySplit="6" topLeftCell="A7" activePane="bottomLeft" state="frozen"/>
      <selection pane="bottomLeft" activeCell="X9" sqref="X9"/>
    </sheetView>
  </sheetViews>
  <sheetFormatPr defaultColWidth="9.140625" defaultRowHeight="20.25" x14ac:dyDescent="0.25"/>
  <cols>
    <col min="1" max="1" width="7.7109375" style="2" customWidth="1"/>
    <col min="2" max="2" width="11.140625" style="64" customWidth="1"/>
    <col min="3" max="3" width="63.28515625" style="2" customWidth="1"/>
    <col min="4" max="4" width="49.140625" style="2" customWidth="1"/>
    <col min="5" max="5" width="21.7109375" style="2" customWidth="1"/>
    <col min="6" max="7" width="14.42578125" style="2" customWidth="1"/>
    <col min="8" max="8" width="15" style="2" customWidth="1"/>
    <col min="9" max="9" width="15.28515625" style="2" customWidth="1"/>
    <col min="10" max="10" width="22.85546875" style="2" customWidth="1"/>
    <col min="11" max="11" width="24.5703125" style="2" customWidth="1"/>
    <col min="12" max="13" width="18" style="2" customWidth="1"/>
    <col min="14" max="14" width="11.7109375" style="2" customWidth="1"/>
    <col min="15" max="15" width="19.85546875" style="2" customWidth="1"/>
    <col min="16" max="16" width="12.7109375" style="2" customWidth="1"/>
    <col min="17" max="17" width="18.28515625" style="2" customWidth="1"/>
    <col min="18" max="18" width="15.42578125" style="2" bestFit="1" customWidth="1"/>
    <col min="19" max="20" width="9.140625" style="2" customWidth="1"/>
    <col min="21" max="21" width="10.42578125" style="2" customWidth="1"/>
    <col min="22" max="22" width="9.140625" style="2" customWidth="1"/>
    <col min="23" max="23" width="11.140625" style="2" customWidth="1"/>
    <col min="24" max="24" width="11.85546875" style="2" customWidth="1"/>
    <col min="25" max="25" width="9.140625" style="2" customWidth="1"/>
    <col min="26" max="26" width="13.140625" style="2" customWidth="1"/>
    <col min="27" max="27" width="14.7109375" style="2" customWidth="1"/>
    <col min="28" max="16384" width="9.140625" style="2"/>
  </cols>
  <sheetData>
    <row r="1" spans="2:27" ht="51" customHeight="1" x14ac:dyDescent="0.25">
      <c r="B1" s="313" t="str">
        <f>[1]Theory!A1</f>
        <v>MNS - UNIVERSITY OF ENGINEERING AND TECHNOLOGY MULTAN</v>
      </c>
      <c r="C1" s="314"/>
      <c r="D1" s="314"/>
      <c r="E1" s="314"/>
      <c r="F1" s="314"/>
      <c r="G1" s="314"/>
      <c r="H1" s="314"/>
      <c r="I1" s="314"/>
      <c r="J1" s="314"/>
      <c r="K1" s="314"/>
      <c r="L1" s="315" t="str">
        <f>[1]Theory!B4</f>
        <v>Fall-2023-2027 (Evening-A)</v>
      </c>
      <c r="M1" s="315"/>
      <c r="N1" s="315"/>
      <c r="O1" s="316"/>
      <c r="P1" s="317" t="str">
        <f>[1]Theory!H3</f>
        <v>1st  Semester</v>
      </c>
      <c r="Q1" s="317"/>
      <c r="R1" s="317"/>
      <c r="S1" s="317" t="str">
        <f>[1]Theory!H4</f>
        <v>Fall 2023</v>
      </c>
      <c r="T1" s="317"/>
      <c r="U1" s="317"/>
      <c r="V1" s="317"/>
      <c r="W1" s="317"/>
      <c r="X1" s="317" t="str">
        <f>[1]Theory!H5</f>
        <v xml:space="preserve"> Engr. M Talha Jahangir</v>
      </c>
      <c r="Y1" s="317"/>
      <c r="Z1" s="317"/>
      <c r="AA1" s="317"/>
    </row>
    <row r="2" spans="2:27" ht="32.1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 t="str">
        <f>[1]Theory!B3</f>
        <v>BS Information Technology</v>
      </c>
      <c r="J2" s="308"/>
      <c r="K2" s="308"/>
      <c r="L2" s="308"/>
      <c r="M2" s="308"/>
      <c r="N2" s="308"/>
      <c r="O2" s="308"/>
      <c r="P2" s="308"/>
      <c r="Q2" s="309"/>
      <c r="R2" s="310" t="s">
        <v>1</v>
      </c>
      <c r="S2" s="311"/>
      <c r="T2" s="311"/>
      <c r="U2" s="311"/>
      <c r="V2" s="311"/>
      <c r="W2" s="311"/>
      <c r="X2" s="311"/>
      <c r="Y2" s="311"/>
      <c r="Z2" s="311"/>
      <c r="AA2" s="312"/>
    </row>
    <row r="3" spans="2:27" ht="32.1" customHeight="1" thickBot="1" x14ac:dyDescent="0.3">
      <c r="B3" s="318" t="s">
        <v>2</v>
      </c>
      <c r="C3" s="319"/>
      <c r="D3" s="319"/>
      <c r="E3" s="320" t="str">
        <f>[1]Theory!B5</f>
        <v>Title (Code):  Programming Fundamental (IT-111)</v>
      </c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2"/>
      <c r="R3" s="323"/>
      <c r="S3" s="324"/>
      <c r="T3" s="324"/>
      <c r="U3" s="324"/>
      <c r="V3" s="324"/>
      <c r="W3" s="324"/>
      <c r="X3" s="324"/>
      <c r="Y3" s="324"/>
      <c r="Z3" s="324"/>
      <c r="AA3" s="325"/>
    </row>
    <row r="4" spans="2:27" ht="59.25" customHeight="1" thickBot="1" x14ac:dyDescent="0.3">
      <c r="B4" s="326" t="s">
        <v>3</v>
      </c>
      <c r="C4" s="327"/>
      <c r="D4" s="328"/>
      <c r="E4" s="5" t="s">
        <v>4</v>
      </c>
      <c r="F4" s="329" t="s">
        <v>5</v>
      </c>
      <c r="G4" s="330"/>
      <c r="H4" s="330"/>
      <c r="I4" s="331"/>
      <c r="J4" s="5" t="s">
        <v>6</v>
      </c>
      <c r="K4" s="6" t="s">
        <v>7</v>
      </c>
      <c r="L4" s="329" t="s">
        <v>8</v>
      </c>
      <c r="M4" s="330"/>
      <c r="N4" s="330"/>
      <c r="O4" s="331"/>
      <c r="P4" s="7" t="s">
        <v>9</v>
      </c>
      <c r="Q4" s="8" t="s">
        <v>10</v>
      </c>
      <c r="R4" s="332" t="s">
        <v>11</v>
      </c>
      <c r="S4" s="333"/>
      <c r="T4" s="333"/>
      <c r="U4" s="333"/>
      <c r="V4" s="333"/>
      <c r="W4" s="333"/>
      <c r="X4" s="333"/>
      <c r="Y4" s="333"/>
      <c r="Z4" s="333"/>
      <c r="AA4" s="334"/>
    </row>
    <row r="5" spans="2:27" ht="50.25" customHeight="1" thickBot="1" x14ac:dyDescent="0.3">
      <c r="B5" s="364" t="s">
        <v>12</v>
      </c>
      <c r="C5" s="365"/>
      <c r="D5" s="366"/>
      <c r="E5" s="9">
        <v>10</v>
      </c>
      <c r="F5" s="367">
        <v>30</v>
      </c>
      <c r="G5" s="368"/>
      <c r="H5" s="369"/>
      <c r="I5" s="370"/>
      <c r="J5" s="9">
        <v>10</v>
      </c>
      <c r="K5" s="9">
        <v>10</v>
      </c>
      <c r="L5" s="10">
        <v>16</v>
      </c>
      <c r="M5" s="10">
        <v>14</v>
      </c>
      <c r="N5" s="10">
        <v>10</v>
      </c>
      <c r="O5" s="9">
        <v>40</v>
      </c>
      <c r="P5" s="9">
        <f>SUM(E5:N5)</f>
        <v>100</v>
      </c>
      <c r="Q5" s="11"/>
      <c r="R5" s="12" t="s">
        <v>13</v>
      </c>
      <c r="S5" s="13">
        <v>1</v>
      </c>
      <c r="T5" s="14">
        <v>2</v>
      </c>
      <c r="U5" s="14">
        <v>3</v>
      </c>
      <c r="V5" s="335"/>
      <c r="W5" s="336"/>
      <c r="X5" s="337"/>
      <c r="Y5" s="335"/>
      <c r="Z5" s="336"/>
      <c r="AA5" s="344"/>
    </row>
    <row r="6" spans="2:27" ht="56.25" customHeight="1" thickBot="1" x14ac:dyDescent="0.3">
      <c r="B6" s="347" t="s">
        <v>14</v>
      </c>
      <c r="C6" s="348"/>
      <c r="D6" s="349"/>
      <c r="E6" s="15" t="s">
        <v>15</v>
      </c>
      <c r="F6" s="15" t="s">
        <v>16</v>
      </c>
      <c r="G6" s="15" t="s">
        <v>17</v>
      </c>
      <c r="H6" s="15" t="s">
        <v>18</v>
      </c>
      <c r="I6" s="15" t="s">
        <v>9</v>
      </c>
      <c r="J6" s="15" t="s">
        <v>16</v>
      </c>
      <c r="K6" s="15" t="s">
        <v>16</v>
      </c>
      <c r="L6" s="15" t="s">
        <v>16</v>
      </c>
      <c r="M6" s="15" t="s">
        <v>17</v>
      </c>
      <c r="N6" s="15" t="s">
        <v>18</v>
      </c>
      <c r="O6" s="15" t="s">
        <v>9</v>
      </c>
      <c r="P6" s="16"/>
      <c r="Q6" s="17"/>
      <c r="R6" s="12" t="s">
        <v>19</v>
      </c>
      <c r="S6" s="13">
        <v>2</v>
      </c>
      <c r="T6" s="14">
        <v>2</v>
      </c>
      <c r="U6" s="14">
        <v>4</v>
      </c>
      <c r="V6" s="338"/>
      <c r="W6" s="339"/>
      <c r="X6" s="340"/>
      <c r="Y6" s="338"/>
      <c r="Z6" s="339"/>
      <c r="AA6" s="345"/>
    </row>
    <row r="7" spans="2:27" ht="32.1" customHeight="1" thickBot="1" x14ac:dyDescent="0.3">
      <c r="B7" s="347" t="s">
        <v>20</v>
      </c>
      <c r="C7" s="348"/>
      <c r="D7" s="349"/>
      <c r="E7" s="18">
        <v>10</v>
      </c>
      <c r="F7" s="15">
        <v>10</v>
      </c>
      <c r="G7" s="15">
        <v>10</v>
      </c>
      <c r="H7" s="15">
        <v>10</v>
      </c>
      <c r="I7" s="15">
        <f>F7+G7+H7</f>
        <v>30</v>
      </c>
      <c r="J7" s="15">
        <v>10</v>
      </c>
      <c r="K7" s="15">
        <v>10</v>
      </c>
      <c r="L7" s="15">
        <v>10</v>
      </c>
      <c r="M7" s="15">
        <v>14</v>
      </c>
      <c r="N7" s="15">
        <v>16</v>
      </c>
      <c r="O7" s="18">
        <v>40</v>
      </c>
      <c r="P7" s="15">
        <f>SUM(E7:H7,J7:N7)</f>
        <v>100</v>
      </c>
      <c r="Q7" s="17"/>
      <c r="R7" s="350"/>
      <c r="S7" s="13">
        <f>U7+F7+E7+L7</f>
        <v>56</v>
      </c>
      <c r="T7" s="14">
        <f>G7+H7+K7+M7</f>
        <v>44</v>
      </c>
      <c r="U7" s="14">
        <f>J7+N7</f>
        <v>26</v>
      </c>
      <c r="V7" s="341"/>
      <c r="W7" s="342"/>
      <c r="X7" s="343"/>
      <c r="Y7" s="341"/>
      <c r="Z7" s="342"/>
      <c r="AA7" s="346"/>
    </row>
    <row r="8" spans="2:27" ht="69" customHeight="1" thickBot="1" x14ac:dyDescent="0.3">
      <c r="B8" s="19"/>
      <c r="C8" s="20"/>
      <c r="D8" s="21" t="s">
        <v>21</v>
      </c>
      <c r="E8" s="22">
        <f t="shared" ref="E8:O8" si="0">E7*0.5</f>
        <v>5</v>
      </c>
      <c r="F8" s="22">
        <f t="shared" si="0"/>
        <v>5</v>
      </c>
      <c r="G8" s="22">
        <f t="shared" si="0"/>
        <v>5</v>
      </c>
      <c r="H8" s="22">
        <f t="shared" si="0"/>
        <v>5</v>
      </c>
      <c r="I8" s="22">
        <f t="shared" si="0"/>
        <v>15</v>
      </c>
      <c r="J8" s="22">
        <f t="shared" si="0"/>
        <v>5</v>
      </c>
      <c r="K8" s="22">
        <f t="shared" si="0"/>
        <v>5</v>
      </c>
      <c r="L8" s="22">
        <f t="shared" si="0"/>
        <v>5</v>
      </c>
      <c r="M8" s="22">
        <f t="shared" si="0"/>
        <v>7</v>
      </c>
      <c r="N8" s="22">
        <f t="shared" si="0"/>
        <v>8</v>
      </c>
      <c r="O8" s="22">
        <f t="shared" si="0"/>
        <v>20</v>
      </c>
      <c r="P8" s="23">
        <f>SUM(E8:H8)+SUM(J8:J8)+SUM(K8:N8)</f>
        <v>50</v>
      </c>
      <c r="Q8" s="17"/>
      <c r="R8" s="351"/>
      <c r="S8" s="353" t="s">
        <v>22</v>
      </c>
      <c r="T8" s="354"/>
      <c r="U8" s="354"/>
      <c r="V8" s="355" t="s">
        <v>23</v>
      </c>
      <c r="W8" s="355"/>
      <c r="X8" s="355"/>
      <c r="Y8" s="356" t="s">
        <v>23</v>
      </c>
      <c r="Z8" s="357"/>
      <c r="AA8" s="358"/>
    </row>
    <row r="9" spans="2:27" ht="42.75" customHeight="1" thickBot="1" x14ac:dyDescent="0.3">
      <c r="B9" s="24"/>
      <c r="C9" s="25"/>
      <c r="D9" s="26" t="s">
        <v>24</v>
      </c>
      <c r="E9" s="27">
        <v>1</v>
      </c>
      <c r="F9" s="28">
        <v>1</v>
      </c>
      <c r="G9" s="28">
        <v>2</v>
      </c>
      <c r="H9" s="28">
        <v>2</v>
      </c>
      <c r="I9" s="22"/>
      <c r="J9" s="29">
        <v>3</v>
      </c>
      <c r="K9" s="29">
        <v>2</v>
      </c>
      <c r="L9" s="29">
        <v>1</v>
      </c>
      <c r="M9" s="29">
        <v>2</v>
      </c>
      <c r="N9" s="29">
        <v>3</v>
      </c>
      <c r="O9" s="27"/>
      <c r="P9" s="29"/>
      <c r="Q9" s="17"/>
      <c r="R9" s="351"/>
      <c r="S9" s="30">
        <f>S5</f>
        <v>1</v>
      </c>
      <c r="T9" s="14">
        <f>T5</f>
        <v>2</v>
      </c>
      <c r="U9" s="14">
        <v>3</v>
      </c>
      <c r="V9" s="14">
        <v>2</v>
      </c>
      <c r="W9" s="14">
        <v>2</v>
      </c>
      <c r="X9" s="31">
        <v>4</v>
      </c>
      <c r="Y9" s="31">
        <f>S6</f>
        <v>2</v>
      </c>
      <c r="Z9" s="14">
        <f>T6</f>
        <v>2</v>
      </c>
      <c r="AA9" s="32">
        <f>U6</f>
        <v>4</v>
      </c>
    </row>
    <row r="10" spans="2:27" ht="43.5" customHeight="1" thickBot="1" x14ac:dyDescent="0.3">
      <c r="B10" s="33" t="s">
        <v>25</v>
      </c>
      <c r="C10" s="34" t="s">
        <v>26</v>
      </c>
      <c r="D10" s="35" t="s">
        <v>27</v>
      </c>
      <c r="E10" s="36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2"/>
      <c r="R10" s="352"/>
      <c r="S10" s="37"/>
      <c r="T10" s="38"/>
      <c r="U10" s="38"/>
      <c r="V10" s="356"/>
      <c r="W10" s="357"/>
      <c r="X10" s="357"/>
      <c r="Y10" s="39" t="s">
        <v>28</v>
      </c>
      <c r="Z10" s="39" t="s">
        <v>29</v>
      </c>
      <c r="AA10" s="40"/>
    </row>
    <row r="11" spans="2:27" ht="29.1" customHeight="1" thickBot="1" x14ac:dyDescent="0.45">
      <c r="B11" s="41">
        <v>1</v>
      </c>
      <c r="C11" s="42" t="str">
        <f>[1]Theory!A25</f>
        <v>2023-IT-01</v>
      </c>
      <c r="D11" s="43" t="str">
        <f>[1]Theory!B25</f>
        <v>Rahma Noor</v>
      </c>
      <c r="E11" s="44">
        <f>[1]Theory!D25</f>
        <v>10</v>
      </c>
      <c r="F11" s="45">
        <v>4</v>
      </c>
      <c r="G11" s="45">
        <v>5</v>
      </c>
      <c r="H11" s="46">
        <v>5</v>
      </c>
      <c r="I11" s="47">
        <f>[1]Theory!E25</f>
        <v>14</v>
      </c>
      <c r="J11" s="48">
        <f>[1]Theory!H25</f>
        <v>9</v>
      </c>
      <c r="K11" s="44">
        <f>[1]Theory!F25</f>
        <v>9</v>
      </c>
      <c r="L11" s="49">
        <v>6</v>
      </c>
      <c r="M11" s="49">
        <v>6</v>
      </c>
      <c r="N11" s="49">
        <v>6</v>
      </c>
      <c r="O11" s="50">
        <f>[1]Theory!G25</f>
        <v>18</v>
      </c>
      <c r="P11" s="47">
        <f>E11+I11+J11+K11+O11</f>
        <v>60</v>
      </c>
      <c r="Q11" s="51" t="str">
        <f>[1]Theory!J25</f>
        <v>B</v>
      </c>
      <c r="R11" s="52"/>
      <c r="S11" s="53">
        <f>E11+F11+L11</f>
        <v>20</v>
      </c>
      <c r="T11" s="54">
        <f>G11+H11+K11+M11</f>
        <v>25</v>
      </c>
      <c r="U11" s="54">
        <f>J11+N11</f>
        <v>15</v>
      </c>
      <c r="V11" s="54">
        <f>((S11/$S$7)*100)</f>
        <v>35.714285714285715</v>
      </c>
      <c r="W11" s="54">
        <f>((T11/$T$7)*100)</f>
        <v>56.81818181818182</v>
      </c>
      <c r="X11" s="54">
        <f>((U11/$U$7)*100)</f>
        <v>57.692307692307686</v>
      </c>
      <c r="Y11" s="55" t="str">
        <f>IF(V11&gt;=50,"Y","N")</f>
        <v>N</v>
      </c>
      <c r="Z11" s="55" t="str">
        <f>IF(W11&gt;=50,"Y","N")</f>
        <v>Y</v>
      </c>
      <c r="AA11" s="56" t="str">
        <f>IF(X11&gt;=50,"Y","N")</f>
        <v>Y</v>
      </c>
    </row>
    <row r="12" spans="2:27" ht="29.1" customHeight="1" thickBot="1" x14ac:dyDescent="0.45">
      <c r="B12" s="41">
        <v>2</v>
      </c>
      <c r="C12" s="42" t="str">
        <f>[1]Theory!A26</f>
        <v>2023-IT-02</v>
      </c>
      <c r="D12" s="43" t="str">
        <f>[1]Theory!B26</f>
        <v>Alishba Manzoor</v>
      </c>
      <c r="E12" s="44">
        <f>[1]Theory!D26</f>
        <v>8</v>
      </c>
      <c r="F12" s="45">
        <v>7</v>
      </c>
      <c r="G12" s="45">
        <v>8</v>
      </c>
      <c r="H12" s="46">
        <v>6</v>
      </c>
      <c r="I12" s="47">
        <f>[1]Theory!E26</f>
        <v>21</v>
      </c>
      <c r="J12" s="48">
        <f>[1]Theory!H26</f>
        <v>8</v>
      </c>
      <c r="K12" s="44">
        <f>[1]Theory!F26</f>
        <v>7</v>
      </c>
      <c r="L12" s="49">
        <v>5</v>
      </c>
      <c r="M12" s="49">
        <v>7</v>
      </c>
      <c r="N12" s="49">
        <v>8</v>
      </c>
      <c r="O12" s="50">
        <f>[1]Theory!G26</f>
        <v>20</v>
      </c>
      <c r="P12" s="47">
        <f t="shared" ref="P12:P54" si="1">E12+I12+J12+K12+O12</f>
        <v>64</v>
      </c>
      <c r="Q12" s="51" t="str">
        <f>[1]Theory!J26</f>
        <v>B</v>
      </c>
      <c r="R12" s="57"/>
      <c r="S12" s="53">
        <f t="shared" ref="S12:S54" si="2">E12+F12+L12</f>
        <v>20</v>
      </c>
      <c r="T12" s="54">
        <f t="shared" ref="T12:T54" si="3">G12+H12+K12+M12</f>
        <v>28</v>
      </c>
      <c r="U12" s="54">
        <f t="shared" ref="U12:U54" si="4">J12+N12</f>
        <v>16</v>
      </c>
      <c r="V12" s="54">
        <f t="shared" ref="V12:V54" si="5">((S12/$S$7)*100)</f>
        <v>35.714285714285715</v>
      </c>
      <c r="W12" s="54">
        <f t="shared" ref="W12:W54" si="6">((T12/$T$7)*100)</f>
        <v>63.636363636363633</v>
      </c>
      <c r="X12" s="54">
        <f t="shared" ref="X12:X54" si="7">((U12/$U$7)*100)</f>
        <v>61.53846153846154</v>
      </c>
      <c r="Y12" s="55" t="str">
        <f t="shared" ref="Y12:AA54" si="8">IF(V12&gt;=50,"Y","N")</f>
        <v>N</v>
      </c>
      <c r="Z12" s="55" t="str">
        <f t="shared" si="8"/>
        <v>Y</v>
      </c>
      <c r="AA12" s="56" t="str">
        <f t="shared" si="8"/>
        <v>Y</v>
      </c>
    </row>
    <row r="13" spans="2:27" ht="29.1" customHeight="1" thickBot="1" x14ac:dyDescent="0.45">
      <c r="B13" s="41">
        <v>3</v>
      </c>
      <c r="C13" s="42" t="str">
        <f>[1]Theory!A27</f>
        <v>2023-IT-03</v>
      </c>
      <c r="D13" s="43" t="str">
        <f>[1]Theory!B27</f>
        <v>Maheen Fatima</v>
      </c>
      <c r="E13" s="44">
        <f>[1]Theory!D27</f>
        <v>8</v>
      </c>
      <c r="F13" s="45">
        <v>1</v>
      </c>
      <c r="G13" s="45">
        <v>5</v>
      </c>
      <c r="H13" s="46">
        <v>6</v>
      </c>
      <c r="I13" s="47">
        <f>[1]Theory!E27</f>
        <v>12</v>
      </c>
      <c r="J13" s="48">
        <f>[1]Theory!H27</f>
        <v>8</v>
      </c>
      <c r="K13" s="44">
        <f>[1]Theory!F27</f>
        <v>9</v>
      </c>
      <c r="L13" s="49">
        <v>6</v>
      </c>
      <c r="M13" s="49">
        <v>6</v>
      </c>
      <c r="N13" s="49">
        <v>9</v>
      </c>
      <c r="O13" s="50">
        <f>[1]Theory!G27</f>
        <v>21</v>
      </c>
      <c r="P13" s="47">
        <f t="shared" si="1"/>
        <v>58</v>
      </c>
      <c r="Q13" s="51" t="str">
        <f>[1]Theory!J27</f>
        <v>B-</v>
      </c>
      <c r="R13" s="57"/>
      <c r="S13" s="53">
        <f t="shared" si="2"/>
        <v>15</v>
      </c>
      <c r="T13" s="54">
        <f t="shared" si="3"/>
        <v>26</v>
      </c>
      <c r="U13" s="54">
        <f t="shared" si="4"/>
        <v>17</v>
      </c>
      <c r="V13" s="54">
        <f t="shared" si="5"/>
        <v>26.785714285714285</v>
      </c>
      <c r="W13" s="54">
        <f t="shared" si="6"/>
        <v>59.090909090909093</v>
      </c>
      <c r="X13" s="54">
        <f t="shared" si="7"/>
        <v>65.384615384615387</v>
      </c>
      <c r="Y13" s="55" t="str">
        <f t="shared" si="8"/>
        <v>N</v>
      </c>
      <c r="Z13" s="55" t="str">
        <f t="shared" si="8"/>
        <v>Y</v>
      </c>
      <c r="AA13" s="56" t="str">
        <f t="shared" si="8"/>
        <v>Y</v>
      </c>
    </row>
    <row r="14" spans="2:27" ht="29.1" customHeight="1" thickBot="1" x14ac:dyDescent="0.45">
      <c r="B14" s="41">
        <v>4</v>
      </c>
      <c r="C14" s="42" t="str">
        <f>[1]Theory!A28</f>
        <v>2023-IT-04</v>
      </c>
      <c r="D14" s="43" t="str">
        <f>[1]Theory!B28</f>
        <v>Aneela</v>
      </c>
      <c r="E14" s="44">
        <f>[1]Theory!D28</f>
        <v>9</v>
      </c>
      <c r="F14" s="45">
        <v>6</v>
      </c>
      <c r="G14" s="45">
        <v>6</v>
      </c>
      <c r="H14" s="46">
        <v>6</v>
      </c>
      <c r="I14" s="47">
        <f>[1]Theory!E28</f>
        <v>18</v>
      </c>
      <c r="J14" s="48">
        <f>[1]Theory!H28</f>
        <v>9</v>
      </c>
      <c r="K14" s="44">
        <f>[1]Theory!F28</f>
        <v>8</v>
      </c>
      <c r="L14" s="49">
        <v>5</v>
      </c>
      <c r="M14" s="49">
        <v>11</v>
      </c>
      <c r="N14" s="49">
        <v>6</v>
      </c>
      <c r="O14" s="50">
        <f>[1]Theory!G28</f>
        <v>22</v>
      </c>
      <c r="P14" s="47">
        <f t="shared" si="1"/>
        <v>66</v>
      </c>
      <c r="Q14" s="51" t="str">
        <f>[1]Theory!J28</f>
        <v>B+</v>
      </c>
      <c r="R14" s="57"/>
      <c r="S14" s="53">
        <f t="shared" si="2"/>
        <v>20</v>
      </c>
      <c r="T14" s="54">
        <f t="shared" si="3"/>
        <v>31</v>
      </c>
      <c r="U14" s="54">
        <f t="shared" si="4"/>
        <v>15</v>
      </c>
      <c r="V14" s="54">
        <f t="shared" si="5"/>
        <v>35.714285714285715</v>
      </c>
      <c r="W14" s="54">
        <f t="shared" si="6"/>
        <v>70.454545454545453</v>
      </c>
      <c r="X14" s="54">
        <f t="shared" si="7"/>
        <v>57.692307692307686</v>
      </c>
      <c r="Y14" s="55" t="str">
        <f t="shared" si="8"/>
        <v>N</v>
      </c>
      <c r="Z14" s="55" t="str">
        <f t="shared" si="8"/>
        <v>Y</v>
      </c>
      <c r="AA14" s="56" t="str">
        <f t="shared" si="8"/>
        <v>Y</v>
      </c>
    </row>
    <row r="15" spans="2:27" ht="29.1" customHeight="1" thickBot="1" x14ac:dyDescent="0.45">
      <c r="B15" s="41">
        <v>5</v>
      </c>
      <c r="C15" s="42" t="str">
        <f>[1]Theory!A29</f>
        <v>2023-IT-05</v>
      </c>
      <c r="D15" s="43" t="str">
        <f>[1]Theory!B29</f>
        <v>Alishba Saleem</v>
      </c>
      <c r="E15" s="44">
        <f>[1]Theory!D29</f>
        <v>8</v>
      </c>
      <c r="F15" s="45">
        <v>0</v>
      </c>
      <c r="G15" s="45">
        <v>5</v>
      </c>
      <c r="H15" s="46">
        <v>5</v>
      </c>
      <c r="I15" s="47">
        <f>[1]Theory!E29</f>
        <v>10</v>
      </c>
      <c r="J15" s="48">
        <f>[1]Theory!H29</f>
        <v>9</v>
      </c>
      <c r="K15" s="44">
        <f>[1]Theory!F29</f>
        <v>8</v>
      </c>
      <c r="L15" s="49">
        <v>5</v>
      </c>
      <c r="M15" s="49">
        <v>6</v>
      </c>
      <c r="N15" s="49">
        <v>5</v>
      </c>
      <c r="O15" s="50">
        <f>[1]Theory!G29</f>
        <v>16</v>
      </c>
      <c r="P15" s="47">
        <f t="shared" si="1"/>
        <v>51</v>
      </c>
      <c r="Q15" s="51" t="str">
        <f>[1]Theory!J29</f>
        <v>C</v>
      </c>
      <c r="R15" s="57"/>
      <c r="S15" s="53">
        <f t="shared" si="2"/>
        <v>13</v>
      </c>
      <c r="T15" s="54">
        <f t="shared" si="3"/>
        <v>24</v>
      </c>
      <c r="U15" s="54">
        <f t="shared" si="4"/>
        <v>14</v>
      </c>
      <c r="V15" s="54">
        <f t="shared" si="5"/>
        <v>23.214285714285715</v>
      </c>
      <c r="W15" s="54">
        <f t="shared" si="6"/>
        <v>54.54545454545454</v>
      </c>
      <c r="X15" s="54">
        <f t="shared" si="7"/>
        <v>53.846153846153847</v>
      </c>
      <c r="Y15" s="55" t="str">
        <f t="shared" si="8"/>
        <v>N</v>
      </c>
      <c r="Z15" s="55" t="str">
        <f t="shared" si="8"/>
        <v>Y</v>
      </c>
      <c r="AA15" s="56" t="str">
        <f t="shared" si="8"/>
        <v>Y</v>
      </c>
    </row>
    <row r="16" spans="2:27" ht="29.1" customHeight="1" thickBot="1" x14ac:dyDescent="0.45">
      <c r="B16" s="41">
        <v>6</v>
      </c>
      <c r="C16" s="42" t="str">
        <f>[1]Theory!A30</f>
        <v>2023-IT-06</v>
      </c>
      <c r="D16" s="43" t="str">
        <f>[1]Theory!B30</f>
        <v>Mehak Asghar</v>
      </c>
      <c r="E16" s="44">
        <f>[1]Theory!D30</f>
        <v>10</v>
      </c>
      <c r="F16" s="45">
        <v>6</v>
      </c>
      <c r="G16" s="45">
        <v>10</v>
      </c>
      <c r="H16" s="46">
        <v>10</v>
      </c>
      <c r="I16" s="47">
        <f>[1]Theory!E30</f>
        <v>26</v>
      </c>
      <c r="J16" s="48">
        <f>[1]Theory!H30</f>
        <v>9</v>
      </c>
      <c r="K16" s="44">
        <f>[1]Theory!F30</f>
        <v>10</v>
      </c>
      <c r="L16" s="49">
        <v>9</v>
      </c>
      <c r="M16" s="49">
        <v>10</v>
      </c>
      <c r="N16" s="49">
        <v>11</v>
      </c>
      <c r="O16" s="50">
        <f>[1]Theory!G30</f>
        <v>30</v>
      </c>
      <c r="P16" s="47">
        <f t="shared" si="1"/>
        <v>85</v>
      </c>
      <c r="Q16" s="51" t="str">
        <f>[1]Theory!J30</f>
        <v>A+</v>
      </c>
      <c r="R16" s="57"/>
      <c r="S16" s="53">
        <f t="shared" si="2"/>
        <v>25</v>
      </c>
      <c r="T16" s="54">
        <f t="shared" si="3"/>
        <v>40</v>
      </c>
      <c r="U16" s="54">
        <f t="shared" si="4"/>
        <v>20</v>
      </c>
      <c r="V16" s="54">
        <f t="shared" si="5"/>
        <v>44.642857142857146</v>
      </c>
      <c r="W16" s="54">
        <f t="shared" si="6"/>
        <v>90.909090909090907</v>
      </c>
      <c r="X16" s="54">
        <f t="shared" si="7"/>
        <v>76.923076923076934</v>
      </c>
      <c r="Y16" s="55" t="str">
        <f t="shared" si="8"/>
        <v>N</v>
      </c>
      <c r="Z16" s="55" t="str">
        <f t="shared" si="8"/>
        <v>Y</v>
      </c>
      <c r="AA16" s="56" t="str">
        <f t="shared" si="8"/>
        <v>Y</v>
      </c>
    </row>
    <row r="17" spans="2:27" ht="29.1" customHeight="1" thickBot="1" x14ac:dyDescent="0.45">
      <c r="B17" s="41">
        <v>7</v>
      </c>
      <c r="C17" s="42" t="str">
        <f>[1]Theory!A31</f>
        <v>2023-IT-07</v>
      </c>
      <c r="D17" s="43" t="str">
        <f>[1]Theory!B31</f>
        <v>Humaira Afzal</v>
      </c>
      <c r="E17" s="44">
        <f>[1]Theory!D31</f>
        <v>7</v>
      </c>
      <c r="F17" s="45">
        <v>8</v>
      </c>
      <c r="G17" s="45">
        <v>5</v>
      </c>
      <c r="H17" s="46">
        <v>7</v>
      </c>
      <c r="I17" s="47">
        <f>[1]Theory!E31</f>
        <v>20</v>
      </c>
      <c r="J17" s="48">
        <f>[1]Theory!H31</f>
        <v>7</v>
      </c>
      <c r="K17" s="44">
        <f>[1]Theory!F31</f>
        <v>7</v>
      </c>
      <c r="L17" s="49">
        <v>7</v>
      </c>
      <c r="M17" s="49">
        <v>7</v>
      </c>
      <c r="N17" s="49">
        <v>7</v>
      </c>
      <c r="O17" s="50">
        <f>[1]Theory!G31</f>
        <v>21</v>
      </c>
      <c r="P17" s="47">
        <f t="shared" si="1"/>
        <v>62</v>
      </c>
      <c r="Q17" s="51" t="str">
        <f>[1]Theory!J31</f>
        <v>B</v>
      </c>
      <c r="R17" s="57"/>
      <c r="S17" s="53">
        <f t="shared" si="2"/>
        <v>22</v>
      </c>
      <c r="T17" s="54">
        <f t="shared" si="3"/>
        <v>26</v>
      </c>
      <c r="U17" s="54">
        <f t="shared" si="4"/>
        <v>14</v>
      </c>
      <c r="V17" s="54">
        <f t="shared" si="5"/>
        <v>39.285714285714285</v>
      </c>
      <c r="W17" s="54">
        <f t="shared" si="6"/>
        <v>59.090909090909093</v>
      </c>
      <c r="X17" s="54">
        <f t="shared" si="7"/>
        <v>53.846153846153847</v>
      </c>
      <c r="Y17" s="55" t="str">
        <f t="shared" si="8"/>
        <v>N</v>
      </c>
      <c r="Z17" s="55" t="str">
        <f t="shared" si="8"/>
        <v>Y</v>
      </c>
      <c r="AA17" s="56" t="str">
        <f t="shared" si="8"/>
        <v>Y</v>
      </c>
    </row>
    <row r="18" spans="2:27" ht="29.1" customHeight="1" thickBot="1" x14ac:dyDescent="0.45">
      <c r="B18" s="41">
        <v>8</v>
      </c>
      <c r="C18" s="42" t="str">
        <f>[1]Theory!A32</f>
        <v>2023-IT-08</v>
      </c>
      <c r="D18" s="43" t="str">
        <f>[1]Theory!B32</f>
        <v>Saleena Khan</v>
      </c>
      <c r="E18" s="44">
        <f>[1]Theory!D32</f>
        <v>0</v>
      </c>
      <c r="F18" s="45">
        <v>0</v>
      </c>
      <c r="G18" s="45">
        <v>0</v>
      </c>
      <c r="H18" s="46">
        <v>0</v>
      </c>
      <c r="I18" s="47">
        <f>[1]Theory!E32</f>
        <v>0</v>
      </c>
      <c r="J18" s="48">
        <f>[1]Theory!H32</f>
        <v>0</v>
      </c>
      <c r="K18" s="44">
        <f>[1]Theory!F32</f>
        <v>0</v>
      </c>
      <c r="L18" s="49">
        <v>0</v>
      </c>
      <c r="M18" s="49">
        <v>0</v>
      </c>
      <c r="N18" s="49">
        <v>0</v>
      </c>
      <c r="O18" s="50">
        <f>[1]Theory!G32</f>
        <v>0</v>
      </c>
      <c r="P18" s="47">
        <f t="shared" si="1"/>
        <v>0</v>
      </c>
      <c r="Q18" s="51" t="str">
        <f>[1]Theory!J32</f>
        <v>F</v>
      </c>
      <c r="R18" s="57"/>
      <c r="S18" s="53">
        <f t="shared" si="2"/>
        <v>0</v>
      </c>
      <c r="T18" s="54">
        <f t="shared" si="3"/>
        <v>0</v>
      </c>
      <c r="U18" s="54">
        <f t="shared" si="4"/>
        <v>0</v>
      </c>
      <c r="V18" s="54">
        <f t="shared" si="5"/>
        <v>0</v>
      </c>
      <c r="W18" s="54">
        <f t="shared" si="6"/>
        <v>0</v>
      </c>
      <c r="X18" s="54">
        <f t="shared" si="7"/>
        <v>0</v>
      </c>
      <c r="Y18" s="55" t="str">
        <f t="shared" si="8"/>
        <v>N</v>
      </c>
      <c r="Z18" s="55" t="str">
        <f t="shared" si="8"/>
        <v>N</v>
      </c>
      <c r="AA18" s="56" t="str">
        <f t="shared" si="8"/>
        <v>N</v>
      </c>
    </row>
    <row r="19" spans="2:27" ht="29.1" customHeight="1" thickBot="1" x14ac:dyDescent="0.45">
      <c r="B19" s="41">
        <v>9</v>
      </c>
      <c r="C19" s="42" t="str">
        <f>[1]Theory!A33</f>
        <v>2023-IT-10</v>
      </c>
      <c r="D19" s="43" t="str">
        <f>[1]Theory!B33</f>
        <v>Asad Ullah</v>
      </c>
      <c r="E19" s="44">
        <f>[1]Theory!D33</f>
        <v>10</v>
      </c>
      <c r="F19" s="45">
        <v>2</v>
      </c>
      <c r="G19" s="45">
        <v>5</v>
      </c>
      <c r="H19" s="46">
        <v>6</v>
      </c>
      <c r="I19" s="47">
        <f>[1]Theory!E33</f>
        <v>13</v>
      </c>
      <c r="J19" s="48">
        <f>[1]Theory!H33</f>
        <v>9</v>
      </c>
      <c r="K19" s="44">
        <f>[1]Theory!F33</f>
        <v>9</v>
      </c>
      <c r="L19" s="49">
        <v>8</v>
      </c>
      <c r="M19" s="49">
        <v>6</v>
      </c>
      <c r="N19" s="49">
        <v>5</v>
      </c>
      <c r="O19" s="50">
        <f>[1]Theory!G33</f>
        <v>19</v>
      </c>
      <c r="P19" s="47">
        <f t="shared" si="1"/>
        <v>60</v>
      </c>
      <c r="Q19" s="51" t="str">
        <f>[1]Theory!J33</f>
        <v>B</v>
      </c>
      <c r="R19" s="57"/>
      <c r="S19" s="53">
        <f t="shared" si="2"/>
        <v>20</v>
      </c>
      <c r="T19" s="54">
        <f t="shared" si="3"/>
        <v>26</v>
      </c>
      <c r="U19" s="54">
        <f t="shared" si="4"/>
        <v>14</v>
      </c>
      <c r="V19" s="54">
        <f t="shared" si="5"/>
        <v>35.714285714285715</v>
      </c>
      <c r="W19" s="54">
        <f t="shared" si="6"/>
        <v>59.090909090909093</v>
      </c>
      <c r="X19" s="54">
        <f t="shared" si="7"/>
        <v>53.846153846153847</v>
      </c>
      <c r="Y19" s="55" t="str">
        <f t="shared" si="8"/>
        <v>N</v>
      </c>
      <c r="Z19" s="55" t="str">
        <f t="shared" si="8"/>
        <v>Y</v>
      </c>
      <c r="AA19" s="56" t="str">
        <f t="shared" si="8"/>
        <v>Y</v>
      </c>
    </row>
    <row r="20" spans="2:27" ht="29.1" customHeight="1" thickBot="1" x14ac:dyDescent="0.45">
      <c r="B20" s="41">
        <v>10</v>
      </c>
      <c r="C20" s="42" t="str">
        <f>[1]Theory!A34</f>
        <v>2023-IT-11</v>
      </c>
      <c r="D20" s="43" t="str">
        <f>[1]Theory!B34</f>
        <v>Rana Talha dawood</v>
      </c>
      <c r="E20" s="44">
        <f>[1]Theory!D34</f>
        <v>6</v>
      </c>
      <c r="F20" s="45">
        <v>5</v>
      </c>
      <c r="G20" s="45">
        <v>6</v>
      </c>
      <c r="H20" s="46">
        <v>7</v>
      </c>
      <c r="I20" s="47">
        <f>[1]Theory!E34</f>
        <v>18</v>
      </c>
      <c r="J20" s="48">
        <f>[1]Theory!H34</f>
        <v>6</v>
      </c>
      <c r="K20" s="44">
        <f>[1]Theory!F34</f>
        <v>6</v>
      </c>
      <c r="L20" s="49">
        <v>7</v>
      </c>
      <c r="M20" s="49">
        <v>5</v>
      </c>
      <c r="N20" s="49">
        <v>5</v>
      </c>
      <c r="O20" s="50">
        <f>[1]Theory!G34</f>
        <v>17</v>
      </c>
      <c r="P20" s="47">
        <f t="shared" si="1"/>
        <v>53</v>
      </c>
      <c r="Q20" s="51" t="str">
        <f>[1]Theory!J34</f>
        <v>C+</v>
      </c>
      <c r="R20" s="57"/>
      <c r="S20" s="53">
        <f t="shared" si="2"/>
        <v>18</v>
      </c>
      <c r="T20" s="54">
        <f t="shared" si="3"/>
        <v>24</v>
      </c>
      <c r="U20" s="54">
        <f t="shared" si="4"/>
        <v>11</v>
      </c>
      <c r="V20" s="54">
        <f t="shared" si="5"/>
        <v>32.142857142857146</v>
      </c>
      <c r="W20" s="54">
        <f t="shared" si="6"/>
        <v>54.54545454545454</v>
      </c>
      <c r="X20" s="54">
        <f t="shared" si="7"/>
        <v>42.307692307692307</v>
      </c>
      <c r="Y20" s="55" t="str">
        <f t="shared" si="8"/>
        <v>N</v>
      </c>
      <c r="Z20" s="55" t="str">
        <f t="shared" si="8"/>
        <v>Y</v>
      </c>
      <c r="AA20" s="56" t="str">
        <f t="shared" si="8"/>
        <v>N</v>
      </c>
    </row>
    <row r="21" spans="2:27" ht="29.1" customHeight="1" thickBot="1" x14ac:dyDescent="0.45">
      <c r="B21" s="41">
        <v>11</v>
      </c>
      <c r="C21" s="42" t="str">
        <f>[1]Theory!A35</f>
        <v>2023-IT-12</v>
      </c>
      <c r="D21" s="43" t="str">
        <f>[1]Theory!B35</f>
        <v>Ali Ahmad</v>
      </c>
      <c r="E21" s="44">
        <f>[1]Theory!D35</f>
        <v>8</v>
      </c>
      <c r="F21" s="45">
        <v>5</v>
      </c>
      <c r="G21" s="45">
        <v>5</v>
      </c>
      <c r="H21" s="46">
        <v>4</v>
      </c>
      <c r="I21" s="47">
        <f>[1]Theory!E35</f>
        <v>14</v>
      </c>
      <c r="J21" s="48">
        <f>[1]Theory!H35</f>
        <v>8</v>
      </c>
      <c r="K21" s="44">
        <f>[1]Theory!F35</f>
        <v>7</v>
      </c>
      <c r="L21" s="49">
        <v>8</v>
      </c>
      <c r="M21" s="49">
        <v>8</v>
      </c>
      <c r="N21" s="49">
        <v>7</v>
      </c>
      <c r="O21" s="50">
        <f>[1]Theory!G35</f>
        <v>23</v>
      </c>
      <c r="P21" s="47">
        <f t="shared" si="1"/>
        <v>60</v>
      </c>
      <c r="Q21" s="51" t="str">
        <f>[1]Theory!J35</f>
        <v>B</v>
      </c>
      <c r="R21" s="57"/>
      <c r="S21" s="53">
        <f t="shared" si="2"/>
        <v>21</v>
      </c>
      <c r="T21" s="54">
        <f t="shared" si="3"/>
        <v>24</v>
      </c>
      <c r="U21" s="54">
        <f t="shared" si="4"/>
        <v>15</v>
      </c>
      <c r="V21" s="54">
        <f t="shared" si="5"/>
        <v>37.5</v>
      </c>
      <c r="W21" s="54">
        <f t="shared" si="6"/>
        <v>54.54545454545454</v>
      </c>
      <c r="X21" s="54">
        <f t="shared" si="7"/>
        <v>57.692307692307686</v>
      </c>
      <c r="Y21" s="55" t="str">
        <f t="shared" si="8"/>
        <v>N</v>
      </c>
      <c r="Z21" s="55" t="str">
        <f t="shared" si="8"/>
        <v>Y</v>
      </c>
      <c r="AA21" s="56" t="str">
        <f t="shared" si="8"/>
        <v>Y</v>
      </c>
    </row>
    <row r="22" spans="2:27" ht="29.1" customHeight="1" thickBot="1" x14ac:dyDescent="0.45">
      <c r="B22" s="41">
        <v>12</v>
      </c>
      <c r="C22" s="42" t="str">
        <f>[1]Theory!A36</f>
        <v>2023-IT-13</v>
      </c>
      <c r="D22" s="43" t="str">
        <f>[1]Theory!B36</f>
        <v>Muhammad Daud</v>
      </c>
      <c r="E22" s="44">
        <f>[1]Theory!D36</f>
        <v>8</v>
      </c>
      <c r="F22" s="45">
        <v>8</v>
      </c>
      <c r="G22" s="45">
        <v>8</v>
      </c>
      <c r="H22" s="46">
        <v>8</v>
      </c>
      <c r="I22" s="47">
        <f>[1]Theory!E36</f>
        <v>24</v>
      </c>
      <c r="J22" s="48">
        <f>[1]Theory!H36</f>
        <v>9</v>
      </c>
      <c r="K22" s="44">
        <f>[1]Theory!F36</f>
        <v>8</v>
      </c>
      <c r="L22" s="49">
        <v>7</v>
      </c>
      <c r="M22" s="49">
        <v>7</v>
      </c>
      <c r="N22" s="49">
        <v>8</v>
      </c>
      <c r="O22" s="50">
        <f>[1]Theory!G36</f>
        <v>22</v>
      </c>
      <c r="P22" s="47">
        <f t="shared" si="1"/>
        <v>71</v>
      </c>
      <c r="Q22" s="51" t="str">
        <f>[1]Theory!J36</f>
        <v>A-</v>
      </c>
      <c r="R22" s="57"/>
      <c r="S22" s="53">
        <f t="shared" si="2"/>
        <v>23</v>
      </c>
      <c r="T22" s="54">
        <f t="shared" si="3"/>
        <v>31</v>
      </c>
      <c r="U22" s="54">
        <f t="shared" si="4"/>
        <v>17</v>
      </c>
      <c r="V22" s="54">
        <f t="shared" si="5"/>
        <v>41.071428571428569</v>
      </c>
      <c r="W22" s="54">
        <f t="shared" si="6"/>
        <v>70.454545454545453</v>
      </c>
      <c r="X22" s="54">
        <f t="shared" si="7"/>
        <v>65.384615384615387</v>
      </c>
      <c r="Y22" s="55" t="str">
        <f t="shared" si="8"/>
        <v>N</v>
      </c>
      <c r="Z22" s="55" t="str">
        <f t="shared" si="8"/>
        <v>Y</v>
      </c>
      <c r="AA22" s="56" t="str">
        <f t="shared" si="8"/>
        <v>Y</v>
      </c>
    </row>
    <row r="23" spans="2:27" ht="29.1" customHeight="1" thickBot="1" x14ac:dyDescent="0.45">
      <c r="B23" s="41">
        <v>13</v>
      </c>
      <c r="C23" s="42" t="str">
        <f>[1]Theory!A37</f>
        <v>2023-IT-14</v>
      </c>
      <c r="D23" s="43" t="str">
        <f>[1]Theory!B37</f>
        <v>Mursil Mateen</v>
      </c>
      <c r="E23" s="44">
        <f>[1]Theory!D37</f>
        <v>10</v>
      </c>
      <c r="F23" s="45">
        <v>8</v>
      </c>
      <c r="G23" s="45">
        <v>8</v>
      </c>
      <c r="H23" s="46">
        <v>6</v>
      </c>
      <c r="I23" s="47">
        <f>[1]Theory!E37</f>
        <v>22</v>
      </c>
      <c r="J23" s="48">
        <f>[1]Theory!H37</f>
        <v>9</v>
      </c>
      <c r="K23" s="44">
        <f>[1]Theory!F37</f>
        <v>7</v>
      </c>
      <c r="L23" s="49">
        <v>6</v>
      </c>
      <c r="M23" s="49">
        <v>6</v>
      </c>
      <c r="N23" s="49">
        <v>6</v>
      </c>
      <c r="O23" s="50">
        <f>[1]Theory!G37</f>
        <v>18</v>
      </c>
      <c r="P23" s="47">
        <f t="shared" si="1"/>
        <v>66</v>
      </c>
      <c r="Q23" s="51" t="str">
        <f>[1]Theory!J37</f>
        <v>B+</v>
      </c>
      <c r="R23" s="57"/>
      <c r="S23" s="53">
        <f t="shared" si="2"/>
        <v>24</v>
      </c>
      <c r="T23" s="54">
        <f t="shared" si="3"/>
        <v>27</v>
      </c>
      <c r="U23" s="54">
        <f t="shared" si="4"/>
        <v>15</v>
      </c>
      <c r="V23" s="54">
        <f t="shared" si="5"/>
        <v>42.857142857142854</v>
      </c>
      <c r="W23" s="54">
        <f t="shared" si="6"/>
        <v>61.363636363636367</v>
      </c>
      <c r="X23" s="54">
        <f t="shared" si="7"/>
        <v>57.692307692307686</v>
      </c>
      <c r="Y23" s="55" t="str">
        <f t="shared" si="8"/>
        <v>N</v>
      </c>
      <c r="Z23" s="55" t="str">
        <f t="shared" si="8"/>
        <v>Y</v>
      </c>
      <c r="AA23" s="56" t="str">
        <f t="shared" si="8"/>
        <v>Y</v>
      </c>
    </row>
    <row r="24" spans="2:27" ht="29.1" customHeight="1" thickBot="1" x14ac:dyDescent="0.45">
      <c r="B24" s="41">
        <v>14</v>
      </c>
      <c r="C24" s="42" t="str">
        <f>[1]Theory!A38</f>
        <v>2023-IT-16</v>
      </c>
      <c r="D24" s="43" t="str">
        <f>[1]Theory!B38</f>
        <v>Muhammad Usman</v>
      </c>
      <c r="E24" s="44">
        <f>[1]Theory!D38</f>
        <v>0</v>
      </c>
      <c r="F24" s="45">
        <v>0</v>
      </c>
      <c r="G24" s="45">
        <v>0</v>
      </c>
      <c r="H24" s="46">
        <v>0</v>
      </c>
      <c r="I24" s="47">
        <f>[1]Theory!E38</f>
        <v>0</v>
      </c>
      <c r="J24" s="48">
        <f>[1]Theory!H38</f>
        <v>0</v>
      </c>
      <c r="K24" s="44">
        <f>[1]Theory!F38</f>
        <v>0</v>
      </c>
      <c r="L24" s="49">
        <v>0</v>
      </c>
      <c r="M24" s="49">
        <v>0</v>
      </c>
      <c r="N24" s="49">
        <v>0</v>
      </c>
      <c r="O24" s="50">
        <f>[1]Theory!G38</f>
        <v>0</v>
      </c>
      <c r="P24" s="47">
        <f t="shared" si="1"/>
        <v>0</v>
      </c>
      <c r="Q24" s="51" t="str">
        <f>[1]Theory!J38</f>
        <v>F</v>
      </c>
      <c r="R24" s="57"/>
      <c r="S24" s="53">
        <f t="shared" si="2"/>
        <v>0</v>
      </c>
      <c r="T24" s="54">
        <f t="shared" si="3"/>
        <v>0</v>
      </c>
      <c r="U24" s="54">
        <f t="shared" si="4"/>
        <v>0</v>
      </c>
      <c r="V24" s="54">
        <f t="shared" si="5"/>
        <v>0</v>
      </c>
      <c r="W24" s="54">
        <f t="shared" si="6"/>
        <v>0</v>
      </c>
      <c r="X24" s="54">
        <f t="shared" si="7"/>
        <v>0</v>
      </c>
      <c r="Y24" s="55" t="str">
        <f t="shared" si="8"/>
        <v>N</v>
      </c>
      <c r="Z24" s="55" t="str">
        <f t="shared" si="8"/>
        <v>N</v>
      </c>
      <c r="AA24" s="56" t="str">
        <f t="shared" si="8"/>
        <v>N</v>
      </c>
    </row>
    <row r="25" spans="2:27" ht="29.1" customHeight="1" thickBot="1" x14ac:dyDescent="0.45">
      <c r="B25" s="41">
        <v>15</v>
      </c>
      <c r="C25" s="42" t="str">
        <f>[1]Theory!A39</f>
        <v>2023-IT-18</v>
      </c>
      <c r="D25" s="43" t="str">
        <f>[1]Theory!B39</f>
        <v>Adeel Maqbool</v>
      </c>
      <c r="E25" s="44">
        <f>[1]Theory!D39</f>
        <v>8</v>
      </c>
      <c r="F25" s="45">
        <v>6</v>
      </c>
      <c r="G25" s="45">
        <v>7</v>
      </c>
      <c r="H25" s="46">
        <v>9</v>
      </c>
      <c r="I25" s="47">
        <f>[1]Theory!E39</f>
        <v>22</v>
      </c>
      <c r="J25" s="48">
        <f>[1]Theory!H39</f>
        <v>9</v>
      </c>
      <c r="K25" s="44">
        <f>[1]Theory!F39</f>
        <v>9</v>
      </c>
      <c r="L25" s="49">
        <v>5</v>
      </c>
      <c r="M25" s="49">
        <v>5</v>
      </c>
      <c r="N25" s="49">
        <v>4</v>
      </c>
      <c r="O25" s="50">
        <f>[1]Theory!G39</f>
        <v>14</v>
      </c>
      <c r="P25" s="47">
        <f t="shared" si="1"/>
        <v>62</v>
      </c>
      <c r="Q25" s="51" t="str">
        <f>[1]Theory!J39</f>
        <v>B</v>
      </c>
      <c r="R25" s="57"/>
      <c r="S25" s="53">
        <f t="shared" si="2"/>
        <v>19</v>
      </c>
      <c r="T25" s="54">
        <f t="shared" si="3"/>
        <v>30</v>
      </c>
      <c r="U25" s="54">
        <f t="shared" si="4"/>
        <v>13</v>
      </c>
      <c r="V25" s="54">
        <f t="shared" si="5"/>
        <v>33.928571428571431</v>
      </c>
      <c r="W25" s="54">
        <f t="shared" si="6"/>
        <v>68.181818181818173</v>
      </c>
      <c r="X25" s="54">
        <f t="shared" si="7"/>
        <v>50</v>
      </c>
      <c r="Y25" s="55" t="str">
        <f t="shared" si="8"/>
        <v>N</v>
      </c>
      <c r="Z25" s="55" t="str">
        <f t="shared" si="8"/>
        <v>Y</v>
      </c>
      <c r="AA25" s="56" t="str">
        <f t="shared" si="8"/>
        <v>Y</v>
      </c>
    </row>
    <row r="26" spans="2:27" ht="29.1" customHeight="1" thickBot="1" x14ac:dyDescent="0.45">
      <c r="B26" s="41">
        <v>16</v>
      </c>
      <c r="C26" s="42" t="str">
        <f>[1]Theory!A40</f>
        <v>2023-IT-20</v>
      </c>
      <c r="D26" s="43" t="str">
        <f>[1]Theory!B40</f>
        <v>Husnain Saleem</v>
      </c>
      <c r="E26" s="44">
        <f>[1]Theory!D40</f>
        <v>8</v>
      </c>
      <c r="F26" s="45">
        <v>6</v>
      </c>
      <c r="G26" s="45">
        <v>6</v>
      </c>
      <c r="H26" s="46">
        <v>8</v>
      </c>
      <c r="I26" s="47">
        <f>[1]Theory!E40</f>
        <v>20</v>
      </c>
      <c r="J26" s="48">
        <f>[1]Theory!H40</f>
        <v>8</v>
      </c>
      <c r="K26" s="44">
        <f>[1]Theory!F40</f>
        <v>8</v>
      </c>
      <c r="L26" s="49">
        <v>8</v>
      </c>
      <c r="M26" s="49">
        <v>8</v>
      </c>
      <c r="N26" s="49">
        <v>6</v>
      </c>
      <c r="O26" s="50">
        <f>[1]Theory!G40</f>
        <v>22</v>
      </c>
      <c r="P26" s="47">
        <f t="shared" si="1"/>
        <v>66</v>
      </c>
      <c r="Q26" s="51" t="str">
        <f>[1]Theory!J40</f>
        <v>B+</v>
      </c>
      <c r="R26" s="57"/>
      <c r="S26" s="53">
        <f t="shared" si="2"/>
        <v>22</v>
      </c>
      <c r="T26" s="54">
        <f t="shared" si="3"/>
        <v>30</v>
      </c>
      <c r="U26" s="54">
        <f t="shared" si="4"/>
        <v>14</v>
      </c>
      <c r="V26" s="54">
        <f t="shared" si="5"/>
        <v>39.285714285714285</v>
      </c>
      <c r="W26" s="54">
        <f t="shared" si="6"/>
        <v>68.181818181818173</v>
      </c>
      <c r="X26" s="54">
        <f t="shared" si="7"/>
        <v>53.846153846153847</v>
      </c>
      <c r="Y26" s="55" t="str">
        <f t="shared" si="8"/>
        <v>N</v>
      </c>
      <c r="Z26" s="55" t="str">
        <f t="shared" si="8"/>
        <v>Y</v>
      </c>
      <c r="AA26" s="56" t="str">
        <f t="shared" si="8"/>
        <v>Y</v>
      </c>
    </row>
    <row r="27" spans="2:27" ht="29.1" customHeight="1" thickBot="1" x14ac:dyDescent="0.45">
      <c r="B27" s="41">
        <v>17</v>
      </c>
      <c r="C27" s="42" t="str">
        <f>[1]Theory!A41</f>
        <v>2023-IT-22</v>
      </c>
      <c r="D27" s="43" t="str">
        <f>[1]Theory!B41</f>
        <v>Muhammad Sameer</v>
      </c>
      <c r="E27" s="44">
        <f>[1]Theory!D41</f>
        <v>7</v>
      </c>
      <c r="F27" s="45">
        <v>7</v>
      </c>
      <c r="G27" s="45">
        <v>7</v>
      </c>
      <c r="H27" s="46">
        <v>8</v>
      </c>
      <c r="I27" s="47">
        <f>[1]Theory!E41</f>
        <v>22</v>
      </c>
      <c r="J27" s="48">
        <f>[1]Theory!H41</f>
        <v>9</v>
      </c>
      <c r="K27" s="44">
        <f>[1]Theory!F41</f>
        <v>8</v>
      </c>
      <c r="L27" s="49">
        <v>7</v>
      </c>
      <c r="M27" s="49">
        <v>5</v>
      </c>
      <c r="N27" s="49">
        <v>7</v>
      </c>
      <c r="O27" s="50">
        <f>[1]Theory!G41</f>
        <v>19</v>
      </c>
      <c r="P27" s="47">
        <f t="shared" si="1"/>
        <v>65</v>
      </c>
      <c r="Q27" s="51" t="str">
        <f>[1]Theory!J41</f>
        <v>B+</v>
      </c>
      <c r="R27" s="57"/>
      <c r="S27" s="53">
        <f t="shared" si="2"/>
        <v>21</v>
      </c>
      <c r="T27" s="54">
        <f t="shared" si="3"/>
        <v>28</v>
      </c>
      <c r="U27" s="54">
        <f t="shared" si="4"/>
        <v>16</v>
      </c>
      <c r="V27" s="54">
        <f t="shared" si="5"/>
        <v>37.5</v>
      </c>
      <c r="W27" s="54">
        <f t="shared" si="6"/>
        <v>63.636363636363633</v>
      </c>
      <c r="X27" s="54">
        <f t="shared" si="7"/>
        <v>61.53846153846154</v>
      </c>
      <c r="Y27" s="55" t="str">
        <f t="shared" si="8"/>
        <v>N</v>
      </c>
      <c r="Z27" s="55" t="str">
        <f t="shared" si="8"/>
        <v>Y</v>
      </c>
      <c r="AA27" s="56" t="str">
        <f t="shared" si="8"/>
        <v>Y</v>
      </c>
    </row>
    <row r="28" spans="2:27" ht="29.1" customHeight="1" thickBot="1" x14ac:dyDescent="0.45">
      <c r="B28" s="41">
        <v>18</v>
      </c>
      <c r="C28" s="42" t="str">
        <f>[1]Theory!A42</f>
        <v>2023-IT-24</v>
      </c>
      <c r="D28" s="43" t="str">
        <f>[1]Theory!B42</f>
        <v>Sher Shah Hussain</v>
      </c>
      <c r="E28" s="44">
        <f>[1]Theory!D42</f>
        <v>8</v>
      </c>
      <c r="F28" s="45">
        <v>5</v>
      </c>
      <c r="G28" s="45">
        <v>6</v>
      </c>
      <c r="H28" s="46">
        <v>7</v>
      </c>
      <c r="I28" s="47">
        <f>[1]Theory!E42</f>
        <v>18</v>
      </c>
      <c r="J28" s="48">
        <f>[1]Theory!H42</f>
        <v>8</v>
      </c>
      <c r="K28" s="44">
        <f>[1]Theory!F42</f>
        <v>8</v>
      </c>
      <c r="L28" s="49">
        <v>6</v>
      </c>
      <c r="M28" s="49">
        <v>6</v>
      </c>
      <c r="N28" s="49">
        <v>8</v>
      </c>
      <c r="O28" s="50">
        <f>[1]Theory!G42</f>
        <v>20</v>
      </c>
      <c r="P28" s="47">
        <f t="shared" si="1"/>
        <v>62</v>
      </c>
      <c r="Q28" s="51" t="str">
        <f>[1]Theory!J42</f>
        <v>B</v>
      </c>
      <c r="R28" s="57"/>
      <c r="S28" s="53">
        <f t="shared" si="2"/>
        <v>19</v>
      </c>
      <c r="T28" s="54">
        <f t="shared" si="3"/>
        <v>27</v>
      </c>
      <c r="U28" s="54">
        <f t="shared" si="4"/>
        <v>16</v>
      </c>
      <c r="V28" s="54">
        <f t="shared" si="5"/>
        <v>33.928571428571431</v>
      </c>
      <c r="W28" s="54">
        <f t="shared" si="6"/>
        <v>61.363636363636367</v>
      </c>
      <c r="X28" s="54">
        <f t="shared" si="7"/>
        <v>61.53846153846154</v>
      </c>
      <c r="Y28" s="55" t="str">
        <f t="shared" si="8"/>
        <v>N</v>
      </c>
      <c r="Z28" s="55" t="str">
        <f t="shared" si="8"/>
        <v>Y</v>
      </c>
      <c r="AA28" s="56" t="str">
        <f t="shared" si="8"/>
        <v>Y</v>
      </c>
    </row>
    <row r="29" spans="2:27" ht="29.1" customHeight="1" thickBot="1" x14ac:dyDescent="0.45">
      <c r="B29" s="41">
        <v>19</v>
      </c>
      <c r="C29" s="42" t="str">
        <f>[1]Theory!A43</f>
        <v>2023-IT-26</v>
      </c>
      <c r="D29" s="43" t="str">
        <f>[1]Theory!B43</f>
        <v>Abdul Ahad</v>
      </c>
      <c r="E29" s="44">
        <f>[1]Theory!D43</f>
        <v>0</v>
      </c>
      <c r="F29" s="45">
        <v>0</v>
      </c>
      <c r="G29" s="45">
        <v>0</v>
      </c>
      <c r="H29" s="46">
        <v>0</v>
      </c>
      <c r="I29" s="47">
        <f>[1]Theory!E43</f>
        <v>0</v>
      </c>
      <c r="J29" s="48">
        <f>[1]Theory!H43</f>
        <v>0</v>
      </c>
      <c r="K29" s="44">
        <f>[1]Theory!F43</f>
        <v>0</v>
      </c>
      <c r="L29" s="49">
        <v>0</v>
      </c>
      <c r="M29" s="49">
        <v>0</v>
      </c>
      <c r="N29" s="49">
        <v>0</v>
      </c>
      <c r="O29" s="50">
        <f>[1]Theory!G43</f>
        <v>0</v>
      </c>
      <c r="P29" s="47">
        <f t="shared" si="1"/>
        <v>0</v>
      </c>
      <c r="Q29" s="51" t="str">
        <f>[1]Theory!J43</f>
        <v>F</v>
      </c>
      <c r="R29" s="57"/>
      <c r="S29" s="53">
        <f t="shared" si="2"/>
        <v>0</v>
      </c>
      <c r="T29" s="54">
        <f t="shared" si="3"/>
        <v>0</v>
      </c>
      <c r="U29" s="54">
        <f t="shared" si="4"/>
        <v>0</v>
      </c>
      <c r="V29" s="54">
        <f t="shared" si="5"/>
        <v>0</v>
      </c>
      <c r="W29" s="54">
        <f t="shared" si="6"/>
        <v>0</v>
      </c>
      <c r="X29" s="54">
        <f t="shared" si="7"/>
        <v>0</v>
      </c>
      <c r="Y29" s="55" t="str">
        <f t="shared" si="8"/>
        <v>N</v>
      </c>
      <c r="Z29" s="55" t="str">
        <f t="shared" si="8"/>
        <v>N</v>
      </c>
      <c r="AA29" s="56" t="str">
        <f t="shared" si="8"/>
        <v>N</v>
      </c>
    </row>
    <row r="30" spans="2:27" ht="29.1" customHeight="1" thickBot="1" x14ac:dyDescent="0.45">
      <c r="B30" s="41">
        <v>20</v>
      </c>
      <c r="C30" s="42" t="str">
        <f>[1]Theory!A44</f>
        <v>2023-IT-28</v>
      </c>
      <c r="D30" s="43" t="str">
        <f>[1]Theory!B44</f>
        <v>Ahmad Latif</v>
      </c>
      <c r="E30" s="44">
        <f>[1]Theory!D44</f>
        <v>9</v>
      </c>
      <c r="F30" s="45">
        <v>6</v>
      </c>
      <c r="G30" s="45">
        <v>6</v>
      </c>
      <c r="H30" s="46">
        <v>0</v>
      </c>
      <c r="I30" s="47">
        <f>[1]Theory!E44</f>
        <v>12</v>
      </c>
      <c r="J30" s="48">
        <f>[1]Theory!H44</f>
        <v>8</v>
      </c>
      <c r="K30" s="44">
        <f>[1]Theory!F44</f>
        <v>8</v>
      </c>
      <c r="L30" s="49">
        <v>7</v>
      </c>
      <c r="M30" s="49">
        <v>7</v>
      </c>
      <c r="N30" s="49">
        <v>7</v>
      </c>
      <c r="O30" s="50">
        <f>[1]Theory!G44</f>
        <v>21</v>
      </c>
      <c r="P30" s="47">
        <f t="shared" si="1"/>
        <v>58</v>
      </c>
      <c r="Q30" s="51" t="str">
        <f>[1]Theory!J44</f>
        <v>B-</v>
      </c>
      <c r="R30" s="57"/>
      <c r="S30" s="53">
        <f t="shared" si="2"/>
        <v>22</v>
      </c>
      <c r="T30" s="54">
        <f t="shared" si="3"/>
        <v>21</v>
      </c>
      <c r="U30" s="54">
        <f t="shared" si="4"/>
        <v>15</v>
      </c>
      <c r="V30" s="54">
        <f t="shared" si="5"/>
        <v>39.285714285714285</v>
      </c>
      <c r="W30" s="54">
        <f t="shared" si="6"/>
        <v>47.727272727272727</v>
      </c>
      <c r="X30" s="54">
        <f t="shared" si="7"/>
        <v>57.692307692307686</v>
      </c>
      <c r="Y30" s="55" t="str">
        <f t="shared" si="8"/>
        <v>N</v>
      </c>
      <c r="Z30" s="55" t="str">
        <f t="shared" si="8"/>
        <v>N</v>
      </c>
      <c r="AA30" s="56" t="str">
        <f t="shared" si="8"/>
        <v>Y</v>
      </c>
    </row>
    <row r="31" spans="2:27" ht="29.1" customHeight="1" thickBot="1" x14ac:dyDescent="0.45">
      <c r="B31" s="41">
        <v>21</v>
      </c>
      <c r="C31" s="42" t="str">
        <f>[1]Theory!A45</f>
        <v>2023-IT-32</v>
      </c>
      <c r="D31" s="43" t="str">
        <f>[1]Theory!B45</f>
        <v>Muhammad Faisal</v>
      </c>
      <c r="E31" s="44">
        <f>[1]Theory!D45</f>
        <v>8</v>
      </c>
      <c r="F31" s="45">
        <v>5</v>
      </c>
      <c r="G31" s="45">
        <v>6</v>
      </c>
      <c r="H31" s="46">
        <v>6</v>
      </c>
      <c r="I31" s="47">
        <f>[1]Theory!E45</f>
        <v>17</v>
      </c>
      <c r="J31" s="48">
        <f>[1]Theory!H45</f>
        <v>9</v>
      </c>
      <c r="K31" s="44">
        <f>[1]Theory!F45</f>
        <v>9</v>
      </c>
      <c r="L31" s="49">
        <v>7</v>
      </c>
      <c r="M31" s="49">
        <v>8</v>
      </c>
      <c r="N31" s="49">
        <v>8</v>
      </c>
      <c r="O31" s="50">
        <f>[1]Theory!G45</f>
        <v>23</v>
      </c>
      <c r="P31" s="47">
        <f t="shared" si="1"/>
        <v>66</v>
      </c>
      <c r="Q31" s="51" t="str">
        <f>[1]Theory!J45</f>
        <v>B+</v>
      </c>
      <c r="R31" s="57"/>
      <c r="S31" s="53">
        <f t="shared" si="2"/>
        <v>20</v>
      </c>
      <c r="T31" s="54">
        <f t="shared" si="3"/>
        <v>29</v>
      </c>
      <c r="U31" s="54">
        <f t="shared" si="4"/>
        <v>17</v>
      </c>
      <c r="V31" s="54">
        <f t="shared" si="5"/>
        <v>35.714285714285715</v>
      </c>
      <c r="W31" s="54">
        <f t="shared" si="6"/>
        <v>65.909090909090907</v>
      </c>
      <c r="X31" s="54">
        <f t="shared" si="7"/>
        <v>65.384615384615387</v>
      </c>
      <c r="Y31" s="55" t="str">
        <f t="shared" si="8"/>
        <v>N</v>
      </c>
      <c r="Z31" s="55" t="str">
        <f t="shared" si="8"/>
        <v>Y</v>
      </c>
      <c r="AA31" s="56" t="str">
        <f t="shared" si="8"/>
        <v>Y</v>
      </c>
    </row>
    <row r="32" spans="2:27" ht="29.1" customHeight="1" thickBot="1" x14ac:dyDescent="0.45">
      <c r="B32" s="41">
        <v>22</v>
      </c>
      <c r="C32" s="42" t="str">
        <f>[1]Theory!A46</f>
        <v>2023-IT-34</v>
      </c>
      <c r="D32" s="43" t="str">
        <f>[1]Theory!B46</f>
        <v>Jamshaid Abbas</v>
      </c>
      <c r="E32" s="44">
        <f>[1]Theory!D46</f>
        <v>9</v>
      </c>
      <c r="F32" s="45">
        <v>6</v>
      </c>
      <c r="G32" s="45">
        <v>6</v>
      </c>
      <c r="H32" s="46">
        <v>0</v>
      </c>
      <c r="I32" s="47">
        <f>[1]Theory!E46</f>
        <v>12</v>
      </c>
      <c r="J32" s="48">
        <f>[1]Theory!H46</f>
        <v>8</v>
      </c>
      <c r="K32" s="44">
        <f>[1]Theory!F46</f>
        <v>9</v>
      </c>
      <c r="L32" s="49">
        <v>5</v>
      </c>
      <c r="M32" s="49">
        <v>7</v>
      </c>
      <c r="N32" s="49">
        <v>5</v>
      </c>
      <c r="O32" s="50">
        <f>[1]Theory!G46</f>
        <v>17</v>
      </c>
      <c r="P32" s="47">
        <f t="shared" si="1"/>
        <v>55</v>
      </c>
      <c r="Q32" s="51" t="str">
        <f>[1]Theory!J46</f>
        <v>C+</v>
      </c>
      <c r="R32" s="57"/>
      <c r="S32" s="53">
        <f t="shared" si="2"/>
        <v>20</v>
      </c>
      <c r="T32" s="54">
        <f t="shared" si="3"/>
        <v>22</v>
      </c>
      <c r="U32" s="54">
        <f t="shared" si="4"/>
        <v>13</v>
      </c>
      <c r="V32" s="54">
        <f t="shared" si="5"/>
        <v>35.714285714285715</v>
      </c>
      <c r="W32" s="54">
        <f t="shared" si="6"/>
        <v>50</v>
      </c>
      <c r="X32" s="54">
        <f t="shared" si="7"/>
        <v>50</v>
      </c>
      <c r="Y32" s="55" t="str">
        <f t="shared" si="8"/>
        <v>N</v>
      </c>
      <c r="Z32" s="55" t="str">
        <f t="shared" si="8"/>
        <v>Y</v>
      </c>
      <c r="AA32" s="56" t="str">
        <f t="shared" si="8"/>
        <v>Y</v>
      </c>
    </row>
    <row r="33" spans="2:27" ht="29.1" customHeight="1" thickBot="1" x14ac:dyDescent="0.45">
      <c r="B33" s="41">
        <v>23</v>
      </c>
      <c r="C33" s="42" t="str">
        <f>[1]Theory!A47</f>
        <v>2023-IT-38</v>
      </c>
      <c r="D33" s="43" t="str">
        <f>[1]Theory!B47</f>
        <v>Sherzaman Bukhari</v>
      </c>
      <c r="E33" s="44">
        <f>[1]Theory!D47</f>
        <v>8</v>
      </c>
      <c r="F33" s="45">
        <v>5</v>
      </c>
      <c r="G33" s="45">
        <v>6</v>
      </c>
      <c r="H33" s="46">
        <v>5</v>
      </c>
      <c r="I33" s="47">
        <f>[1]Theory!E47</f>
        <v>16</v>
      </c>
      <c r="J33" s="48">
        <f>[1]Theory!H47</f>
        <v>8</v>
      </c>
      <c r="K33" s="44">
        <f>[1]Theory!F47</f>
        <v>8</v>
      </c>
      <c r="L33" s="49">
        <v>6</v>
      </c>
      <c r="M33" s="49">
        <v>7</v>
      </c>
      <c r="N33" s="49">
        <v>5</v>
      </c>
      <c r="O33" s="50">
        <f>[1]Theory!G47</f>
        <v>18</v>
      </c>
      <c r="P33" s="47">
        <f t="shared" si="1"/>
        <v>58</v>
      </c>
      <c r="Q33" s="51" t="str">
        <f>[1]Theory!J47</f>
        <v>B-</v>
      </c>
      <c r="R33" s="57"/>
      <c r="S33" s="53">
        <f t="shared" si="2"/>
        <v>19</v>
      </c>
      <c r="T33" s="54">
        <f t="shared" si="3"/>
        <v>26</v>
      </c>
      <c r="U33" s="54">
        <f t="shared" si="4"/>
        <v>13</v>
      </c>
      <c r="V33" s="54">
        <f t="shared" si="5"/>
        <v>33.928571428571431</v>
      </c>
      <c r="W33" s="54">
        <f t="shared" si="6"/>
        <v>59.090909090909093</v>
      </c>
      <c r="X33" s="54">
        <f t="shared" si="7"/>
        <v>50</v>
      </c>
      <c r="Y33" s="55" t="str">
        <f t="shared" si="8"/>
        <v>N</v>
      </c>
      <c r="Z33" s="55" t="str">
        <f t="shared" si="8"/>
        <v>Y</v>
      </c>
      <c r="AA33" s="56" t="str">
        <f t="shared" si="8"/>
        <v>Y</v>
      </c>
    </row>
    <row r="34" spans="2:27" ht="29.1" customHeight="1" thickBot="1" x14ac:dyDescent="0.45">
      <c r="B34" s="41">
        <v>24</v>
      </c>
      <c r="C34" s="42" t="str">
        <f>[1]Theory!A48</f>
        <v>2023-IT-40</v>
      </c>
      <c r="D34" s="43" t="str">
        <f>[1]Theory!B48</f>
        <v>Ahmad Raza Shareef</v>
      </c>
      <c r="E34" s="44">
        <f>[1]Theory!D48</f>
        <v>8</v>
      </c>
      <c r="F34" s="45">
        <v>5</v>
      </c>
      <c r="G34" s="45">
        <v>5</v>
      </c>
      <c r="H34" s="46">
        <v>7</v>
      </c>
      <c r="I34" s="47">
        <f>[1]Theory!E48</f>
        <v>17</v>
      </c>
      <c r="J34" s="48">
        <f>[1]Theory!H48</f>
        <v>9</v>
      </c>
      <c r="K34" s="44">
        <f>[1]Theory!F48</f>
        <v>7</v>
      </c>
      <c r="L34" s="49">
        <v>5</v>
      </c>
      <c r="M34" s="49">
        <v>9</v>
      </c>
      <c r="N34" s="49">
        <v>5</v>
      </c>
      <c r="O34" s="50">
        <f>[1]Theory!G48</f>
        <v>19</v>
      </c>
      <c r="P34" s="47">
        <f t="shared" si="1"/>
        <v>60</v>
      </c>
      <c r="Q34" s="51" t="str">
        <f>[1]Theory!J48</f>
        <v>B</v>
      </c>
      <c r="R34" s="57"/>
      <c r="S34" s="53">
        <f t="shared" si="2"/>
        <v>18</v>
      </c>
      <c r="T34" s="54">
        <f t="shared" si="3"/>
        <v>28</v>
      </c>
      <c r="U34" s="54">
        <f t="shared" si="4"/>
        <v>14</v>
      </c>
      <c r="V34" s="54">
        <f t="shared" si="5"/>
        <v>32.142857142857146</v>
      </c>
      <c r="W34" s="54">
        <f t="shared" si="6"/>
        <v>63.636363636363633</v>
      </c>
      <c r="X34" s="54">
        <f t="shared" si="7"/>
        <v>53.846153846153847</v>
      </c>
      <c r="Y34" s="55" t="str">
        <f t="shared" si="8"/>
        <v>N</v>
      </c>
      <c r="Z34" s="55" t="str">
        <f t="shared" si="8"/>
        <v>Y</v>
      </c>
      <c r="AA34" s="56" t="str">
        <f t="shared" si="8"/>
        <v>Y</v>
      </c>
    </row>
    <row r="35" spans="2:27" ht="29.1" customHeight="1" thickBot="1" x14ac:dyDescent="0.45">
      <c r="B35" s="41">
        <v>25</v>
      </c>
      <c r="C35" s="42" t="str">
        <f>[1]Theory!A49</f>
        <v>2023-IT-41</v>
      </c>
      <c r="D35" s="43" t="str">
        <f>[1]Theory!B49</f>
        <v>Anas Noor</v>
      </c>
      <c r="E35" s="44">
        <f>[1]Theory!D49</f>
        <v>9</v>
      </c>
      <c r="F35" s="45">
        <v>2</v>
      </c>
      <c r="G35" s="45">
        <v>5</v>
      </c>
      <c r="H35" s="46">
        <v>5</v>
      </c>
      <c r="I35" s="47">
        <f>[1]Theory!E49</f>
        <v>12</v>
      </c>
      <c r="J35" s="48">
        <f>[1]Theory!H49</f>
        <v>8</v>
      </c>
      <c r="K35" s="44">
        <f>[1]Theory!F49</f>
        <v>8</v>
      </c>
      <c r="L35" s="49">
        <v>0</v>
      </c>
      <c r="M35" s="49">
        <v>0</v>
      </c>
      <c r="N35" s="49">
        <v>0</v>
      </c>
      <c r="O35" s="50">
        <f>[1]Theory!G49</f>
        <v>0</v>
      </c>
      <c r="P35" s="47">
        <f t="shared" si="1"/>
        <v>37</v>
      </c>
      <c r="Q35" s="51" t="str">
        <f>[1]Theory!J49</f>
        <v>F</v>
      </c>
      <c r="R35" s="57"/>
      <c r="S35" s="53">
        <f t="shared" si="2"/>
        <v>11</v>
      </c>
      <c r="T35" s="54">
        <f t="shared" si="3"/>
        <v>18</v>
      </c>
      <c r="U35" s="54">
        <f t="shared" si="4"/>
        <v>8</v>
      </c>
      <c r="V35" s="54">
        <f t="shared" si="5"/>
        <v>19.642857142857142</v>
      </c>
      <c r="W35" s="54">
        <f t="shared" si="6"/>
        <v>40.909090909090914</v>
      </c>
      <c r="X35" s="54">
        <f t="shared" si="7"/>
        <v>30.76923076923077</v>
      </c>
      <c r="Y35" s="55" t="str">
        <f t="shared" si="8"/>
        <v>N</v>
      </c>
      <c r="Z35" s="55" t="str">
        <f t="shared" si="8"/>
        <v>N</v>
      </c>
      <c r="AA35" s="56" t="str">
        <f t="shared" si="8"/>
        <v>N</v>
      </c>
    </row>
    <row r="36" spans="2:27" ht="29.1" customHeight="1" thickBot="1" x14ac:dyDescent="0.45">
      <c r="B36" s="41">
        <v>26</v>
      </c>
      <c r="C36" s="42" t="str">
        <f>[1]Theory!A50</f>
        <v>2023-IT-42</v>
      </c>
      <c r="D36" s="43" t="str">
        <f>[1]Theory!B50</f>
        <v>Muhammad Moosa Bhatti</v>
      </c>
      <c r="E36" s="44">
        <f>[1]Theory!D50</f>
        <v>7</v>
      </c>
      <c r="F36" s="45">
        <v>6</v>
      </c>
      <c r="G36" s="45">
        <v>6</v>
      </c>
      <c r="H36" s="46">
        <v>8</v>
      </c>
      <c r="I36" s="47">
        <f>[1]Theory!E50</f>
        <v>20</v>
      </c>
      <c r="J36" s="48">
        <f>[1]Theory!H50</f>
        <v>7</v>
      </c>
      <c r="K36" s="44">
        <f>[1]Theory!F50</f>
        <v>6</v>
      </c>
      <c r="L36" s="49">
        <v>9</v>
      </c>
      <c r="M36" s="49">
        <v>5</v>
      </c>
      <c r="N36" s="49">
        <v>5</v>
      </c>
      <c r="O36" s="50">
        <f>[1]Theory!G50</f>
        <v>19</v>
      </c>
      <c r="P36" s="47">
        <f t="shared" si="1"/>
        <v>59</v>
      </c>
      <c r="Q36" s="51" t="str">
        <f>[1]Theory!J50</f>
        <v>B-</v>
      </c>
      <c r="R36" s="57"/>
      <c r="S36" s="53">
        <f t="shared" si="2"/>
        <v>22</v>
      </c>
      <c r="T36" s="54">
        <f t="shared" si="3"/>
        <v>25</v>
      </c>
      <c r="U36" s="54">
        <f t="shared" si="4"/>
        <v>12</v>
      </c>
      <c r="V36" s="54">
        <f t="shared" si="5"/>
        <v>39.285714285714285</v>
      </c>
      <c r="W36" s="54">
        <f t="shared" si="6"/>
        <v>56.81818181818182</v>
      </c>
      <c r="X36" s="54">
        <f t="shared" si="7"/>
        <v>46.153846153846153</v>
      </c>
      <c r="Y36" s="55" t="str">
        <f t="shared" si="8"/>
        <v>N</v>
      </c>
      <c r="Z36" s="55" t="str">
        <f t="shared" si="8"/>
        <v>Y</v>
      </c>
      <c r="AA36" s="56" t="str">
        <f t="shared" si="8"/>
        <v>N</v>
      </c>
    </row>
    <row r="37" spans="2:27" ht="29.1" customHeight="1" thickBot="1" x14ac:dyDescent="0.45">
      <c r="B37" s="41">
        <v>27</v>
      </c>
      <c r="C37" s="42" t="str">
        <f>[1]Theory!A51</f>
        <v>2023-IT-44</v>
      </c>
      <c r="D37" s="43" t="str">
        <f>[1]Theory!B51</f>
        <v>Muhammad Nouman Aslam</v>
      </c>
      <c r="E37" s="44">
        <f>[1]Theory!D51</f>
        <v>9</v>
      </c>
      <c r="F37" s="45">
        <v>5</v>
      </c>
      <c r="G37" s="45">
        <v>7</v>
      </c>
      <c r="H37" s="46">
        <v>6</v>
      </c>
      <c r="I37" s="47">
        <f>[1]Theory!E51</f>
        <v>18</v>
      </c>
      <c r="J37" s="48">
        <f>[1]Theory!H51</f>
        <v>9</v>
      </c>
      <c r="K37" s="44">
        <f>[1]Theory!F51</f>
        <v>8</v>
      </c>
      <c r="L37" s="49">
        <v>8</v>
      </c>
      <c r="M37" s="49">
        <v>8</v>
      </c>
      <c r="N37" s="49">
        <v>4</v>
      </c>
      <c r="O37" s="50">
        <f>[1]Theory!G51</f>
        <v>20</v>
      </c>
      <c r="P37" s="47">
        <f t="shared" si="1"/>
        <v>64</v>
      </c>
      <c r="Q37" s="51" t="str">
        <f>[1]Theory!J51</f>
        <v>B</v>
      </c>
      <c r="R37" s="57"/>
      <c r="S37" s="53">
        <f t="shared" si="2"/>
        <v>22</v>
      </c>
      <c r="T37" s="54">
        <f t="shared" si="3"/>
        <v>29</v>
      </c>
      <c r="U37" s="54">
        <f t="shared" si="4"/>
        <v>13</v>
      </c>
      <c r="V37" s="54">
        <f t="shared" si="5"/>
        <v>39.285714285714285</v>
      </c>
      <c r="W37" s="54">
        <f t="shared" si="6"/>
        <v>65.909090909090907</v>
      </c>
      <c r="X37" s="54">
        <f t="shared" si="7"/>
        <v>50</v>
      </c>
      <c r="Y37" s="55" t="str">
        <f t="shared" si="8"/>
        <v>N</v>
      </c>
      <c r="Z37" s="55" t="str">
        <f t="shared" si="8"/>
        <v>Y</v>
      </c>
      <c r="AA37" s="56" t="str">
        <f t="shared" si="8"/>
        <v>Y</v>
      </c>
    </row>
    <row r="38" spans="2:27" ht="29.1" customHeight="1" thickBot="1" x14ac:dyDescent="0.45">
      <c r="B38" s="41">
        <v>28</v>
      </c>
      <c r="C38" s="42" t="str">
        <f>[1]Theory!A52</f>
        <v>2023-IT-46</v>
      </c>
      <c r="D38" s="43" t="str">
        <f>[1]Theory!B52</f>
        <v>Muhammad Haseeb Anjum</v>
      </c>
      <c r="E38" s="44">
        <f>[1]Theory!D52</f>
        <v>8</v>
      </c>
      <c r="F38" s="45">
        <v>7</v>
      </c>
      <c r="G38" s="45">
        <v>5</v>
      </c>
      <c r="H38" s="46">
        <v>7</v>
      </c>
      <c r="I38" s="47">
        <f>[1]Theory!E52</f>
        <v>19</v>
      </c>
      <c r="J38" s="48">
        <f>[1]Theory!H52</f>
        <v>9</v>
      </c>
      <c r="K38" s="44">
        <f>[1]Theory!F52</f>
        <v>9</v>
      </c>
      <c r="L38" s="49">
        <v>10</v>
      </c>
      <c r="M38" s="49">
        <v>10</v>
      </c>
      <c r="N38" s="49">
        <v>5</v>
      </c>
      <c r="O38" s="50">
        <f>[1]Theory!G52</f>
        <v>25</v>
      </c>
      <c r="P38" s="47">
        <f t="shared" si="1"/>
        <v>70</v>
      </c>
      <c r="Q38" s="51" t="str">
        <f>[1]Theory!J52</f>
        <v>A-</v>
      </c>
      <c r="R38" s="57"/>
      <c r="S38" s="53">
        <f t="shared" si="2"/>
        <v>25</v>
      </c>
      <c r="T38" s="54">
        <f t="shared" si="3"/>
        <v>31</v>
      </c>
      <c r="U38" s="54">
        <f t="shared" si="4"/>
        <v>14</v>
      </c>
      <c r="V38" s="54">
        <f t="shared" si="5"/>
        <v>44.642857142857146</v>
      </c>
      <c r="W38" s="54">
        <f t="shared" si="6"/>
        <v>70.454545454545453</v>
      </c>
      <c r="X38" s="54">
        <f t="shared" si="7"/>
        <v>53.846153846153847</v>
      </c>
      <c r="Y38" s="55" t="str">
        <f t="shared" si="8"/>
        <v>N</v>
      </c>
      <c r="Z38" s="55" t="str">
        <f t="shared" si="8"/>
        <v>Y</v>
      </c>
      <c r="AA38" s="56" t="str">
        <f t="shared" si="8"/>
        <v>Y</v>
      </c>
    </row>
    <row r="39" spans="2:27" ht="29.1" customHeight="1" thickBot="1" x14ac:dyDescent="0.45">
      <c r="B39" s="41">
        <v>29</v>
      </c>
      <c r="C39" s="42" t="str">
        <f>[1]Theory!A53</f>
        <v>2023-IT-48</v>
      </c>
      <c r="D39" s="43" t="str">
        <f>[1]Theory!B53</f>
        <v>Muhammad Arslan Waheed</v>
      </c>
      <c r="E39" s="44">
        <f>[1]Theory!D53</f>
        <v>8</v>
      </c>
      <c r="F39" s="45">
        <v>6</v>
      </c>
      <c r="G39" s="45">
        <v>6</v>
      </c>
      <c r="H39" s="46">
        <v>8</v>
      </c>
      <c r="I39" s="47">
        <f>[1]Theory!E53</f>
        <v>20</v>
      </c>
      <c r="J39" s="48">
        <f>[1]Theory!H53</f>
        <v>7</v>
      </c>
      <c r="K39" s="44">
        <f>[1]Theory!F53</f>
        <v>8</v>
      </c>
      <c r="L39" s="49">
        <v>6</v>
      </c>
      <c r="M39" s="49">
        <v>6</v>
      </c>
      <c r="N39" s="49">
        <v>6</v>
      </c>
      <c r="O39" s="50">
        <f>[1]Theory!G53</f>
        <v>18</v>
      </c>
      <c r="P39" s="47">
        <f t="shared" si="1"/>
        <v>61</v>
      </c>
      <c r="Q39" s="51" t="str">
        <f>[1]Theory!J53</f>
        <v>B</v>
      </c>
      <c r="R39" s="57"/>
      <c r="S39" s="53">
        <f t="shared" si="2"/>
        <v>20</v>
      </c>
      <c r="T39" s="54">
        <f t="shared" si="3"/>
        <v>28</v>
      </c>
      <c r="U39" s="54">
        <f t="shared" si="4"/>
        <v>13</v>
      </c>
      <c r="V39" s="54">
        <f t="shared" si="5"/>
        <v>35.714285714285715</v>
      </c>
      <c r="W39" s="54">
        <f t="shared" si="6"/>
        <v>63.636363636363633</v>
      </c>
      <c r="X39" s="54">
        <f t="shared" si="7"/>
        <v>50</v>
      </c>
      <c r="Y39" s="55" t="str">
        <f t="shared" si="8"/>
        <v>N</v>
      </c>
      <c r="Z39" s="55" t="str">
        <f t="shared" si="8"/>
        <v>Y</v>
      </c>
      <c r="AA39" s="56" t="str">
        <f t="shared" si="8"/>
        <v>Y</v>
      </c>
    </row>
    <row r="40" spans="2:27" ht="29.1" customHeight="1" thickBot="1" x14ac:dyDescent="0.45">
      <c r="B40" s="41">
        <v>30</v>
      </c>
      <c r="C40" s="42" t="str">
        <f>[1]Theory!A54</f>
        <v>2023-IT-50</v>
      </c>
      <c r="D40" s="43" t="str">
        <f>[1]Theory!B54</f>
        <v>Hafiz Muhammad Hasnain Saif</v>
      </c>
      <c r="E40" s="44">
        <f>[1]Theory!D54</f>
        <v>8</v>
      </c>
      <c r="F40" s="45">
        <v>5</v>
      </c>
      <c r="G40" s="45">
        <v>4</v>
      </c>
      <c r="H40" s="46">
        <v>6</v>
      </c>
      <c r="I40" s="47">
        <f>[1]Theory!E54</f>
        <v>15</v>
      </c>
      <c r="J40" s="48">
        <f>[1]Theory!H54</f>
        <v>9</v>
      </c>
      <c r="K40" s="44">
        <f>[1]Theory!F54</f>
        <v>8</v>
      </c>
      <c r="L40" s="49">
        <v>6</v>
      </c>
      <c r="M40" s="49">
        <v>7</v>
      </c>
      <c r="N40" s="49">
        <v>5</v>
      </c>
      <c r="O40" s="50">
        <f>[1]Theory!G54</f>
        <v>18</v>
      </c>
      <c r="P40" s="47">
        <f t="shared" si="1"/>
        <v>58</v>
      </c>
      <c r="Q40" s="51" t="str">
        <f>[1]Theory!J54</f>
        <v>B-</v>
      </c>
      <c r="R40" s="57"/>
      <c r="S40" s="53">
        <f t="shared" si="2"/>
        <v>19</v>
      </c>
      <c r="T40" s="54">
        <f t="shared" si="3"/>
        <v>25</v>
      </c>
      <c r="U40" s="54">
        <f t="shared" si="4"/>
        <v>14</v>
      </c>
      <c r="V40" s="54">
        <f t="shared" si="5"/>
        <v>33.928571428571431</v>
      </c>
      <c r="W40" s="54">
        <f t="shared" si="6"/>
        <v>56.81818181818182</v>
      </c>
      <c r="X40" s="54">
        <f t="shared" si="7"/>
        <v>53.846153846153847</v>
      </c>
      <c r="Y40" s="55" t="str">
        <f t="shared" si="8"/>
        <v>N</v>
      </c>
      <c r="Z40" s="55" t="str">
        <f t="shared" si="8"/>
        <v>Y</v>
      </c>
      <c r="AA40" s="56" t="str">
        <f t="shared" si="8"/>
        <v>Y</v>
      </c>
    </row>
    <row r="41" spans="2:27" ht="29.1" customHeight="1" thickBot="1" x14ac:dyDescent="0.45">
      <c r="B41" s="41">
        <v>31</v>
      </c>
      <c r="C41" s="42" t="str">
        <f>[1]Theory!A55</f>
        <v>2023-IT-54</v>
      </c>
      <c r="D41" s="43" t="str">
        <f>[1]Theory!B55</f>
        <v>Muhammad Zeeshan</v>
      </c>
      <c r="E41" s="44">
        <f>[1]Theory!D55</f>
        <v>9</v>
      </c>
      <c r="F41" s="45">
        <v>5</v>
      </c>
      <c r="G41" s="45">
        <v>6</v>
      </c>
      <c r="H41" s="46">
        <v>6</v>
      </c>
      <c r="I41" s="47">
        <f>[1]Theory!E55</f>
        <v>17</v>
      </c>
      <c r="J41" s="48">
        <f>[1]Theory!H55</f>
        <v>7</v>
      </c>
      <c r="K41" s="44">
        <f>[1]Theory!F55</f>
        <v>7</v>
      </c>
      <c r="L41" s="49">
        <v>2</v>
      </c>
      <c r="M41" s="49">
        <v>3</v>
      </c>
      <c r="N41" s="49">
        <v>3</v>
      </c>
      <c r="O41" s="50">
        <f>[1]Theory!G55</f>
        <v>8</v>
      </c>
      <c r="P41" s="47">
        <f t="shared" si="1"/>
        <v>48</v>
      </c>
      <c r="Q41" s="51" t="str">
        <f>[1]Theory!J55</f>
        <v>C-</v>
      </c>
      <c r="R41" s="57"/>
      <c r="S41" s="53">
        <f t="shared" si="2"/>
        <v>16</v>
      </c>
      <c r="T41" s="54">
        <f t="shared" si="3"/>
        <v>22</v>
      </c>
      <c r="U41" s="54">
        <f t="shared" si="4"/>
        <v>10</v>
      </c>
      <c r="V41" s="54">
        <f t="shared" si="5"/>
        <v>28.571428571428569</v>
      </c>
      <c r="W41" s="54">
        <f t="shared" si="6"/>
        <v>50</v>
      </c>
      <c r="X41" s="54">
        <f t="shared" si="7"/>
        <v>38.461538461538467</v>
      </c>
      <c r="Y41" s="55" t="str">
        <f t="shared" si="8"/>
        <v>N</v>
      </c>
      <c r="Z41" s="55" t="str">
        <f t="shared" si="8"/>
        <v>Y</v>
      </c>
      <c r="AA41" s="56" t="str">
        <f t="shared" si="8"/>
        <v>N</v>
      </c>
    </row>
    <row r="42" spans="2:27" ht="29.1" customHeight="1" thickBot="1" x14ac:dyDescent="0.45">
      <c r="B42" s="41">
        <v>32</v>
      </c>
      <c r="C42" s="42" t="str">
        <f>[1]Theory!A56</f>
        <v>2023-IT-56</v>
      </c>
      <c r="D42" s="43" t="str">
        <f>[1]Theory!B56</f>
        <v>Muhammad Adeel</v>
      </c>
      <c r="E42" s="44">
        <f>[1]Theory!D56</f>
        <v>8</v>
      </c>
      <c r="F42" s="45">
        <v>0</v>
      </c>
      <c r="G42" s="45">
        <v>0</v>
      </c>
      <c r="H42" s="46">
        <v>0</v>
      </c>
      <c r="I42" s="47">
        <f>[1]Theory!E56</f>
        <v>0</v>
      </c>
      <c r="J42" s="48">
        <f>[1]Theory!H56</f>
        <v>8</v>
      </c>
      <c r="K42" s="44">
        <f>[1]Theory!F56</f>
        <v>9</v>
      </c>
      <c r="L42" s="49">
        <v>7</v>
      </c>
      <c r="M42" s="49">
        <v>7</v>
      </c>
      <c r="N42" s="49">
        <v>7</v>
      </c>
      <c r="O42" s="50">
        <f>[1]Theory!G56</f>
        <v>21</v>
      </c>
      <c r="P42" s="47">
        <f t="shared" si="1"/>
        <v>46</v>
      </c>
      <c r="Q42" s="51" t="str">
        <f>[1]Theory!J56</f>
        <v>C-</v>
      </c>
      <c r="R42" s="57"/>
      <c r="S42" s="53">
        <f t="shared" si="2"/>
        <v>15</v>
      </c>
      <c r="T42" s="54">
        <f t="shared" si="3"/>
        <v>16</v>
      </c>
      <c r="U42" s="54">
        <f t="shared" si="4"/>
        <v>15</v>
      </c>
      <c r="V42" s="54">
        <f t="shared" si="5"/>
        <v>26.785714285714285</v>
      </c>
      <c r="W42" s="54">
        <f t="shared" si="6"/>
        <v>36.363636363636367</v>
      </c>
      <c r="X42" s="54">
        <f t="shared" si="7"/>
        <v>57.692307692307686</v>
      </c>
      <c r="Y42" s="55" t="str">
        <f t="shared" si="8"/>
        <v>N</v>
      </c>
      <c r="Z42" s="55" t="str">
        <f t="shared" si="8"/>
        <v>N</v>
      </c>
      <c r="AA42" s="56" t="str">
        <f t="shared" si="8"/>
        <v>Y</v>
      </c>
    </row>
    <row r="43" spans="2:27" ht="29.1" customHeight="1" thickBot="1" x14ac:dyDescent="0.45">
      <c r="B43" s="41">
        <v>33</v>
      </c>
      <c r="C43" s="42" t="str">
        <f>[1]Theory!A57</f>
        <v>2023-IT-60</v>
      </c>
      <c r="D43" s="43" t="str">
        <f>[1]Theory!B57</f>
        <v>Mughees Ahmad</v>
      </c>
      <c r="E43" s="44">
        <f>[1]Theory!D57</f>
        <v>8</v>
      </c>
      <c r="F43" s="45">
        <v>5</v>
      </c>
      <c r="G43" s="45">
        <v>6</v>
      </c>
      <c r="H43" s="46">
        <v>6</v>
      </c>
      <c r="I43" s="47">
        <f>[1]Theory!E57</f>
        <v>17</v>
      </c>
      <c r="J43" s="48">
        <f>[1]Theory!H57</f>
        <v>8</v>
      </c>
      <c r="K43" s="44">
        <f>[1]Theory!F57</f>
        <v>7</v>
      </c>
      <c r="L43" s="49">
        <v>6</v>
      </c>
      <c r="M43" s="49">
        <v>6</v>
      </c>
      <c r="N43" s="49">
        <v>8</v>
      </c>
      <c r="O43" s="50">
        <f>[1]Theory!G57</f>
        <v>20</v>
      </c>
      <c r="P43" s="47">
        <f t="shared" si="1"/>
        <v>60</v>
      </c>
      <c r="Q43" s="51" t="str">
        <f>[1]Theory!J57</f>
        <v>B</v>
      </c>
      <c r="R43" s="57"/>
      <c r="S43" s="53">
        <f t="shared" si="2"/>
        <v>19</v>
      </c>
      <c r="T43" s="54">
        <f t="shared" si="3"/>
        <v>25</v>
      </c>
      <c r="U43" s="54">
        <f t="shared" si="4"/>
        <v>16</v>
      </c>
      <c r="V43" s="54">
        <f t="shared" si="5"/>
        <v>33.928571428571431</v>
      </c>
      <c r="W43" s="54">
        <f t="shared" si="6"/>
        <v>56.81818181818182</v>
      </c>
      <c r="X43" s="54">
        <f t="shared" si="7"/>
        <v>61.53846153846154</v>
      </c>
      <c r="Y43" s="55" t="str">
        <f t="shared" si="8"/>
        <v>N</v>
      </c>
      <c r="Z43" s="55" t="str">
        <f t="shared" si="8"/>
        <v>Y</v>
      </c>
      <c r="AA43" s="56" t="str">
        <f t="shared" si="8"/>
        <v>Y</v>
      </c>
    </row>
    <row r="44" spans="2:27" ht="29.1" customHeight="1" thickBot="1" x14ac:dyDescent="0.45">
      <c r="B44" s="41">
        <v>34</v>
      </c>
      <c r="C44" s="42" t="str">
        <f>[1]Theory!A58</f>
        <v>2023-IT-62</v>
      </c>
      <c r="D44" s="43" t="str">
        <f>[1]Theory!B58</f>
        <v>Muhammad Azeem</v>
      </c>
      <c r="E44" s="44">
        <f>[1]Theory!D58</f>
        <v>7</v>
      </c>
      <c r="F44" s="45">
        <v>6</v>
      </c>
      <c r="G44" s="45">
        <v>5</v>
      </c>
      <c r="H44" s="46">
        <v>5</v>
      </c>
      <c r="I44" s="47">
        <f>[1]Theory!E58</f>
        <v>17</v>
      </c>
      <c r="J44" s="48">
        <f>[1]Theory!H58</f>
        <v>8</v>
      </c>
      <c r="K44" s="44">
        <f>[1]Theory!F58</f>
        <v>8</v>
      </c>
      <c r="L44" s="49">
        <v>8</v>
      </c>
      <c r="M44" s="49">
        <v>8</v>
      </c>
      <c r="N44" s="49">
        <v>7</v>
      </c>
      <c r="O44" s="50">
        <f>[1]Theory!G58</f>
        <v>23</v>
      </c>
      <c r="P44" s="47">
        <f t="shared" si="1"/>
        <v>63</v>
      </c>
      <c r="Q44" s="51" t="str">
        <f>[1]Theory!J58</f>
        <v>B</v>
      </c>
      <c r="R44" s="57"/>
      <c r="S44" s="53">
        <f t="shared" si="2"/>
        <v>21</v>
      </c>
      <c r="T44" s="54">
        <f t="shared" si="3"/>
        <v>26</v>
      </c>
      <c r="U44" s="54">
        <f t="shared" si="4"/>
        <v>15</v>
      </c>
      <c r="V44" s="54">
        <f t="shared" si="5"/>
        <v>37.5</v>
      </c>
      <c r="W44" s="54">
        <f t="shared" si="6"/>
        <v>59.090909090909093</v>
      </c>
      <c r="X44" s="54">
        <f t="shared" si="7"/>
        <v>57.692307692307686</v>
      </c>
      <c r="Y44" s="55" t="str">
        <f t="shared" si="8"/>
        <v>N</v>
      </c>
      <c r="Z44" s="55" t="str">
        <f t="shared" si="8"/>
        <v>Y</v>
      </c>
      <c r="AA44" s="56" t="str">
        <f t="shared" si="8"/>
        <v>Y</v>
      </c>
    </row>
    <row r="45" spans="2:27" ht="29.1" customHeight="1" thickBot="1" x14ac:dyDescent="0.45">
      <c r="B45" s="41">
        <v>35</v>
      </c>
      <c r="C45" s="42" t="str">
        <f>[1]Theory!A59</f>
        <v>2023-IT-64</v>
      </c>
      <c r="D45" s="43" t="str">
        <f>[1]Theory!B59</f>
        <v>Abdul Ahad</v>
      </c>
      <c r="E45" s="44">
        <f>[1]Theory!D59</f>
        <v>0</v>
      </c>
      <c r="F45" s="45">
        <v>0</v>
      </c>
      <c r="G45" s="45">
        <v>0</v>
      </c>
      <c r="H45" s="46">
        <v>0</v>
      </c>
      <c r="I45" s="47">
        <f>[1]Theory!E59</f>
        <v>0</v>
      </c>
      <c r="J45" s="48">
        <f>[1]Theory!H59</f>
        <v>0</v>
      </c>
      <c r="K45" s="44">
        <f>[1]Theory!F59</f>
        <v>0</v>
      </c>
      <c r="L45" s="49">
        <v>0</v>
      </c>
      <c r="M45" s="49">
        <v>0</v>
      </c>
      <c r="N45" s="49">
        <v>0</v>
      </c>
      <c r="O45" s="50">
        <f>[1]Theory!G59</f>
        <v>0</v>
      </c>
      <c r="P45" s="47">
        <f t="shared" si="1"/>
        <v>0</v>
      </c>
      <c r="Q45" s="51" t="str">
        <f>[1]Theory!J59</f>
        <v>F</v>
      </c>
      <c r="R45" s="57"/>
      <c r="S45" s="53">
        <f t="shared" si="2"/>
        <v>0</v>
      </c>
      <c r="T45" s="54">
        <f t="shared" si="3"/>
        <v>0</v>
      </c>
      <c r="U45" s="54">
        <f t="shared" si="4"/>
        <v>0</v>
      </c>
      <c r="V45" s="54">
        <f t="shared" si="5"/>
        <v>0</v>
      </c>
      <c r="W45" s="54">
        <f t="shared" si="6"/>
        <v>0</v>
      </c>
      <c r="X45" s="54">
        <f t="shared" si="7"/>
        <v>0</v>
      </c>
      <c r="Y45" s="55" t="str">
        <f t="shared" si="8"/>
        <v>N</v>
      </c>
      <c r="Z45" s="55" t="str">
        <f t="shared" si="8"/>
        <v>N</v>
      </c>
      <c r="AA45" s="56" t="str">
        <f t="shared" si="8"/>
        <v>N</v>
      </c>
    </row>
    <row r="46" spans="2:27" ht="29.1" customHeight="1" thickBot="1" x14ac:dyDescent="0.45">
      <c r="B46" s="41">
        <v>36</v>
      </c>
      <c r="C46" s="42" t="str">
        <f>[1]Theory!A60</f>
        <v>2023-IT-66</v>
      </c>
      <c r="D46" s="43" t="str">
        <f>[1]Theory!B60</f>
        <v>Muhammad Haris Javed</v>
      </c>
      <c r="E46" s="44">
        <f>[1]Theory!D60</f>
        <v>8</v>
      </c>
      <c r="F46" s="45">
        <v>7</v>
      </c>
      <c r="G46" s="45">
        <v>7</v>
      </c>
      <c r="H46" s="46">
        <v>8</v>
      </c>
      <c r="I46" s="47">
        <f>[1]Theory!E60</f>
        <v>22</v>
      </c>
      <c r="J46" s="48">
        <f>[1]Theory!H60</f>
        <v>9</v>
      </c>
      <c r="K46" s="44">
        <f>[1]Theory!F60</f>
        <v>9</v>
      </c>
      <c r="L46" s="49">
        <v>7</v>
      </c>
      <c r="M46" s="49">
        <v>10</v>
      </c>
      <c r="N46" s="49">
        <v>7</v>
      </c>
      <c r="O46" s="50">
        <f>[1]Theory!G60</f>
        <v>24</v>
      </c>
      <c r="P46" s="47">
        <f t="shared" si="1"/>
        <v>72</v>
      </c>
      <c r="Q46" s="51" t="str">
        <f>[1]Theory!J60</f>
        <v>A</v>
      </c>
      <c r="R46" s="57"/>
      <c r="S46" s="53">
        <f t="shared" si="2"/>
        <v>22</v>
      </c>
      <c r="T46" s="54">
        <f t="shared" si="3"/>
        <v>34</v>
      </c>
      <c r="U46" s="54">
        <f t="shared" si="4"/>
        <v>16</v>
      </c>
      <c r="V46" s="54">
        <f t="shared" si="5"/>
        <v>39.285714285714285</v>
      </c>
      <c r="W46" s="54">
        <f t="shared" si="6"/>
        <v>77.272727272727266</v>
      </c>
      <c r="X46" s="54">
        <f t="shared" si="7"/>
        <v>61.53846153846154</v>
      </c>
      <c r="Y46" s="55" t="str">
        <f t="shared" si="8"/>
        <v>N</v>
      </c>
      <c r="Z46" s="55" t="str">
        <f t="shared" si="8"/>
        <v>Y</v>
      </c>
      <c r="AA46" s="56" t="str">
        <f t="shared" si="8"/>
        <v>Y</v>
      </c>
    </row>
    <row r="47" spans="2:27" ht="29.1" customHeight="1" thickBot="1" x14ac:dyDescent="0.45">
      <c r="B47" s="41">
        <v>37</v>
      </c>
      <c r="C47" s="42" t="str">
        <f>[1]Theory!A61</f>
        <v>2023-IT-68</v>
      </c>
      <c r="D47" s="43" t="str">
        <f>[1]Theory!B61</f>
        <v>Muhammad Mubashir</v>
      </c>
      <c r="E47" s="44">
        <f>[1]Theory!D61</f>
        <v>8</v>
      </c>
      <c r="F47" s="45">
        <v>6</v>
      </c>
      <c r="G47" s="45">
        <v>6</v>
      </c>
      <c r="H47" s="46">
        <v>6</v>
      </c>
      <c r="I47" s="47">
        <f>[1]Theory!E61</f>
        <v>18</v>
      </c>
      <c r="J47" s="48">
        <f>[1]Theory!H61</f>
        <v>8</v>
      </c>
      <c r="K47" s="44">
        <f>[1]Theory!F61</f>
        <v>7</v>
      </c>
      <c r="L47" s="49">
        <v>6</v>
      </c>
      <c r="M47" s="49">
        <v>12</v>
      </c>
      <c r="N47" s="49">
        <v>6</v>
      </c>
      <c r="O47" s="50">
        <f>[1]Theory!G61</f>
        <v>24</v>
      </c>
      <c r="P47" s="47">
        <f t="shared" si="1"/>
        <v>65</v>
      </c>
      <c r="Q47" s="51" t="str">
        <f>[1]Theory!J61</f>
        <v>B+</v>
      </c>
      <c r="R47" s="57"/>
      <c r="S47" s="53">
        <f t="shared" si="2"/>
        <v>20</v>
      </c>
      <c r="T47" s="54">
        <f t="shared" si="3"/>
        <v>31</v>
      </c>
      <c r="U47" s="54">
        <f t="shared" si="4"/>
        <v>14</v>
      </c>
      <c r="V47" s="54">
        <f t="shared" si="5"/>
        <v>35.714285714285715</v>
      </c>
      <c r="W47" s="54">
        <f t="shared" si="6"/>
        <v>70.454545454545453</v>
      </c>
      <c r="X47" s="54">
        <f t="shared" si="7"/>
        <v>53.846153846153847</v>
      </c>
      <c r="Y47" s="55" t="str">
        <f t="shared" si="8"/>
        <v>N</v>
      </c>
      <c r="Z47" s="55" t="str">
        <f t="shared" si="8"/>
        <v>Y</v>
      </c>
      <c r="AA47" s="56" t="str">
        <f t="shared" si="8"/>
        <v>Y</v>
      </c>
    </row>
    <row r="48" spans="2:27" ht="29.1" customHeight="1" thickBot="1" x14ac:dyDescent="0.45">
      <c r="B48" s="41">
        <v>38</v>
      </c>
      <c r="C48" s="42" t="str">
        <f>[1]Theory!A62</f>
        <v>2023-IT-70</v>
      </c>
      <c r="D48" s="43" t="str">
        <f>[1]Theory!B62</f>
        <v>Muhammad Usama</v>
      </c>
      <c r="E48" s="44">
        <f>[1]Theory!D62</f>
        <v>0</v>
      </c>
      <c r="F48" s="45">
        <v>0</v>
      </c>
      <c r="G48" s="45">
        <v>0</v>
      </c>
      <c r="H48" s="46">
        <v>0</v>
      </c>
      <c r="I48" s="47">
        <f>[1]Theory!E62</f>
        <v>0</v>
      </c>
      <c r="J48" s="48">
        <f>[1]Theory!H62</f>
        <v>0</v>
      </c>
      <c r="K48" s="44">
        <f>[1]Theory!F62</f>
        <v>0</v>
      </c>
      <c r="L48" s="49">
        <v>0</v>
      </c>
      <c r="M48" s="49">
        <v>0</v>
      </c>
      <c r="N48" s="49">
        <v>0</v>
      </c>
      <c r="O48" s="50">
        <f>[1]Theory!G62</f>
        <v>0</v>
      </c>
      <c r="P48" s="47">
        <f t="shared" si="1"/>
        <v>0</v>
      </c>
      <c r="Q48" s="51" t="str">
        <f>[1]Theory!J62</f>
        <v>F</v>
      </c>
      <c r="R48" s="57"/>
      <c r="S48" s="53">
        <f t="shared" si="2"/>
        <v>0</v>
      </c>
      <c r="T48" s="54">
        <f t="shared" si="3"/>
        <v>0</v>
      </c>
      <c r="U48" s="54">
        <f t="shared" si="4"/>
        <v>0</v>
      </c>
      <c r="V48" s="54">
        <f t="shared" si="5"/>
        <v>0</v>
      </c>
      <c r="W48" s="54">
        <f t="shared" si="6"/>
        <v>0</v>
      </c>
      <c r="X48" s="54">
        <f t="shared" si="7"/>
        <v>0</v>
      </c>
      <c r="Y48" s="55" t="str">
        <f t="shared" si="8"/>
        <v>N</v>
      </c>
      <c r="Z48" s="55" t="str">
        <f t="shared" si="8"/>
        <v>N</v>
      </c>
      <c r="AA48" s="56" t="str">
        <f t="shared" si="8"/>
        <v>N</v>
      </c>
    </row>
    <row r="49" spans="2:27" ht="29.1" customHeight="1" thickBot="1" x14ac:dyDescent="0.45">
      <c r="B49" s="41">
        <v>39</v>
      </c>
      <c r="C49" s="42" t="str">
        <f>[1]Theory!A63</f>
        <v>2023-IT-72</v>
      </c>
      <c r="D49" s="43" t="str">
        <f>[1]Theory!B63</f>
        <v>Muhammad Zohaib Akhtar</v>
      </c>
      <c r="E49" s="44">
        <f>[1]Theory!D63</f>
        <v>8</v>
      </c>
      <c r="F49" s="45">
        <v>10</v>
      </c>
      <c r="G49" s="45">
        <v>6</v>
      </c>
      <c r="H49" s="46">
        <v>9</v>
      </c>
      <c r="I49" s="47">
        <f>[1]Theory!E63</f>
        <v>25</v>
      </c>
      <c r="J49" s="48">
        <f>[1]Theory!H63</f>
        <v>9</v>
      </c>
      <c r="K49" s="44">
        <f>[1]Theory!F63</f>
        <v>9</v>
      </c>
      <c r="L49" s="49">
        <v>5</v>
      </c>
      <c r="M49" s="49">
        <v>9</v>
      </c>
      <c r="N49" s="49">
        <v>5</v>
      </c>
      <c r="O49" s="50">
        <f>[1]Theory!G63</f>
        <v>19</v>
      </c>
      <c r="P49" s="47">
        <f t="shared" si="1"/>
        <v>70</v>
      </c>
      <c r="Q49" s="51" t="str">
        <f>[1]Theory!J63</f>
        <v>A-</v>
      </c>
      <c r="R49" s="57"/>
      <c r="S49" s="53">
        <f t="shared" si="2"/>
        <v>23</v>
      </c>
      <c r="T49" s="54">
        <f t="shared" si="3"/>
        <v>33</v>
      </c>
      <c r="U49" s="54">
        <f t="shared" si="4"/>
        <v>14</v>
      </c>
      <c r="V49" s="54">
        <f t="shared" si="5"/>
        <v>41.071428571428569</v>
      </c>
      <c r="W49" s="54">
        <f t="shared" si="6"/>
        <v>75</v>
      </c>
      <c r="X49" s="54">
        <f t="shared" si="7"/>
        <v>53.846153846153847</v>
      </c>
      <c r="Y49" s="55" t="str">
        <f t="shared" si="8"/>
        <v>N</v>
      </c>
      <c r="Z49" s="55" t="str">
        <f t="shared" si="8"/>
        <v>Y</v>
      </c>
      <c r="AA49" s="56" t="str">
        <f t="shared" si="8"/>
        <v>Y</v>
      </c>
    </row>
    <row r="50" spans="2:27" ht="29.1" customHeight="1" thickBot="1" x14ac:dyDescent="0.45">
      <c r="B50" s="41">
        <v>40</v>
      </c>
      <c r="C50" s="42" t="str">
        <f>[1]Theory!A64</f>
        <v>2023-IT-74</v>
      </c>
      <c r="D50" s="43" t="str">
        <f>[1]Theory!B64</f>
        <v>Ashir Mudassir</v>
      </c>
      <c r="E50" s="44">
        <f>[1]Theory!D64</f>
        <v>8</v>
      </c>
      <c r="F50" s="45">
        <v>4</v>
      </c>
      <c r="G50" s="45">
        <v>6</v>
      </c>
      <c r="H50" s="46">
        <v>5</v>
      </c>
      <c r="I50" s="47">
        <f>[1]Theory!E64</f>
        <v>15</v>
      </c>
      <c r="J50" s="48">
        <f>[1]Theory!H64</f>
        <v>7</v>
      </c>
      <c r="K50" s="44">
        <f>[1]Theory!F64</f>
        <v>7</v>
      </c>
      <c r="L50" s="49">
        <v>6</v>
      </c>
      <c r="M50" s="49">
        <v>9</v>
      </c>
      <c r="N50" s="49">
        <v>6</v>
      </c>
      <c r="O50" s="50">
        <f>[1]Theory!G64</f>
        <v>21</v>
      </c>
      <c r="P50" s="47">
        <f t="shared" si="1"/>
        <v>58</v>
      </c>
      <c r="Q50" s="51" t="str">
        <f>[1]Theory!J64</f>
        <v>B-</v>
      </c>
      <c r="R50" s="57"/>
      <c r="S50" s="53">
        <f t="shared" si="2"/>
        <v>18</v>
      </c>
      <c r="T50" s="54">
        <f t="shared" si="3"/>
        <v>27</v>
      </c>
      <c r="U50" s="54">
        <f t="shared" si="4"/>
        <v>13</v>
      </c>
      <c r="V50" s="54">
        <f t="shared" si="5"/>
        <v>32.142857142857146</v>
      </c>
      <c r="W50" s="54">
        <f t="shared" si="6"/>
        <v>61.363636363636367</v>
      </c>
      <c r="X50" s="54">
        <f t="shared" si="7"/>
        <v>50</v>
      </c>
      <c r="Y50" s="55" t="str">
        <f t="shared" si="8"/>
        <v>N</v>
      </c>
      <c r="Z50" s="55" t="str">
        <f t="shared" si="8"/>
        <v>Y</v>
      </c>
      <c r="AA50" s="56" t="str">
        <f t="shared" si="8"/>
        <v>Y</v>
      </c>
    </row>
    <row r="51" spans="2:27" ht="29.1" customHeight="1" thickBot="1" x14ac:dyDescent="0.45">
      <c r="B51" s="41">
        <v>41</v>
      </c>
      <c r="C51" s="42" t="str">
        <f>[1]Theory!A65</f>
        <v>2023-IT-76</v>
      </c>
      <c r="D51" s="43" t="str">
        <f>[1]Theory!B65</f>
        <v>Rao Usama</v>
      </c>
      <c r="E51" s="44">
        <f>[1]Theory!D65</f>
        <v>8</v>
      </c>
      <c r="F51" s="45">
        <v>1</v>
      </c>
      <c r="G51" s="45">
        <v>5</v>
      </c>
      <c r="H51" s="46">
        <v>3</v>
      </c>
      <c r="I51" s="47">
        <f>[1]Theory!E65</f>
        <v>9</v>
      </c>
      <c r="J51" s="48">
        <f>[1]Theory!H65</f>
        <v>8</v>
      </c>
      <c r="K51" s="44">
        <f>[1]Theory!F65</f>
        <v>8</v>
      </c>
      <c r="L51" s="49">
        <v>5</v>
      </c>
      <c r="M51" s="49">
        <v>9</v>
      </c>
      <c r="N51" s="49">
        <v>5</v>
      </c>
      <c r="O51" s="50">
        <f>[1]Theory!G65</f>
        <v>19</v>
      </c>
      <c r="P51" s="47">
        <f t="shared" si="1"/>
        <v>52</v>
      </c>
      <c r="Q51" s="51" t="str">
        <f>[1]Theory!J65</f>
        <v>C</v>
      </c>
      <c r="R51" s="57"/>
      <c r="S51" s="53">
        <f t="shared" si="2"/>
        <v>14</v>
      </c>
      <c r="T51" s="54">
        <f t="shared" si="3"/>
        <v>25</v>
      </c>
      <c r="U51" s="54">
        <f t="shared" si="4"/>
        <v>13</v>
      </c>
      <c r="V51" s="54">
        <f t="shared" si="5"/>
        <v>25</v>
      </c>
      <c r="W51" s="54">
        <f t="shared" si="6"/>
        <v>56.81818181818182</v>
      </c>
      <c r="X51" s="54">
        <f t="shared" si="7"/>
        <v>50</v>
      </c>
      <c r="Y51" s="55" t="str">
        <f t="shared" si="8"/>
        <v>N</v>
      </c>
      <c r="Z51" s="55" t="str">
        <f t="shared" si="8"/>
        <v>Y</v>
      </c>
      <c r="AA51" s="56" t="str">
        <f t="shared" si="8"/>
        <v>Y</v>
      </c>
    </row>
    <row r="52" spans="2:27" ht="29.1" customHeight="1" thickBot="1" x14ac:dyDescent="0.45">
      <c r="B52" s="41">
        <v>42</v>
      </c>
      <c r="C52" s="42" t="str">
        <f>[1]Theory!A66</f>
        <v>2023-IT-78</v>
      </c>
      <c r="D52" s="43" t="str">
        <f>[1]Theory!B66</f>
        <v>Muhammad Zaman</v>
      </c>
      <c r="E52" s="44">
        <f>[1]Theory!D66</f>
        <v>8</v>
      </c>
      <c r="F52" s="45">
        <v>3</v>
      </c>
      <c r="G52" s="45">
        <v>5</v>
      </c>
      <c r="H52" s="46">
        <v>6</v>
      </c>
      <c r="I52" s="47">
        <f>[1]Theory!E66</f>
        <v>14</v>
      </c>
      <c r="J52" s="48">
        <f>[1]Theory!H66</f>
        <v>9</v>
      </c>
      <c r="K52" s="44">
        <f>[1]Theory!F66</f>
        <v>8</v>
      </c>
      <c r="L52" s="49">
        <v>5</v>
      </c>
      <c r="M52" s="49">
        <v>5</v>
      </c>
      <c r="N52" s="49">
        <v>4</v>
      </c>
      <c r="O52" s="50">
        <f>[1]Theory!G66</f>
        <v>14</v>
      </c>
      <c r="P52" s="47">
        <f t="shared" si="1"/>
        <v>53</v>
      </c>
      <c r="Q52" s="51" t="str">
        <f>[1]Theory!J66</f>
        <v>C+</v>
      </c>
      <c r="R52" s="57"/>
      <c r="S52" s="53">
        <f t="shared" si="2"/>
        <v>16</v>
      </c>
      <c r="T52" s="54">
        <f t="shared" si="3"/>
        <v>24</v>
      </c>
      <c r="U52" s="54">
        <f t="shared" si="4"/>
        <v>13</v>
      </c>
      <c r="V52" s="54">
        <f t="shared" si="5"/>
        <v>28.571428571428569</v>
      </c>
      <c r="W52" s="54">
        <f t="shared" si="6"/>
        <v>54.54545454545454</v>
      </c>
      <c r="X52" s="54">
        <f t="shared" si="7"/>
        <v>50</v>
      </c>
      <c r="Y52" s="55" t="str">
        <f t="shared" si="8"/>
        <v>N</v>
      </c>
      <c r="Z52" s="55" t="str">
        <f t="shared" si="8"/>
        <v>Y</v>
      </c>
      <c r="AA52" s="56" t="str">
        <f t="shared" si="8"/>
        <v>Y</v>
      </c>
    </row>
    <row r="53" spans="2:27" ht="29.1" customHeight="1" thickBot="1" x14ac:dyDescent="0.45">
      <c r="B53" s="41">
        <v>43</v>
      </c>
      <c r="C53" s="42" t="str">
        <f>[1]Theory!A67</f>
        <v>2023-IT-79</v>
      </c>
      <c r="D53" s="43" t="str">
        <f>[1]Theory!B67</f>
        <v>Iqra Moeen</v>
      </c>
      <c r="E53" s="44">
        <f>[1]Theory!D67</f>
        <v>8</v>
      </c>
      <c r="F53" s="45">
        <v>4</v>
      </c>
      <c r="G53" s="45">
        <v>6</v>
      </c>
      <c r="H53" s="46">
        <v>5</v>
      </c>
      <c r="I53" s="47">
        <f>[1]Theory!E67</f>
        <v>13</v>
      </c>
      <c r="J53" s="48">
        <f>[1]Theory!H67</f>
        <v>8</v>
      </c>
      <c r="K53" s="44">
        <f>[1]Theory!F67</f>
        <v>8</v>
      </c>
      <c r="L53" s="49">
        <v>7</v>
      </c>
      <c r="M53" s="49">
        <v>10</v>
      </c>
      <c r="N53" s="49">
        <v>7</v>
      </c>
      <c r="O53" s="50">
        <f>[1]Theory!G67</f>
        <v>24</v>
      </c>
      <c r="P53" s="47">
        <f t="shared" si="1"/>
        <v>61</v>
      </c>
      <c r="Q53" s="51" t="str">
        <f>[1]Theory!J67</f>
        <v>B</v>
      </c>
      <c r="R53" s="57"/>
      <c r="S53" s="53">
        <f t="shared" si="2"/>
        <v>19</v>
      </c>
      <c r="T53" s="54">
        <f t="shared" si="3"/>
        <v>29</v>
      </c>
      <c r="U53" s="54">
        <f t="shared" si="4"/>
        <v>15</v>
      </c>
      <c r="V53" s="54">
        <f t="shared" si="5"/>
        <v>33.928571428571431</v>
      </c>
      <c r="W53" s="54">
        <f t="shared" si="6"/>
        <v>65.909090909090907</v>
      </c>
      <c r="X53" s="54">
        <f t="shared" si="7"/>
        <v>57.692307692307686</v>
      </c>
      <c r="Y53" s="55" t="str">
        <f t="shared" si="8"/>
        <v>N</v>
      </c>
      <c r="Z53" s="55" t="str">
        <f t="shared" si="8"/>
        <v>Y</v>
      </c>
      <c r="AA53" s="56" t="str">
        <f t="shared" si="8"/>
        <v>Y</v>
      </c>
    </row>
    <row r="54" spans="2:27" ht="29.1" customHeight="1" x14ac:dyDescent="0.4">
      <c r="B54" s="41">
        <v>44</v>
      </c>
      <c r="C54" s="42" t="str">
        <f>[1]Theory!A68</f>
        <v>2023-IT-80</v>
      </c>
      <c r="D54" s="43" t="str">
        <f>[1]Theory!B68</f>
        <v>Ali Raza</v>
      </c>
      <c r="E54" s="44">
        <f>[1]Theory!D68</f>
        <v>8</v>
      </c>
      <c r="F54" s="45">
        <v>8</v>
      </c>
      <c r="G54" s="45">
        <v>5</v>
      </c>
      <c r="H54" s="46">
        <v>7</v>
      </c>
      <c r="I54" s="47">
        <f>[1]Theory!E68</f>
        <v>20</v>
      </c>
      <c r="J54" s="48">
        <f>[1]Theory!H68</f>
        <v>9</v>
      </c>
      <c r="K54" s="44">
        <f>[1]Theory!F68</f>
        <v>9</v>
      </c>
      <c r="L54" s="49">
        <v>6</v>
      </c>
      <c r="M54" s="49">
        <v>5</v>
      </c>
      <c r="N54" s="49">
        <v>6</v>
      </c>
      <c r="O54" s="50">
        <f>[1]Theory!G68</f>
        <v>17</v>
      </c>
      <c r="P54" s="47">
        <f t="shared" si="1"/>
        <v>63</v>
      </c>
      <c r="Q54" s="51" t="str">
        <f>[1]Theory!J68</f>
        <v>B</v>
      </c>
      <c r="R54" s="57"/>
      <c r="S54" s="53">
        <f t="shared" si="2"/>
        <v>22</v>
      </c>
      <c r="T54" s="54">
        <f t="shared" si="3"/>
        <v>26</v>
      </c>
      <c r="U54" s="54">
        <f t="shared" si="4"/>
        <v>15</v>
      </c>
      <c r="V54" s="54">
        <f t="shared" si="5"/>
        <v>39.285714285714285</v>
      </c>
      <c r="W54" s="54">
        <f t="shared" si="6"/>
        <v>59.090909090909093</v>
      </c>
      <c r="X54" s="54">
        <f t="shared" si="7"/>
        <v>57.692307692307686</v>
      </c>
      <c r="Y54" s="55" t="str">
        <f t="shared" si="8"/>
        <v>N</v>
      </c>
      <c r="Z54" s="55" t="str">
        <f t="shared" si="8"/>
        <v>Y</v>
      </c>
      <c r="AA54" s="56" t="str">
        <f t="shared" si="8"/>
        <v>Y</v>
      </c>
    </row>
    <row r="55" spans="2:27" ht="26.25" x14ac:dyDescent="0.25">
      <c r="B55" s="58"/>
      <c r="C55" s="59"/>
      <c r="D55" s="59"/>
      <c r="E55" s="59"/>
      <c r="F55" s="59"/>
      <c r="G55" s="60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x14ac:dyDescent="0.3">
      <c r="B56" s="373" t="s">
        <v>30</v>
      </c>
      <c r="C56" s="373"/>
      <c r="D56" s="373"/>
      <c r="E56" s="61"/>
      <c r="F56" s="61" t="s">
        <v>31</v>
      </c>
      <c r="G56" s="61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spans="2:27" x14ac:dyDescent="0.3">
      <c r="B57" s="374" t="s">
        <v>39</v>
      </c>
      <c r="C57" s="374"/>
      <c r="D57" s="374"/>
      <c r="E57" s="63"/>
      <c r="F57" s="62" t="s">
        <v>32</v>
      </c>
      <c r="G57" s="62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60" spans="2:27" ht="42" customHeight="1" x14ac:dyDescent="0.25"/>
    <row r="61" spans="2:27" ht="24.95" customHeight="1" x14ac:dyDescent="0.25">
      <c r="B61" s="375" t="str">
        <f>B1</f>
        <v>MNS - UNIVERSITY OF ENGINEERING AND TECHNOLOGY MULTAN</v>
      </c>
      <c r="C61" s="375"/>
      <c r="D61" s="375"/>
      <c r="E61" s="375"/>
      <c r="F61" s="375"/>
      <c r="G61" s="375"/>
      <c r="H61" s="375"/>
      <c r="I61" s="375"/>
    </row>
    <row r="62" spans="2:27" ht="25.5" customHeight="1" x14ac:dyDescent="0.25">
      <c r="B62" s="359" t="str">
        <f>E3</f>
        <v>Title (Code):  Programming Fundamental (IT-111)</v>
      </c>
      <c r="C62" s="360"/>
      <c r="D62" s="363" t="str">
        <f>S1</f>
        <v>Fall 2023</v>
      </c>
      <c r="E62" s="363"/>
      <c r="F62" s="363"/>
      <c r="G62" s="363"/>
      <c r="H62" s="363"/>
      <c r="I62" s="363"/>
    </row>
    <row r="63" spans="2:27" ht="34.5" customHeight="1" x14ac:dyDescent="0.25">
      <c r="B63" s="361"/>
      <c r="C63" s="362"/>
      <c r="D63" s="363" t="str">
        <f>X1</f>
        <v xml:space="preserve"> Engr. M Talha Jahangir</v>
      </c>
      <c r="E63" s="363"/>
      <c r="F63" s="363"/>
      <c r="G63" s="363"/>
      <c r="H63" s="363"/>
      <c r="I63" s="363"/>
    </row>
    <row r="64" spans="2:27" ht="25.5" x14ac:dyDescent="0.25">
      <c r="B64" s="379" t="s">
        <v>33</v>
      </c>
      <c r="C64" s="379"/>
      <c r="D64" s="379"/>
      <c r="E64" s="379"/>
      <c r="F64" s="379"/>
      <c r="G64" s="379"/>
      <c r="H64" s="379"/>
      <c r="I64" s="379"/>
    </row>
    <row r="65" spans="2:9" x14ac:dyDescent="0.25">
      <c r="B65" s="380"/>
      <c r="C65" s="380"/>
      <c r="D65" s="380"/>
      <c r="E65" s="380"/>
      <c r="F65" s="380"/>
      <c r="G65" s="380"/>
      <c r="H65" s="380"/>
      <c r="I65" s="380"/>
    </row>
    <row r="67" spans="2:9" x14ac:dyDescent="0.25">
      <c r="B67" s="1"/>
      <c r="C67" s="1"/>
      <c r="D67" s="317" t="s">
        <v>34</v>
      </c>
      <c r="E67" s="317"/>
      <c r="F67" s="317"/>
      <c r="G67" s="317"/>
      <c r="H67" s="317"/>
      <c r="I67" s="317"/>
    </row>
    <row r="68" spans="2:9" ht="20.25" customHeight="1" x14ac:dyDescent="0.25">
      <c r="B68" s="1" t="s">
        <v>25</v>
      </c>
      <c r="C68" s="1" t="s">
        <v>35</v>
      </c>
      <c r="D68" s="1" t="s">
        <v>36</v>
      </c>
      <c r="E68" s="66"/>
      <c r="F68" s="381" t="s">
        <v>37</v>
      </c>
      <c r="G68" s="315"/>
      <c r="H68" s="315"/>
      <c r="I68" s="316"/>
    </row>
    <row r="69" spans="2:9" x14ac:dyDescent="0.25">
      <c r="B69" s="58">
        <v>1</v>
      </c>
      <c r="C69" s="58">
        <f>S6</f>
        <v>2</v>
      </c>
      <c r="D69" s="58">
        <f>COUNTIF($Y$11:$Y$54,Y10)</f>
        <v>0</v>
      </c>
      <c r="E69" s="67"/>
      <c r="F69" s="376">
        <f>COUNTIF($Y$11:$Y$54,Z10)</f>
        <v>44</v>
      </c>
      <c r="G69" s="377"/>
      <c r="H69" s="377"/>
      <c r="I69" s="378"/>
    </row>
    <row r="70" spans="2:9" x14ac:dyDescent="0.25">
      <c r="B70" s="58">
        <v>2</v>
      </c>
      <c r="C70" s="58">
        <f>T6</f>
        <v>2</v>
      </c>
      <c r="D70" s="58">
        <f>COUNTIF($Z$11:$Z$54,Z11)</f>
        <v>36</v>
      </c>
      <c r="E70" s="67"/>
      <c r="F70" s="376">
        <f>COUNTIF($Z$11:$Z$54,Z10)</f>
        <v>8</v>
      </c>
      <c r="G70" s="377"/>
      <c r="H70" s="377"/>
      <c r="I70" s="378"/>
    </row>
    <row r="71" spans="2:9" x14ac:dyDescent="0.25">
      <c r="B71" s="58">
        <v>3</v>
      </c>
      <c r="C71" s="58">
        <f>U6</f>
        <v>4</v>
      </c>
      <c r="D71" s="58">
        <f>COUNTIF($AA$11:$AA$54,Y10)</f>
        <v>35</v>
      </c>
      <c r="E71" s="67"/>
      <c r="F71" s="376">
        <f>COUNTIF($AA$11:$AA$54,Z10)</f>
        <v>9</v>
      </c>
      <c r="G71" s="377"/>
      <c r="H71" s="377"/>
      <c r="I71" s="378"/>
    </row>
    <row r="100" spans="3:3" x14ac:dyDescent="0.25">
      <c r="C100" s="2" t="s">
        <v>38</v>
      </c>
    </row>
  </sheetData>
  <mergeCells count="40">
    <mergeCell ref="F71:I71"/>
    <mergeCell ref="B64:I64"/>
    <mergeCell ref="B65:I65"/>
    <mergeCell ref="D67:I67"/>
    <mergeCell ref="F68:I68"/>
    <mergeCell ref="F69:I69"/>
    <mergeCell ref="F70:I70"/>
    <mergeCell ref="B62:C63"/>
    <mergeCell ref="D62:I62"/>
    <mergeCell ref="D63:I63"/>
    <mergeCell ref="B5:D5"/>
    <mergeCell ref="F5:I5"/>
    <mergeCell ref="F10:Q10"/>
    <mergeCell ref="B56:D56"/>
    <mergeCell ref="B57:D57"/>
    <mergeCell ref="B61:I61"/>
    <mergeCell ref="V5:X7"/>
    <mergeCell ref="Y5:AA7"/>
    <mergeCell ref="B6:D6"/>
    <mergeCell ref="B7:D7"/>
    <mergeCell ref="R7:R10"/>
    <mergeCell ref="S8:U8"/>
    <mergeCell ref="V8:X8"/>
    <mergeCell ref="Y8:AA8"/>
    <mergeCell ref="V10:X10"/>
    <mergeCell ref="B3:D3"/>
    <mergeCell ref="E3:Q3"/>
    <mergeCell ref="R3:AA3"/>
    <mergeCell ref="B4:D4"/>
    <mergeCell ref="F4:I4"/>
    <mergeCell ref="L4:O4"/>
    <mergeCell ref="R4:AA4"/>
    <mergeCell ref="B2:H2"/>
    <mergeCell ref="I2:Q2"/>
    <mergeCell ref="R2:AA2"/>
    <mergeCell ref="B1:K1"/>
    <mergeCell ref="L1:O1"/>
    <mergeCell ref="P1:R1"/>
    <mergeCell ref="S1:W1"/>
    <mergeCell ref="X1:AA1"/>
  </mergeCells>
  <pageMargins left="0" right="0" top="0" bottom="0" header="0.31496062992125984" footer="0.31496062992125984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3CD7-0FB7-467A-9E52-7BF61D007643}">
  <sheetPr>
    <pageSetUpPr fitToPage="1"/>
  </sheetPr>
  <dimension ref="B1:Y100"/>
  <sheetViews>
    <sheetView topLeftCell="C1" zoomScale="41" zoomScaleNormal="41" zoomScalePageLayoutView="22" workbookViewId="0">
      <pane ySplit="9" topLeftCell="A10" activePane="bottomLeft" state="frozen"/>
      <selection activeCell="B1" sqref="B1"/>
      <selection pane="bottomLeft" activeCell="U7" sqref="U7"/>
    </sheetView>
  </sheetViews>
  <sheetFormatPr defaultColWidth="9.140625" defaultRowHeight="20.25" x14ac:dyDescent="0.25"/>
  <cols>
    <col min="1" max="1" width="7.7109375" style="2" customWidth="1"/>
    <col min="2" max="2" width="11.140625" style="64" customWidth="1"/>
    <col min="3" max="3" width="63.28515625" style="2" customWidth="1"/>
    <col min="4" max="4" width="49.140625" style="2" customWidth="1"/>
    <col min="5" max="5" width="21.7109375" style="2" customWidth="1"/>
    <col min="6" max="7" width="14.42578125" style="2" customWidth="1"/>
    <col min="8" max="8" width="15" style="2" customWidth="1"/>
    <col min="9" max="9" width="15.28515625" style="2" customWidth="1"/>
    <col min="10" max="10" width="22.85546875" style="2" customWidth="1"/>
    <col min="11" max="11" width="24.5703125" style="2" customWidth="1"/>
    <col min="12" max="13" width="18" style="2" customWidth="1"/>
    <col min="14" max="14" width="11.7109375" style="2" customWidth="1"/>
    <col min="15" max="15" width="19.85546875" style="2" customWidth="1"/>
    <col min="16" max="16" width="12.7109375" style="2" customWidth="1"/>
    <col min="17" max="17" width="18.28515625" style="2" customWidth="1"/>
    <col min="18" max="18" width="15.42578125" style="2" bestFit="1" customWidth="1"/>
    <col min="19" max="20" width="9.140625" style="2" customWidth="1"/>
    <col min="21" max="21" width="10.42578125" style="2" customWidth="1"/>
    <col min="22" max="22" width="9.140625" style="2" customWidth="1"/>
    <col min="23" max="23" width="11.85546875" style="2" customWidth="1"/>
    <col min="24" max="24" width="9.140625" style="2" customWidth="1"/>
    <col min="25" max="25" width="14.7109375" style="2" customWidth="1"/>
    <col min="26" max="16384" width="9.140625" style="2"/>
  </cols>
  <sheetData>
    <row r="1" spans="2:25" ht="51" customHeight="1" x14ac:dyDescent="0.25">
      <c r="B1" s="313" t="str">
        <f>[2]Theory!A1</f>
        <v>MNS - UNIVERSITY OF ENGINEERING AND TECHNOLOGY MULTAN</v>
      </c>
      <c r="C1" s="314"/>
      <c r="D1" s="314"/>
      <c r="E1" s="314"/>
      <c r="F1" s="314"/>
      <c r="G1" s="314"/>
      <c r="H1" s="314"/>
      <c r="I1" s="314"/>
      <c r="J1" s="314"/>
      <c r="K1" s="314"/>
      <c r="L1" s="315" t="str">
        <f>[2]Theory!B4</f>
        <v>Fall-2023-2027 (Evening-A)</v>
      </c>
      <c r="M1" s="315"/>
      <c r="N1" s="315"/>
      <c r="O1" s="316"/>
      <c r="P1" s="317" t="str">
        <f>[2]Theory!H3</f>
        <v>1st  Semester</v>
      </c>
      <c r="Q1" s="317"/>
      <c r="R1" s="317"/>
      <c r="S1" s="317" t="str">
        <f>[2]Theory!H4</f>
        <v>Fall 2023</v>
      </c>
      <c r="T1" s="317"/>
      <c r="U1" s="317"/>
      <c r="V1" s="317"/>
      <c r="W1" s="317" t="str">
        <f>[2]Theory!H5</f>
        <v>Zain ul abdeen</v>
      </c>
      <c r="X1" s="317"/>
      <c r="Y1" s="317"/>
    </row>
    <row r="2" spans="2:25" ht="32.1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 t="str">
        <f>[2]Theory!B3</f>
        <v>BS Information Technology</v>
      </c>
      <c r="J2" s="308"/>
      <c r="K2" s="308"/>
      <c r="L2" s="308"/>
      <c r="M2" s="308"/>
      <c r="N2" s="308"/>
      <c r="O2" s="308"/>
      <c r="P2" s="308"/>
      <c r="Q2" s="309"/>
      <c r="R2" s="310" t="s">
        <v>1</v>
      </c>
      <c r="S2" s="311"/>
      <c r="T2" s="311"/>
      <c r="U2" s="311"/>
      <c r="V2" s="311"/>
      <c r="W2" s="311"/>
      <c r="X2" s="311"/>
      <c r="Y2" s="312"/>
    </row>
    <row r="3" spans="2:25" ht="32.1" customHeight="1" thickBot="1" x14ac:dyDescent="0.3">
      <c r="B3" s="318" t="s">
        <v>2</v>
      </c>
      <c r="C3" s="319"/>
      <c r="D3" s="319"/>
      <c r="E3" s="320" t="str">
        <f>[2]Theory!B5</f>
        <v>Title (Code):  Discrete Structure (IT-113</v>
      </c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2"/>
      <c r="R3" s="323"/>
      <c r="S3" s="324"/>
      <c r="T3" s="324"/>
      <c r="U3" s="324"/>
      <c r="V3" s="324"/>
      <c r="W3" s="324"/>
      <c r="X3" s="324"/>
      <c r="Y3" s="325"/>
    </row>
    <row r="4" spans="2:25" ht="59.25" customHeight="1" thickBot="1" x14ac:dyDescent="0.3">
      <c r="B4" s="326" t="s">
        <v>3</v>
      </c>
      <c r="C4" s="327"/>
      <c r="D4" s="328"/>
      <c r="E4" s="5" t="s">
        <v>4</v>
      </c>
      <c r="F4" s="329" t="s">
        <v>5</v>
      </c>
      <c r="G4" s="330"/>
      <c r="H4" s="330"/>
      <c r="I4" s="331"/>
      <c r="J4" s="5" t="s">
        <v>6</v>
      </c>
      <c r="K4" s="6" t="s">
        <v>7</v>
      </c>
      <c r="L4" s="329" t="s">
        <v>8</v>
      </c>
      <c r="M4" s="330"/>
      <c r="N4" s="330"/>
      <c r="O4" s="331"/>
      <c r="P4" s="7" t="s">
        <v>9</v>
      </c>
      <c r="Q4" s="8" t="s">
        <v>10</v>
      </c>
      <c r="R4" s="332" t="s">
        <v>11</v>
      </c>
      <c r="S4" s="333"/>
      <c r="T4" s="333"/>
      <c r="U4" s="333"/>
      <c r="V4" s="333"/>
      <c r="W4" s="333"/>
      <c r="X4" s="333"/>
      <c r="Y4" s="334"/>
    </row>
    <row r="5" spans="2:25" ht="50.25" customHeight="1" thickBot="1" x14ac:dyDescent="0.3">
      <c r="B5" s="364" t="s">
        <v>12</v>
      </c>
      <c r="C5" s="365"/>
      <c r="D5" s="366"/>
      <c r="E5" s="9">
        <v>10</v>
      </c>
      <c r="F5" s="367">
        <v>30</v>
      </c>
      <c r="G5" s="368"/>
      <c r="H5" s="369"/>
      <c r="I5" s="370"/>
      <c r="J5" s="9">
        <v>10</v>
      </c>
      <c r="K5" s="9">
        <v>10</v>
      </c>
      <c r="L5" s="10">
        <v>16</v>
      </c>
      <c r="M5" s="10">
        <v>14</v>
      </c>
      <c r="N5" s="10">
        <v>10</v>
      </c>
      <c r="O5" s="9">
        <v>40</v>
      </c>
      <c r="P5" s="9">
        <f>SUM(E5:N5)</f>
        <v>100</v>
      </c>
      <c r="Q5" s="11"/>
      <c r="R5" s="12" t="s">
        <v>13</v>
      </c>
      <c r="S5" s="13">
        <v>2</v>
      </c>
      <c r="T5" s="14">
        <v>3</v>
      </c>
      <c r="U5" s="14">
        <v>4</v>
      </c>
      <c r="V5" s="335"/>
      <c r="W5" s="337"/>
      <c r="X5" s="335"/>
      <c r="Y5" s="344"/>
    </row>
    <row r="6" spans="2:25" ht="56.25" customHeight="1" thickBot="1" x14ac:dyDescent="0.3">
      <c r="B6" s="347" t="s">
        <v>14</v>
      </c>
      <c r="C6" s="348"/>
      <c r="D6" s="349"/>
      <c r="E6" s="15" t="s">
        <v>15</v>
      </c>
      <c r="F6" s="15" t="s">
        <v>16</v>
      </c>
      <c r="G6" s="15" t="s">
        <v>17</v>
      </c>
      <c r="H6" s="15" t="s">
        <v>18</v>
      </c>
      <c r="I6" s="15" t="s">
        <v>9</v>
      </c>
      <c r="J6" s="15" t="s">
        <v>16</v>
      </c>
      <c r="K6" s="15" t="s">
        <v>16</v>
      </c>
      <c r="L6" s="15" t="s">
        <v>16</v>
      </c>
      <c r="M6" s="15" t="s">
        <v>17</v>
      </c>
      <c r="N6" s="15" t="s">
        <v>18</v>
      </c>
      <c r="O6" s="15" t="s">
        <v>9</v>
      </c>
      <c r="P6" s="16"/>
      <c r="Q6" s="17"/>
      <c r="R6" s="12" t="s">
        <v>19</v>
      </c>
      <c r="S6" s="13">
        <v>2</v>
      </c>
      <c r="T6" s="14">
        <v>2</v>
      </c>
      <c r="U6" s="14">
        <v>3</v>
      </c>
      <c r="V6" s="338"/>
      <c r="W6" s="340"/>
      <c r="X6" s="338"/>
      <c r="Y6" s="345"/>
    </row>
    <row r="7" spans="2:25" ht="32.1" customHeight="1" thickBot="1" x14ac:dyDescent="0.3">
      <c r="B7" s="347" t="s">
        <v>20</v>
      </c>
      <c r="C7" s="348"/>
      <c r="D7" s="349"/>
      <c r="E7" s="18">
        <v>10</v>
      </c>
      <c r="F7" s="15">
        <v>10</v>
      </c>
      <c r="G7" s="15">
        <v>10</v>
      </c>
      <c r="H7" s="15">
        <v>10</v>
      </c>
      <c r="I7" s="15">
        <f>F7+G7+H7</f>
        <v>30</v>
      </c>
      <c r="J7" s="15">
        <v>10</v>
      </c>
      <c r="K7" s="15">
        <v>10</v>
      </c>
      <c r="L7" s="15">
        <v>10</v>
      </c>
      <c r="M7" s="15">
        <v>14</v>
      </c>
      <c r="N7" s="15">
        <v>16</v>
      </c>
      <c r="O7" s="18">
        <v>40</v>
      </c>
      <c r="P7" s="15">
        <f>SUM(E7:H7,J7:N7)</f>
        <v>100</v>
      </c>
      <c r="Q7" s="17"/>
      <c r="R7" s="350"/>
      <c r="S7" s="13">
        <v>44</v>
      </c>
      <c r="T7" s="14">
        <v>26</v>
      </c>
      <c r="U7" s="14">
        <v>30</v>
      </c>
      <c r="V7" s="341"/>
      <c r="W7" s="343"/>
      <c r="X7" s="341"/>
      <c r="Y7" s="346"/>
    </row>
    <row r="8" spans="2:25" ht="69" customHeight="1" thickBot="1" x14ac:dyDescent="0.3">
      <c r="B8" s="19"/>
      <c r="C8" s="20"/>
      <c r="D8" s="21" t="s">
        <v>21</v>
      </c>
      <c r="E8" s="22">
        <f t="shared" ref="E8:O8" si="0">E7*0.5</f>
        <v>5</v>
      </c>
      <c r="F8" s="22">
        <f t="shared" si="0"/>
        <v>5</v>
      </c>
      <c r="G8" s="22">
        <f t="shared" si="0"/>
        <v>5</v>
      </c>
      <c r="H8" s="22">
        <f t="shared" si="0"/>
        <v>5</v>
      </c>
      <c r="I8" s="22">
        <f t="shared" si="0"/>
        <v>15</v>
      </c>
      <c r="J8" s="22">
        <f t="shared" si="0"/>
        <v>5</v>
      </c>
      <c r="K8" s="22">
        <f t="shared" si="0"/>
        <v>5</v>
      </c>
      <c r="L8" s="22">
        <f t="shared" si="0"/>
        <v>5</v>
      </c>
      <c r="M8" s="22">
        <f t="shared" si="0"/>
        <v>7</v>
      </c>
      <c r="N8" s="22">
        <f t="shared" si="0"/>
        <v>8</v>
      </c>
      <c r="O8" s="22">
        <f t="shared" si="0"/>
        <v>20</v>
      </c>
      <c r="P8" s="23">
        <f>SUM(E8:H8)+SUM(J8:J8)+SUM(K8:N8)</f>
        <v>50</v>
      </c>
      <c r="Q8" s="17"/>
      <c r="R8" s="351"/>
      <c r="S8" s="353" t="s">
        <v>22</v>
      </c>
      <c r="T8" s="354"/>
      <c r="U8" s="354"/>
      <c r="V8" s="355" t="s">
        <v>23</v>
      </c>
      <c r="W8" s="355"/>
      <c r="X8" s="356" t="s">
        <v>23</v>
      </c>
      <c r="Y8" s="358"/>
    </row>
    <row r="9" spans="2:25" ht="42.75" customHeight="1" thickBot="1" x14ac:dyDescent="0.3">
      <c r="B9" s="24"/>
      <c r="C9" s="25"/>
      <c r="D9" s="26" t="s">
        <v>24</v>
      </c>
      <c r="E9" s="27">
        <v>4</v>
      </c>
      <c r="F9" s="28">
        <v>4</v>
      </c>
      <c r="G9" s="28">
        <v>2</v>
      </c>
      <c r="H9" s="28">
        <v>2</v>
      </c>
      <c r="I9" s="22"/>
      <c r="J9" s="29">
        <v>3</v>
      </c>
      <c r="K9" s="29">
        <v>2</v>
      </c>
      <c r="L9" s="29">
        <v>4</v>
      </c>
      <c r="M9" s="29">
        <v>2</v>
      </c>
      <c r="N9" s="29">
        <v>3</v>
      </c>
      <c r="O9" s="27"/>
      <c r="P9" s="29"/>
      <c r="Q9" s="17"/>
      <c r="R9" s="351"/>
      <c r="S9" s="30">
        <f>S5</f>
        <v>2</v>
      </c>
      <c r="T9" s="30">
        <f t="shared" ref="T9:U9" si="1">T5</f>
        <v>3</v>
      </c>
      <c r="U9" s="30">
        <f t="shared" si="1"/>
        <v>4</v>
      </c>
      <c r="V9" s="14">
        <f>S6</f>
        <v>2</v>
      </c>
      <c r="W9" s="14">
        <f>U6</f>
        <v>3</v>
      </c>
      <c r="X9" s="31">
        <f>S6</f>
        <v>2</v>
      </c>
      <c r="Y9" s="32">
        <f>U6</f>
        <v>3</v>
      </c>
    </row>
    <row r="10" spans="2:25" ht="43.5" customHeight="1" thickBot="1" x14ac:dyDescent="0.3">
      <c r="B10" s="33" t="s">
        <v>25</v>
      </c>
      <c r="C10" s="34" t="s">
        <v>26</v>
      </c>
      <c r="D10" s="35" t="s">
        <v>27</v>
      </c>
      <c r="E10" s="36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2"/>
      <c r="R10" s="352"/>
      <c r="S10" s="37"/>
      <c r="T10" s="38"/>
      <c r="U10" s="38"/>
      <c r="V10" s="356"/>
      <c r="W10" s="357"/>
      <c r="X10" s="39" t="s">
        <v>28</v>
      </c>
      <c r="Y10" s="39" t="s">
        <v>29</v>
      </c>
    </row>
    <row r="11" spans="2:25" ht="29.1" customHeight="1" thickBot="1" x14ac:dyDescent="0.45">
      <c r="B11" s="41">
        <v>1</v>
      </c>
      <c r="C11" s="42" t="str">
        <f>[2]Theory!A25</f>
        <v>2023-IT-09</v>
      </c>
      <c r="D11" s="43" t="str">
        <f>[2]Theory!B25</f>
        <v>Mahad Elahi</v>
      </c>
      <c r="E11" s="44">
        <f>[2]Theory!D25</f>
        <v>7</v>
      </c>
      <c r="F11" s="45">
        <v>7</v>
      </c>
      <c r="G11" s="45">
        <v>7</v>
      </c>
      <c r="H11" s="46">
        <v>6</v>
      </c>
      <c r="I11" s="47">
        <f>[2]Theory!E25</f>
        <v>20</v>
      </c>
      <c r="J11" s="48">
        <f>[2]Theory!H25</f>
        <v>7</v>
      </c>
      <c r="K11" s="44">
        <f>[2]Theory!F25</f>
        <v>7</v>
      </c>
      <c r="L11" s="49">
        <v>7</v>
      </c>
      <c r="M11" s="49">
        <v>14</v>
      </c>
      <c r="N11" s="49">
        <v>13</v>
      </c>
      <c r="O11" s="50">
        <f>[2]Theory!G25</f>
        <v>34</v>
      </c>
      <c r="P11" s="47">
        <f>E11+I11+J11+K11+O11</f>
        <v>75</v>
      </c>
      <c r="Q11" s="51" t="str">
        <f>[2]Theory!J25</f>
        <v>B</v>
      </c>
      <c r="R11" s="52"/>
      <c r="S11" s="53">
        <f>G11+H11+K11+M11</f>
        <v>34</v>
      </c>
      <c r="T11" s="54">
        <f>J11+N11</f>
        <v>20</v>
      </c>
      <c r="U11" s="54">
        <f>E11+F11+L11</f>
        <v>21</v>
      </c>
      <c r="V11" s="54">
        <f>(((S11+T11)/($S$7+$T$7))*100)</f>
        <v>77.142857142857153</v>
      </c>
      <c r="W11" s="54">
        <f>((U11/$U$7)*100)</f>
        <v>70</v>
      </c>
      <c r="X11" s="55" t="str">
        <f>IF(V11&gt;=50,"Y","N")</f>
        <v>Y</v>
      </c>
      <c r="Y11" s="56" t="str">
        <f>IF(W11&gt;=50,"Y","N")</f>
        <v>Y</v>
      </c>
    </row>
    <row r="12" spans="2:25" ht="29.1" customHeight="1" thickBot="1" x14ac:dyDescent="0.45">
      <c r="B12" s="41">
        <v>2</v>
      </c>
      <c r="C12" s="42" t="str">
        <f>[2]Theory!A26</f>
        <v>2023-IT-15</v>
      </c>
      <c r="D12" s="43" t="str">
        <f>[2]Theory!B26</f>
        <v>Muhammad Faraz Shabbir</v>
      </c>
      <c r="E12" s="44">
        <f>[2]Theory!D26</f>
        <v>0</v>
      </c>
      <c r="F12" s="45">
        <v>0</v>
      </c>
      <c r="G12" s="45">
        <v>0</v>
      </c>
      <c r="H12" s="46">
        <v>0</v>
      </c>
      <c r="I12" s="47">
        <f>[2]Theory!E26</f>
        <v>0</v>
      </c>
      <c r="J12" s="48">
        <f>[2]Theory!H26</f>
        <v>0</v>
      </c>
      <c r="K12" s="44">
        <f>[2]Theory!F26</f>
        <v>0</v>
      </c>
      <c r="L12" s="49">
        <v>0</v>
      </c>
      <c r="M12" s="49">
        <v>0</v>
      </c>
      <c r="N12" s="49">
        <v>0</v>
      </c>
      <c r="O12" s="50">
        <f>[2]Theory!G26</f>
        <v>0</v>
      </c>
      <c r="P12" s="47">
        <f t="shared" ref="P12:P47" si="2">E12+I12+J12+K12+O12</f>
        <v>0</v>
      </c>
      <c r="Q12" s="51" t="str">
        <f>[2]Theory!J26</f>
        <v>F</v>
      </c>
      <c r="R12" s="57"/>
      <c r="S12" s="53">
        <f t="shared" ref="S12:S47" si="3">G12+H12+K12+M12</f>
        <v>0</v>
      </c>
      <c r="T12" s="54">
        <f t="shared" ref="T12:T47" si="4">J12+N12</f>
        <v>0</v>
      </c>
      <c r="U12" s="54">
        <f t="shared" ref="U12:U47" si="5">E12+F12+L12</f>
        <v>0</v>
      </c>
      <c r="V12" s="54">
        <f t="shared" ref="V12:V47" si="6">(((S12+T12)/($S$7+$T$7))*100)</f>
        <v>0</v>
      </c>
      <c r="W12" s="54">
        <f t="shared" ref="W12:W47" si="7">((U12/$U$7)*100)</f>
        <v>0</v>
      </c>
      <c r="X12" s="55" t="str">
        <f t="shared" ref="X12:Y47" si="8">IF(V12&gt;=50,"Y","N")</f>
        <v>N</v>
      </c>
      <c r="Y12" s="56" t="str">
        <f t="shared" si="8"/>
        <v>N</v>
      </c>
    </row>
    <row r="13" spans="2:25" ht="29.1" customHeight="1" thickBot="1" x14ac:dyDescent="0.45">
      <c r="B13" s="41">
        <v>3</v>
      </c>
      <c r="C13" s="42" t="str">
        <f>[2]Theory!A27</f>
        <v>2023-IT-17</v>
      </c>
      <c r="D13" s="43" t="str">
        <f>[2]Theory!B27</f>
        <v>Muhammad Bilal Imtiaz</v>
      </c>
      <c r="E13" s="44">
        <f>[2]Theory!D27</f>
        <v>7</v>
      </c>
      <c r="F13" s="45">
        <v>8</v>
      </c>
      <c r="G13" s="45">
        <v>7</v>
      </c>
      <c r="H13" s="46">
        <v>10</v>
      </c>
      <c r="I13" s="47">
        <f>[2]Theory!E27</f>
        <v>25</v>
      </c>
      <c r="J13" s="48">
        <f>[2]Theory!H27</f>
        <v>7</v>
      </c>
      <c r="K13" s="44">
        <f>[2]Theory!F27</f>
        <v>8</v>
      </c>
      <c r="L13" s="49">
        <v>8</v>
      </c>
      <c r="M13" s="49">
        <v>14</v>
      </c>
      <c r="N13" s="49">
        <v>16</v>
      </c>
      <c r="O13" s="50">
        <f>[2]Theory!G27</f>
        <v>38</v>
      </c>
      <c r="P13" s="47">
        <f t="shared" si="2"/>
        <v>85</v>
      </c>
      <c r="Q13" s="51" t="str">
        <f>[2]Theory!J27</f>
        <v>A-</v>
      </c>
      <c r="R13" s="57"/>
      <c r="S13" s="53">
        <f t="shared" si="3"/>
        <v>39</v>
      </c>
      <c r="T13" s="54">
        <f t="shared" si="4"/>
        <v>23</v>
      </c>
      <c r="U13" s="54">
        <f t="shared" si="5"/>
        <v>23</v>
      </c>
      <c r="V13" s="54">
        <f t="shared" si="6"/>
        <v>88.571428571428569</v>
      </c>
      <c r="W13" s="54">
        <f t="shared" si="7"/>
        <v>76.666666666666671</v>
      </c>
      <c r="X13" s="55" t="str">
        <f t="shared" si="8"/>
        <v>Y</v>
      </c>
      <c r="Y13" s="56" t="str">
        <f t="shared" si="8"/>
        <v>Y</v>
      </c>
    </row>
    <row r="14" spans="2:25" ht="29.1" customHeight="1" thickBot="1" x14ac:dyDescent="0.45">
      <c r="B14" s="41">
        <v>4</v>
      </c>
      <c r="C14" s="42" t="str">
        <f>[2]Theory!A28</f>
        <v>2023-IT-19</v>
      </c>
      <c r="D14" s="43" t="str">
        <f>[2]Theory!B28</f>
        <v>Abdul Basit</v>
      </c>
      <c r="E14" s="44">
        <f>[2]Theory!D28</f>
        <v>8</v>
      </c>
      <c r="F14" s="45">
        <v>10</v>
      </c>
      <c r="G14" s="45">
        <v>7</v>
      </c>
      <c r="H14" s="46">
        <v>8</v>
      </c>
      <c r="I14" s="47">
        <f>[2]Theory!E28</f>
        <v>25</v>
      </c>
      <c r="J14" s="48">
        <f>[2]Theory!H28</f>
        <v>9</v>
      </c>
      <c r="K14" s="44">
        <f>[2]Theory!F28</f>
        <v>7</v>
      </c>
      <c r="L14" s="49">
        <v>9</v>
      </c>
      <c r="M14" s="49">
        <v>13</v>
      </c>
      <c r="N14" s="49">
        <v>16</v>
      </c>
      <c r="O14" s="50">
        <f>[2]Theory!G28</f>
        <v>38</v>
      </c>
      <c r="P14" s="47">
        <f t="shared" si="2"/>
        <v>87</v>
      </c>
      <c r="Q14" s="51" t="str">
        <f>[2]Theory!J28</f>
        <v>A-</v>
      </c>
      <c r="R14" s="57"/>
      <c r="S14" s="53">
        <f t="shared" si="3"/>
        <v>35</v>
      </c>
      <c r="T14" s="54">
        <f t="shared" si="4"/>
        <v>25</v>
      </c>
      <c r="U14" s="54">
        <f t="shared" si="5"/>
        <v>27</v>
      </c>
      <c r="V14" s="54">
        <f t="shared" si="6"/>
        <v>85.714285714285708</v>
      </c>
      <c r="W14" s="54">
        <f t="shared" si="7"/>
        <v>90</v>
      </c>
      <c r="X14" s="55" t="str">
        <f t="shared" si="8"/>
        <v>Y</v>
      </c>
      <c r="Y14" s="56" t="str">
        <f t="shared" si="8"/>
        <v>Y</v>
      </c>
    </row>
    <row r="15" spans="2:25" ht="29.1" customHeight="1" thickBot="1" x14ac:dyDescent="0.45">
      <c r="B15" s="41">
        <v>5</v>
      </c>
      <c r="C15" s="42" t="str">
        <f>[2]Theory!A29</f>
        <v>2023-IT-21</v>
      </c>
      <c r="D15" s="43" t="str">
        <f>[2]Theory!B29</f>
        <v>Zain Jameel</v>
      </c>
      <c r="E15" s="44">
        <f>[2]Theory!D29</f>
        <v>7</v>
      </c>
      <c r="F15" s="45">
        <v>10</v>
      </c>
      <c r="G15" s="45">
        <v>9</v>
      </c>
      <c r="H15" s="46">
        <v>6</v>
      </c>
      <c r="I15" s="47">
        <f>[2]Theory!E29</f>
        <v>25</v>
      </c>
      <c r="J15" s="48">
        <f>[2]Theory!H29</f>
        <v>8</v>
      </c>
      <c r="K15" s="44">
        <f>[2]Theory!F29</f>
        <v>8</v>
      </c>
      <c r="L15" s="49">
        <v>8</v>
      </c>
      <c r="M15" s="49">
        <v>12</v>
      </c>
      <c r="N15" s="49">
        <v>14</v>
      </c>
      <c r="O15" s="50">
        <f>[2]Theory!G29</f>
        <v>34</v>
      </c>
      <c r="P15" s="47">
        <f t="shared" si="2"/>
        <v>82</v>
      </c>
      <c r="Q15" s="51" t="str">
        <f>[2]Theory!J29</f>
        <v>B+</v>
      </c>
      <c r="R15" s="57"/>
      <c r="S15" s="53">
        <f t="shared" si="3"/>
        <v>35</v>
      </c>
      <c r="T15" s="54">
        <f t="shared" si="4"/>
        <v>22</v>
      </c>
      <c r="U15" s="54">
        <f t="shared" si="5"/>
        <v>25</v>
      </c>
      <c r="V15" s="54">
        <f t="shared" si="6"/>
        <v>81.428571428571431</v>
      </c>
      <c r="W15" s="54">
        <f t="shared" si="7"/>
        <v>83.333333333333343</v>
      </c>
      <c r="X15" s="55" t="str">
        <f t="shared" si="8"/>
        <v>Y</v>
      </c>
      <c r="Y15" s="56" t="str">
        <f t="shared" si="8"/>
        <v>Y</v>
      </c>
    </row>
    <row r="16" spans="2:25" ht="29.1" customHeight="1" thickBot="1" x14ac:dyDescent="0.45">
      <c r="B16" s="41">
        <v>6</v>
      </c>
      <c r="C16" s="42" t="str">
        <f>[2]Theory!A30</f>
        <v>2023-IT-23</v>
      </c>
      <c r="D16" s="43" t="str">
        <f>[2]Theory!B30</f>
        <v>Hafiz Haseeb Ur Rehman</v>
      </c>
      <c r="E16" s="44">
        <f>[2]Theory!D30</f>
        <v>7</v>
      </c>
      <c r="F16" s="45">
        <v>8</v>
      </c>
      <c r="G16" s="45">
        <v>6</v>
      </c>
      <c r="H16" s="46">
        <v>8</v>
      </c>
      <c r="I16" s="47">
        <f>[2]Theory!E30</f>
        <v>22</v>
      </c>
      <c r="J16" s="48">
        <f>[2]Theory!H30</f>
        <v>6</v>
      </c>
      <c r="K16" s="44">
        <f>[2]Theory!F30</f>
        <v>7</v>
      </c>
      <c r="L16" s="49">
        <v>10</v>
      </c>
      <c r="M16" s="49">
        <v>12</v>
      </c>
      <c r="N16" s="49">
        <v>11</v>
      </c>
      <c r="O16" s="50">
        <f>[2]Theory!G30</f>
        <v>33</v>
      </c>
      <c r="P16" s="47">
        <f t="shared" si="2"/>
        <v>75</v>
      </c>
      <c r="Q16" s="51" t="str">
        <f>[2]Theory!J30</f>
        <v>B</v>
      </c>
      <c r="R16" s="57"/>
      <c r="S16" s="53">
        <f t="shared" si="3"/>
        <v>33</v>
      </c>
      <c r="T16" s="54">
        <f t="shared" si="4"/>
        <v>17</v>
      </c>
      <c r="U16" s="54">
        <f t="shared" si="5"/>
        <v>25</v>
      </c>
      <c r="V16" s="54">
        <f t="shared" si="6"/>
        <v>71.428571428571431</v>
      </c>
      <c r="W16" s="54">
        <f t="shared" si="7"/>
        <v>83.333333333333343</v>
      </c>
      <c r="X16" s="55" t="str">
        <f t="shared" si="8"/>
        <v>Y</v>
      </c>
      <c r="Y16" s="56" t="str">
        <f t="shared" si="8"/>
        <v>Y</v>
      </c>
    </row>
    <row r="17" spans="2:25" ht="29.1" customHeight="1" thickBot="1" x14ac:dyDescent="0.45">
      <c r="B17" s="41">
        <v>7</v>
      </c>
      <c r="C17" s="42" t="str">
        <f>[2]Theory!A31</f>
        <v>2023-IT-25</v>
      </c>
      <c r="D17" s="43" t="str">
        <f>[2]Theory!B31</f>
        <v>Muhammad Muzammil</v>
      </c>
      <c r="E17" s="44">
        <f>[2]Theory!D31</f>
        <v>7</v>
      </c>
      <c r="F17" s="45">
        <v>7</v>
      </c>
      <c r="G17" s="45">
        <v>5</v>
      </c>
      <c r="H17" s="46">
        <v>5</v>
      </c>
      <c r="I17" s="47">
        <f>[2]Theory!E31</f>
        <v>17</v>
      </c>
      <c r="J17" s="48">
        <f>[2]Theory!H31</f>
        <v>7</v>
      </c>
      <c r="K17" s="44">
        <f>[2]Theory!F31</f>
        <v>7</v>
      </c>
      <c r="L17" s="49">
        <v>8</v>
      </c>
      <c r="M17" s="49">
        <v>10</v>
      </c>
      <c r="N17" s="49">
        <v>12</v>
      </c>
      <c r="O17" s="50">
        <f>[2]Theory!G31</f>
        <v>30</v>
      </c>
      <c r="P17" s="47">
        <f t="shared" si="2"/>
        <v>68</v>
      </c>
      <c r="Q17" s="51" t="str">
        <f>[2]Theory!J31</f>
        <v>C+</v>
      </c>
      <c r="R17" s="57"/>
      <c r="S17" s="53">
        <f t="shared" si="3"/>
        <v>27</v>
      </c>
      <c r="T17" s="54">
        <f t="shared" si="4"/>
        <v>19</v>
      </c>
      <c r="U17" s="54">
        <f t="shared" si="5"/>
        <v>22</v>
      </c>
      <c r="V17" s="54">
        <f t="shared" si="6"/>
        <v>65.714285714285708</v>
      </c>
      <c r="W17" s="54">
        <f t="shared" si="7"/>
        <v>73.333333333333329</v>
      </c>
      <c r="X17" s="55" t="str">
        <f t="shared" si="8"/>
        <v>Y</v>
      </c>
      <c r="Y17" s="56" t="str">
        <f t="shared" si="8"/>
        <v>Y</v>
      </c>
    </row>
    <row r="18" spans="2:25" ht="29.1" customHeight="1" thickBot="1" x14ac:dyDescent="0.45">
      <c r="B18" s="41">
        <v>8</v>
      </c>
      <c r="C18" s="42" t="str">
        <f>[2]Theory!A32</f>
        <v>2023-IT-27</v>
      </c>
      <c r="D18" s="43" t="str">
        <f>[2]Theory!B32</f>
        <v>Talha Irfan</v>
      </c>
      <c r="E18" s="44">
        <f>[2]Theory!D32</f>
        <v>8</v>
      </c>
      <c r="F18" s="45">
        <v>10</v>
      </c>
      <c r="G18" s="45">
        <v>7</v>
      </c>
      <c r="H18" s="46">
        <v>10</v>
      </c>
      <c r="I18" s="47">
        <f>[2]Theory!E32</f>
        <v>27</v>
      </c>
      <c r="J18" s="48">
        <f>[2]Theory!H32</f>
        <v>8</v>
      </c>
      <c r="K18" s="44">
        <f>[2]Theory!F32</f>
        <v>9</v>
      </c>
      <c r="L18" s="49">
        <v>10</v>
      </c>
      <c r="M18" s="49">
        <v>13</v>
      </c>
      <c r="N18" s="49">
        <v>16</v>
      </c>
      <c r="O18" s="50">
        <f>[2]Theory!G32</f>
        <v>39</v>
      </c>
      <c r="P18" s="47">
        <f t="shared" si="2"/>
        <v>91</v>
      </c>
      <c r="Q18" s="51" t="str">
        <f>[2]Theory!J32</f>
        <v>A</v>
      </c>
      <c r="R18" s="57"/>
      <c r="S18" s="53">
        <f t="shared" si="3"/>
        <v>39</v>
      </c>
      <c r="T18" s="54">
        <f t="shared" si="4"/>
        <v>24</v>
      </c>
      <c r="U18" s="54">
        <f t="shared" si="5"/>
        <v>28</v>
      </c>
      <c r="V18" s="54">
        <f t="shared" si="6"/>
        <v>90</v>
      </c>
      <c r="W18" s="54">
        <f t="shared" si="7"/>
        <v>93.333333333333329</v>
      </c>
      <c r="X18" s="55" t="str">
        <f t="shared" si="8"/>
        <v>Y</v>
      </c>
      <c r="Y18" s="56" t="str">
        <f t="shared" si="8"/>
        <v>Y</v>
      </c>
    </row>
    <row r="19" spans="2:25" ht="29.1" customHeight="1" thickBot="1" x14ac:dyDescent="0.45">
      <c r="B19" s="41">
        <v>9</v>
      </c>
      <c r="C19" s="42" t="str">
        <f>[2]Theory!A33</f>
        <v>2023-IT-29</v>
      </c>
      <c r="D19" s="43" t="str">
        <f>[2]Theory!B33</f>
        <v>Husnain Abbas</v>
      </c>
      <c r="E19" s="44">
        <f>[2]Theory!D33</f>
        <v>8</v>
      </c>
      <c r="F19" s="45">
        <v>8</v>
      </c>
      <c r="G19" s="45">
        <v>8</v>
      </c>
      <c r="H19" s="46">
        <v>2</v>
      </c>
      <c r="I19" s="47">
        <f>[2]Theory!E33</f>
        <v>18</v>
      </c>
      <c r="J19" s="48">
        <f>[2]Theory!H33</f>
        <v>8</v>
      </c>
      <c r="K19" s="44">
        <f>[2]Theory!F33</f>
        <v>8</v>
      </c>
      <c r="L19" s="49">
        <v>10</v>
      </c>
      <c r="M19" s="49">
        <v>10</v>
      </c>
      <c r="N19" s="49">
        <v>14</v>
      </c>
      <c r="O19" s="50">
        <f>[2]Theory!G33</f>
        <v>34</v>
      </c>
      <c r="P19" s="47">
        <f t="shared" si="2"/>
        <v>76</v>
      </c>
      <c r="Q19" s="51" t="str">
        <f>[2]Theory!J33</f>
        <v>B</v>
      </c>
      <c r="R19" s="57"/>
      <c r="S19" s="53">
        <f t="shared" si="3"/>
        <v>28</v>
      </c>
      <c r="T19" s="54">
        <f t="shared" si="4"/>
        <v>22</v>
      </c>
      <c r="U19" s="54">
        <f t="shared" si="5"/>
        <v>26</v>
      </c>
      <c r="V19" s="54">
        <f t="shared" si="6"/>
        <v>71.428571428571431</v>
      </c>
      <c r="W19" s="54">
        <f t="shared" si="7"/>
        <v>86.666666666666671</v>
      </c>
      <c r="X19" s="55" t="str">
        <f t="shared" si="8"/>
        <v>Y</v>
      </c>
      <c r="Y19" s="56" t="str">
        <f t="shared" si="8"/>
        <v>Y</v>
      </c>
    </row>
    <row r="20" spans="2:25" ht="29.1" customHeight="1" thickBot="1" x14ac:dyDescent="0.45">
      <c r="B20" s="41">
        <v>10</v>
      </c>
      <c r="C20" s="42" t="str">
        <f>[2]Theory!A34</f>
        <v>2023-IT-30</v>
      </c>
      <c r="D20" s="43" t="str">
        <f>[2]Theory!B34</f>
        <v>Umair Ahmad</v>
      </c>
      <c r="E20" s="44">
        <f>[2]Theory!D34</f>
        <v>8</v>
      </c>
      <c r="F20" s="45">
        <v>6</v>
      </c>
      <c r="G20" s="45">
        <v>5</v>
      </c>
      <c r="H20" s="46">
        <v>3</v>
      </c>
      <c r="I20" s="47">
        <f>[2]Theory!E34</f>
        <v>14</v>
      </c>
      <c r="J20" s="48">
        <f>[2]Theory!H34</f>
        <v>8</v>
      </c>
      <c r="K20" s="44">
        <f>[2]Theory!F34</f>
        <v>8</v>
      </c>
      <c r="L20" s="49">
        <v>8</v>
      </c>
      <c r="M20" s="49">
        <v>10</v>
      </c>
      <c r="N20" s="49">
        <v>14</v>
      </c>
      <c r="O20" s="50">
        <f>[2]Theory!G34</f>
        <v>32</v>
      </c>
      <c r="P20" s="47">
        <f t="shared" si="2"/>
        <v>70</v>
      </c>
      <c r="Q20" s="51" t="str">
        <f>[2]Theory!J34</f>
        <v>B-</v>
      </c>
      <c r="R20" s="57"/>
      <c r="S20" s="53">
        <f t="shared" si="3"/>
        <v>26</v>
      </c>
      <c r="T20" s="54">
        <f t="shared" si="4"/>
        <v>22</v>
      </c>
      <c r="U20" s="54">
        <f t="shared" si="5"/>
        <v>22</v>
      </c>
      <c r="V20" s="54">
        <f t="shared" si="6"/>
        <v>68.571428571428569</v>
      </c>
      <c r="W20" s="54">
        <f t="shared" si="7"/>
        <v>73.333333333333329</v>
      </c>
      <c r="X20" s="55" t="str">
        <f t="shared" si="8"/>
        <v>Y</v>
      </c>
      <c r="Y20" s="56" t="str">
        <f t="shared" si="8"/>
        <v>Y</v>
      </c>
    </row>
    <row r="21" spans="2:25" ht="29.1" customHeight="1" thickBot="1" x14ac:dyDescent="0.45">
      <c r="B21" s="41">
        <v>11</v>
      </c>
      <c r="C21" s="42" t="str">
        <f>[2]Theory!A35</f>
        <v>2023-IT-31</v>
      </c>
      <c r="D21" s="43" t="str">
        <f>[2]Theory!B35</f>
        <v>Muhammad Talha Munir</v>
      </c>
      <c r="E21" s="44">
        <f>[2]Theory!D35</f>
        <v>6</v>
      </c>
      <c r="F21" s="45">
        <v>8</v>
      </c>
      <c r="G21" s="45">
        <v>8</v>
      </c>
      <c r="H21" s="46">
        <v>8</v>
      </c>
      <c r="I21" s="47">
        <f>[2]Theory!E35</f>
        <v>24</v>
      </c>
      <c r="J21" s="48">
        <f>[2]Theory!H35</f>
        <v>6</v>
      </c>
      <c r="K21" s="44">
        <f>[2]Theory!F35</f>
        <v>7</v>
      </c>
      <c r="L21" s="49">
        <v>10</v>
      </c>
      <c r="M21" s="49">
        <v>10</v>
      </c>
      <c r="N21" s="49">
        <v>12</v>
      </c>
      <c r="O21" s="50">
        <f>[2]Theory!G35</f>
        <v>32</v>
      </c>
      <c r="P21" s="47">
        <f t="shared" si="2"/>
        <v>75</v>
      </c>
      <c r="Q21" s="51" t="str">
        <f>[2]Theory!J35</f>
        <v>B</v>
      </c>
      <c r="R21" s="57"/>
      <c r="S21" s="53">
        <f t="shared" si="3"/>
        <v>33</v>
      </c>
      <c r="T21" s="54">
        <f t="shared" si="4"/>
        <v>18</v>
      </c>
      <c r="U21" s="54">
        <f t="shared" si="5"/>
        <v>24</v>
      </c>
      <c r="V21" s="54">
        <f t="shared" si="6"/>
        <v>72.857142857142847</v>
      </c>
      <c r="W21" s="54">
        <f t="shared" si="7"/>
        <v>80</v>
      </c>
      <c r="X21" s="55" t="str">
        <f t="shared" si="8"/>
        <v>Y</v>
      </c>
      <c r="Y21" s="56" t="str">
        <f t="shared" si="8"/>
        <v>Y</v>
      </c>
    </row>
    <row r="22" spans="2:25" ht="29.1" customHeight="1" thickBot="1" x14ac:dyDescent="0.45">
      <c r="B22" s="41">
        <v>12</v>
      </c>
      <c r="C22" s="42" t="str">
        <f>[2]Theory!A36</f>
        <v>2023-IT-33</v>
      </c>
      <c r="D22" s="43" t="str">
        <f>[2]Theory!B36</f>
        <v>Muhammad Saleem</v>
      </c>
      <c r="E22" s="44">
        <f>[2]Theory!D36</f>
        <v>8</v>
      </c>
      <c r="F22" s="45">
        <v>10</v>
      </c>
      <c r="G22" s="45">
        <v>7</v>
      </c>
      <c r="H22" s="46">
        <v>3</v>
      </c>
      <c r="I22" s="47">
        <f>[2]Theory!E36</f>
        <v>20</v>
      </c>
      <c r="J22" s="48">
        <f>[2]Theory!H36</f>
        <v>8</v>
      </c>
      <c r="K22" s="44">
        <f>[2]Theory!F36</f>
        <v>9</v>
      </c>
      <c r="L22" s="49">
        <v>5</v>
      </c>
      <c r="M22" s="49">
        <v>9</v>
      </c>
      <c r="N22" s="49">
        <v>11</v>
      </c>
      <c r="O22" s="50">
        <f>[2]Theory!G36</f>
        <v>25</v>
      </c>
      <c r="P22" s="47">
        <f t="shared" si="2"/>
        <v>70</v>
      </c>
      <c r="Q22" s="51" t="str">
        <f>[2]Theory!J36</f>
        <v>B-</v>
      </c>
      <c r="R22" s="57"/>
      <c r="S22" s="53">
        <f t="shared" si="3"/>
        <v>28</v>
      </c>
      <c r="T22" s="54">
        <f t="shared" si="4"/>
        <v>19</v>
      </c>
      <c r="U22" s="54">
        <f t="shared" si="5"/>
        <v>23</v>
      </c>
      <c r="V22" s="54">
        <f t="shared" si="6"/>
        <v>67.142857142857139</v>
      </c>
      <c r="W22" s="54">
        <f t="shared" si="7"/>
        <v>76.666666666666671</v>
      </c>
      <c r="X22" s="55" t="str">
        <f t="shared" si="8"/>
        <v>Y</v>
      </c>
      <c r="Y22" s="56" t="str">
        <f t="shared" si="8"/>
        <v>Y</v>
      </c>
    </row>
    <row r="23" spans="2:25" ht="29.1" customHeight="1" thickBot="1" x14ac:dyDescent="0.45">
      <c r="B23" s="41">
        <v>13</v>
      </c>
      <c r="C23" s="42" t="str">
        <f>[2]Theory!A37</f>
        <v>2023-IT-35</v>
      </c>
      <c r="D23" s="43" t="str">
        <f>[2]Theory!B37</f>
        <v>Shumaz Aziz</v>
      </c>
      <c r="E23" s="44">
        <f>[2]Theory!D37</f>
        <v>9</v>
      </c>
      <c r="F23" s="45">
        <v>8</v>
      </c>
      <c r="G23" s="45">
        <v>8</v>
      </c>
      <c r="H23" s="46">
        <v>10</v>
      </c>
      <c r="I23" s="47">
        <f>[2]Theory!E37</f>
        <v>26</v>
      </c>
      <c r="J23" s="48">
        <f>[2]Theory!H37</f>
        <v>9</v>
      </c>
      <c r="K23" s="44">
        <f>[2]Theory!F37</f>
        <v>10</v>
      </c>
      <c r="L23" s="49">
        <v>8</v>
      </c>
      <c r="M23" s="49">
        <v>8</v>
      </c>
      <c r="N23" s="49">
        <v>12</v>
      </c>
      <c r="O23" s="50">
        <f>[2]Theory!G37</f>
        <v>28</v>
      </c>
      <c r="P23" s="47">
        <f t="shared" si="2"/>
        <v>82</v>
      </c>
      <c r="Q23" s="51" t="str">
        <f>[2]Theory!J37</f>
        <v>B+</v>
      </c>
      <c r="R23" s="57"/>
      <c r="S23" s="53">
        <f t="shared" si="3"/>
        <v>36</v>
      </c>
      <c r="T23" s="54">
        <f t="shared" si="4"/>
        <v>21</v>
      </c>
      <c r="U23" s="54">
        <f t="shared" si="5"/>
        <v>25</v>
      </c>
      <c r="V23" s="54">
        <f t="shared" si="6"/>
        <v>81.428571428571431</v>
      </c>
      <c r="W23" s="54">
        <f t="shared" si="7"/>
        <v>83.333333333333343</v>
      </c>
      <c r="X23" s="55" t="str">
        <f t="shared" si="8"/>
        <v>Y</v>
      </c>
      <c r="Y23" s="56" t="str">
        <f t="shared" si="8"/>
        <v>Y</v>
      </c>
    </row>
    <row r="24" spans="2:25" ht="29.1" customHeight="1" thickBot="1" x14ac:dyDescent="0.45">
      <c r="B24" s="41">
        <v>14</v>
      </c>
      <c r="C24" s="42" t="str">
        <f>[2]Theory!A38</f>
        <v>2023-IT-37</v>
      </c>
      <c r="D24" s="43" t="str">
        <f>[2]Theory!B38</f>
        <v>Ali Hassan</v>
      </c>
      <c r="E24" s="44">
        <f>[2]Theory!D38</f>
        <v>0</v>
      </c>
      <c r="F24" s="45">
        <v>0</v>
      </c>
      <c r="G24" s="45">
        <v>0</v>
      </c>
      <c r="H24" s="46">
        <v>0</v>
      </c>
      <c r="I24" s="47">
        <f>[2]Theory!E38</f>
        <v>0</v>
      </c>
      <c r="J24" s="48">
        <f>[2]Theory!H38</f>
        <v>0</v>
      </c>
      <c r="K24" s="44">
        <f>[2]Theory!F38</f>
        <v>0</v>
      </c>
      <c r="L24" s="49">
        <v>0</v>
      </c>
      <c r="M24" s="49">
        <v>0</v>
      </c>
      <c r="N24" s="49">
        <v>0</v>
      </c>
      <c r="O24" s="50">
        <f>[2]Theory!G38</f>
        <v>0</v>
      </c>
      <c r="P24" s="47">
        <f t="shared" si="2"/>
        <v>0</v>
      </c>
      <c r="Q24" s="51" t="str">
        <f>[2]Theory!J38</f>
        <v>F</v>
      </c>
      <c r="R24" s="57"/>
      <c r="S24" s="53">
        <f t="shared" si="3"/>
        <v>0</v>
      </c>
      <c r="T24" s="54">
        <f t="shared" si="4"/>
        <v>0</v>
      </c>
      <c r="U24" s="54">
        <f t="shared" si="5"/>
        <v>0</v>
      </c>
      <c r="V24" s="54">
        <f t="shared" si="6"/>
        <v>0</v>
      </c>
      <c r="W24" s="54">
        <f t="shared" si="7"/>
        <v>0</v>
      </c>
      <c r="X24" s="55" t="str">
        <f t="shared" si="8"/>
        <v>N</v>
      </c>
      <c r="Y24" s="56" t="str">
        <f t="shared" si="8"/>
        <v>N</v>
      </c>
    </row>
    <row r="25" spans="2:25" ht="29.1" customHeight="1" thickBot="1" x14ac:dyDescent="0.45">
      <c r="B25" s="41">
        <v>15</v>
      </c>
      <c r="C25" s="42" t="str">
        <f>[2]Theory!A39</f>
        <v>2023-IT-39</v>
      </c>
      <c r="D25" s="43" t="str">
        <f>[2]Theory!B39</f>
        <v>Muhammad Junaid</v>
      </c>
      <c r="E25" s="44">
        <f>[2]Theory!D39</f>
        <v>9</v>
      </c>
      <c r="F25" s="45">
        <v>10</v>
      </c>
      <c r="G25" s="45">
        <v>5</v>
      </c>
      <c r="H25" s="46">
        <v>8</v>
      </c>
      <c r="I25" s="47">
        <f>[2]Theory!E39</f>
        <v>23</v>
      </c>
      <c r="J25" s="48">
        <f>[2]Theory!H39</f>
        <v>9</v>
      </c>
      <c r="K25" s="44">
        <f>[2]Theory!F39</f>
        <v>9</v>
      </c>
      <c r="L25" s="49">
        <v>10</v>
      </c>
      <c r="M25" s="49">
        <v>10</v>
      </c>
      <c r="N25" s="49">
        <v>16</v>
      </c>
      <c r="O25" s="50">
        <f>[2]Theory!G39</f>
        <v>36</v>
      </c>
      <c r="P25" s="47">
        <f t="shared" si="2"/>
        <v>86</v>
      </c>
      <c r="Q25" s="51" t="str">
        <f>[2]Theory!J39</f>
        <v>A-</v>
      </c>
      <c r="R25" s="57"/>
      <c r="S25" s="53">
        <f t="shared" si="3"/>
        <v>32</v>
      </c>
      <c r="T25" s="54">
        <f t="shared" si="4"/>
        <v>25</v>
      </c>
      <c r="U25" s="54">
        <f t="shared" si="5"/>
        <v>29</v>
      </c>
      <c r="V25" s="54">
        <f t="shared" si="6"/>
        <v>81.428571428571431</v>
      </c>
      <c r="W25" s="54">
        <f t="shared" si="7"/>
        <v>96.666666666666671</v>
      </c>
      <c r="X25" s="55" t="str">
        <f t="shared" si="8"/>
        <v>Y</v>
      </c>
      <c r="Y25" s="56" t="str">
        <f t="shared" si="8"/>
        <v>Y</v>
      </c>
    </row>
    <row r="26" spans="2:25" ht="29.1" customHeight="1" thickBot="1" x14ac:dyDescent="0.45">
      <c r="B26" s="41">
        <v>16</v>
      </c>
      <c r="C26" s="42" t="str">
        <f>[2]Theory!A40</f>
        <v>2023-IT-43</v>
      </c>
      <c r="D26" s="43" t="str">
        <f>[2]Theory!B40</f>
        <v>Muhammad Ali Abbas</v>
      </c>
      <c r="E26" s="44">
        <f>[2]Theory!D40</f>
        <v>7</v>
      </c>
      <c r="F26" s="45">
        <v>7</v>
      </c>
      <c r="G26" s="45">
        <v>7</v>
      </c>
      <c r="H26" s="46">
        <v>7</v>
      </c>
      <c r="I26" s="47">
        <f>[2]Theory!E40</f>
        <v>21</v>
      </c>
      <c r="J26" s="48">
        <f>[2]Theory!H40</f>
        <v>7</v>
      </c>
      <c r="K26" s="44">
        <f>[2]Theory!F40</f>
        <v>6</v>
      </c>
      <c r="L26" s="49">
        <v>8</v>
      </c>
      <c r="M26" s="49">
        <v>10</v>
      </c>
      <c r="N26" s="49">
        <v>16</v>
      </c>
      <c r="O26" s="50">
        <f>[2]Theory!G40</f>
        <v>34</v>
      </c>
      <c r="P26" s="47">
        <f t="shared" si="2"/>
        <v>75</v>
      </c>
      <c r="Q26" s="51" t="str">
        <f>[2]Theory!J40</f>
        <v>B</v>
      </c>
      <c r="R26" s="57"/>
      <c r="S26" s="53">
        <f t="shared" si="3"/>
        <v>30</v>
      </c>
      <c r="T26" s="54">
        <f t="shared" si="4"/>
        <v>23</v>
      </c>
      <c r="U26" s="54">
        <f t="shared" si="5"/>
        <v>22</v>
      </c>
      <c r="V26" s="54">
        <f t="shared" si="6"/>
        <v>75.714285714285708</v>
      </c>
      <c r="W26" s="54">
        <f t="shared" si="7"/>
        <v>73.333333333333329</v>
      </c>
      <c r="X26" s="55" t="str">
        <f t="shared" si="8"/>
        <v>Y</v>
      </c>
      <c r="Y26" s="56" t="str">
        <f t="shared" si="8"/>
        <v>Y</v>
      </c>
    </row>
    <row r="27" spans="2:25" ht="29.1" customHeight="1" thickBot="1" x14ac:dyDescent="0.45">
      <c r="B27" s="41">
        <v>17</v>
      </c>
      <c r="C27" s="42" t="str">
        <f>[2]Theory!A41</f>
        <v>2023-IT-45</v>
      </c>
      <c r="D27" s="43" t="str">
        <f>[2]Theory!B41</f>
        <v>Waseem Abbas</v>
      </c>
      <c r="E27" s="44">
        <f>[2]Theory!D41</f>
        <v>8</v>
      </c>
      <c r="F27" s="45">
        <v>10</v>
      </c>
      <c r="G27" s="45">
        <v>8</v>
      </c>
      <c r="H27" s="46">
        <v>10</v>
      </c>
      <c r="I27" s="47">
        <f>[2]Theory!E41</f>
        <v>28</v>
      </c>
      <c r="J27" s="48">
        <f>[2]Theory!H41</f>
        <v>8</v>
      </c>
      <c r="K27" s="44">
        <f>[2]Theory!F41</f>
        <v>7</v>
      </c>
      <c r="L27" s="49">
        <v>7</v>
      </c>
      <c r="M27" s="49">
        <v>8</v>
      </c>
      <c r="N27" s="49">
        <v>16</v>
      </c>
      <c r="O27" s="50">
        <f>[2]Theory!G41</f>
        <v>31</v>
      </c>
      <c r="P27" s="47">
        <f t="shared" si="2"/>
        <v>82</v>
      </c>
      <c r="Q27" s="51" t="str">
        <f>[2]Theory!J41</f>
        <v>B+</v>
      </c>
      <c r="R27" s="57"/>
      <c r="S27" s="53">
        <f t="shared" si="3"/>
        <v>33</v>
      </c>
      <c r="T27" s="54">
        <f t="shared" si="4"/>
        <v>24</v>
      </c>
      <c r="U27" s="54">
        <f t="shared" si="5"/>
        <v>25</v>
      </c>
      <c r="V27" s="54">
        <f t="shared" si="6"/>
        <v>81.428571428571431</v>
      </c>
      <c r="W27" s="54">
        <f t="shared" si="7"/>
        <v>83.333333333333343</v>
      </c>
      <c r="X27" s="55" t="str">
        <f t="shared" si="8"/>
        <v>Y</v>
      </c>
      <c r="Y27" s="56" t="str">
        <f t="shared" si="8"/>
        <v>Y</v>
      </c>
    </row>
    <row r="28" spans="2:25" ht="29.1" customHeight="1" thickBot="1" x14ac:dyDescent="0.45">
      <c r="B28" s="41">
        <v>18</v>
      </c>
      <c r="C28" s="42" t="str">
        <f>[2]Theory!A42</f>
        <v>2023-IT-47</v>
      </c>
      <c r="D28" s="43" t="str">
        <f>[2]Theory!B42</f>
        <v>Abdul Moiz</v>
      </c>
      <c r="E28" s="44">
        <f>[2]Theory!D42</f>
        <v>7</v>
      </c>
      <c r="F28" s="45">
        <v>10</v>
      </c>
      <c r="G28" s="45">
        <v>6</v>
      </c>
      <c r="H28" s="46">
        <v>6</v>
      </c>
      <c r="I28" s="47">
        <f>[2]Theory!E42</f>
        <v>22</v>
      </c>
      <c r="J28" s="48">
        <f>[2]Theory!H42</f>
        <v>8</v>
      </c>
      <c r="K28" s="44">
        <f>[2]Theory!F42</f>
        <v>7</v>
      </c>
      <c r="L28" s="49">
        <v>10</v>
      </c>
      <c r="M28" s="49">
        <v>14</v>
      </c>
      <c r="N28" s="49">
        <v>14</v>
      </c>
      <c r="O28" s="50">
        <f>[2]Theory!G42</f>
        <v>38</v>
      </c>
      <c r="P28" s="47">
        <f t="shared" si="2"/>
        <v>82</v>
      </c>
      <c r="Q28" s="51" t="str">
        <f>[2]Theory!J42</f>
        <v>B+</v>
      </c>
      <c r="R28" s="57"/>
      <c r="S28" s="53">
        <f t="shared" si="3"/>
        <v>33</v>
      </c>
      <c r="T28" s="54">
        <f t="shared" si="4"/>
        <v>22</v>
      </c>
      <c r="U28" s="54">
        <f t="shared" si="5"/>
        <v>27</v>
      </c>
      <c r="V28" s="54">
        <f t="shared" si="6"/>
        <v>78.571428571428569</v>
      </c>
      <c r="W28" s="54">
        <f t="shared" si="7"/>
        <v>90</v>
      </c>
      <c r="X28" s="55" t="str">
        <f t="shared" si="8"/>
        <v>Y</v>
      </c>
      <c r="Y28" s="56" t="str">
        <f t="shared" si="8"/>
        <v>Y</v>
      </c>
    </row>
    <row r="29" spans="2:25" ht="29.1" customHeight="1" thickBot="1" x14ac:dyDescent="0.45">
      <c r="B29" s="41">
        <v>19</v>
      </c>
      <c r="C29" s="42" t="str">
        <f>[2]Theory!A43</f>
        <v>2023-IT-49</v>
      </c>
      <c r="D29" s="43" t="str">
        <f>[2]Theory!B43</f>
        <v>Ehsan Mustafa</v>
      </c>
      <c r="E29" s="44">
        <f>[2]Theory!D43</f>
        <v>7</v>
      </c>
      <c r="F29" s="45">
        <v>10</v>
      </c>
      <c r="G29" s="45">
        <v>4</v>
      </c>
      <c r="H29" s="46">
        <v>9</v>
      </c>
      <c r="I29" s="47">
        <f>[2]Theory!E43</f>
        <v>23</v>
      </c>
      <c r="J29" s="48">
        <f>[2]Theory!H43</f>
        <v>9</v>
      </c>
      <c r="K29" s="44">
        <f>[2]Theory!F43</f>
        <v>7</v>
      </c>
      <c r="L29" s="49">
        <v>8</v>
      </c>
      <c r="M29" s="49">
        <v>14</v>
      </c>
      <c r="N29" s="49">
        <v>14</v>
      </c>
      <c r="O29" s="50">
        <f>[2]Theory!G43</f>
        <v>36</v>
      </c>
      <c r="P29" s="47">
        <f t="shared" si="2"/>
        <v>82</v>
      </c>
      <c r="Q29" s="51" t="str">
        <f>[2]Theory!J43</f>
        <v>B+</v>
      </c>
      <c r="R29" s="57"/>
      <c r="S29" s="53">
        <f t="shared" si="3"/>
        <v>34</v>
      </c>
      <c r="T29" s="54">
        <f t="shared" si="4"/>
        <v>23</v>
      </c>
      <c r="U29" s="54">
        <f t="shared" si="5"/>
        <v>25</v>
      </c>
      <c r="V29" s="54">
        <f t="shared" si="6"/>
        <v>81.428571428571431</v>
      </c>
      <c r="W29" s="54">
        <f t="shared" si="7"/>
        <v>83.333333333333343</v>
      </c>
      <c r="X29" s="55" t="str">
        <f t="shared" si="8"/>
        <v>Y</v>
      </c>
      <c r="Y29" s="56" t="str">
        <f t="shared" si="8"/>
        <v>Y</v>
      </c>
    </row>
    <row r="30" spans="2:25" ht="29.1" customHeight="1" thickBot="1" x14ac:dyDescent="0.45">
      <c r="B30" s="41">
        <v>20</v>
      </c>
      <c r="C30" s="42" t="str">
        <f>[2]Theory!A44</f>
        <v>2023-IT-51</v>
      </c>
      <c r="D30" s="43" t="str">
        <f>[2]Theory!B44</f>
        <v>Ahmad Umer</v>
      </c>
      <c r="E30" s="44">
        <f>[2]Theory!D44</f>
        <v>8</v>
      </c>
      <c r="F30" s="45">
        <v>10</v>
      </c>
      <c r="G30" s="45">
        <v>8</v>
      </c>
      <c r="H30" s="46">
        <v>8</v>
      </c>
      <c r="I30" s="47">
        <f>[2]Theory!E44</f>
        <v>26</v>
      </c>
      <c r="J30" s="48">
        <f>[2]Theory!H44</f>
        <v>0</v>
      </c>
      <c r="K30" s="44">
        <f>[2]Theory!F44</f>
        <v>0</v>
      </c>
      <c r="L30" s="49">
        <v>0</v>
      </c>
      <c r="M30" s="49">
        <v>0</v>
      </c>
      <c r="N30" s="49">
        <v>0</v>
      </c>
      <c r="O30" s="50">
        <f>[2]Theory!G44</f>
        <v>0</v>
      </c>
      <c r="P30" s="47">
        <f t="shared" si="2"/>
        <v>34</v>
      </c>
      <c r="Q30" s="51" t="str">
        <f>[2]Theory!J44</f>
        <v>F</v>
      </c>
      <c r="R30" s="57"/>
      <c r="S30" s="53">
        <f t="shared" si="3"/>
        <v>16</v>
      </c>
      <c r="T30" s="54">
        <f t="shared" si="4"/>
        <v>0</v>
      </c>
      <c r="U30" s="54">
        <f t="shared" si="5"/>
        <v>18</v>
      </c>
      <c r="V30" s="54">
        <f t="shared" si="6"/>
        <v>22.857142857142858</v>
      </c>
      <c r="W30" s="54">
        <f t="shared" si="7"/>
        <v>60</v>
      </c>
      <c r="X30" s="55" t="str">
        <f t="shared" si="8"/>
        <v>N</v>
      </c>
      <c r="Y30" s="56" t="str">
        <f t="shared" si="8"/>
        <v>Y</v>
      </c>
    </row>
    <row r="31" spans="2:25" ht="29.1" customHeight="1" thickBot="1" x14ac:dyDescent="0.45">
      <c r="B31" s="41">
        <v>21</v>
      </c>
      <c r="C31" s="42" t="str">
        <f>[2]Theory!A45</f>
        <v>2023-IT-52</v>
      </c>
      <c r="D31" s="43" t="str">
        <f>[2]Theory!B45</f>
        <v>Rao Noman Arif</v>
      </c>
      <c r="E31" s="44">
        <f>[2]Theory!D45</f>
        <v>9</v>
      </c>
      <c r="F31" s="45">
        <v>9</v>
      </c>
      <c r="G31" s="45">
        <v>5</v>
      </c>
      <c r="H31" s="46">
        <v>9</v>
      </c>
      <c r="I31" s="47">
        <f>[2]Theory!E45</f>
        <v>23</v>
      </c>
      <c r="J31" s="48">
        <f>[2]Theory!H45</f>
        <v>0</v>
      </c>
      <c r="K31" s="44">
        <f>[2]Theory!F45</f>
        <v>0</v>
      </c>
      <c r="L31" s="49">
        <v>0</v>
      </c>
      <c r="M31" s="49">
        <v>0</v>
      </c>
      <c r="N31" s="49">
        <v>0</v>
      </c>
      <c r="O31" s="50">
        <f>[2]Theory!G45</f>
        <v>0</v>
      </c>
      <c r="P31" s="47">
        <f t="shared" si="2"/>
        <v>32</v>
      </c>
      <c r="Q31" s="51" t="str">
        <f>[2]Theory!J45</f>
        <v>F</v>
      </c>
      <c r="R31" s="57"/>
      <c r="S31" s="53">
        <f t="shared" si="3"/>
        <v>14</v>
      </c>
      <c r="T31" s="54">
        <f t="shared" si="4"/>
        <v>0</v>
      </c>
      <c r="U31" s="54">
        <f t="shared" si="5"/>
        <v>18</v>
      </c>
      <c r="V31" s="54">
        <f t="shared" si="6"/>
        <v>20</v>
      </c>
      <c r="W31" s="54">
        <f t="shared" si="7"/>
        <v>60</v>
      </c>
      <c r="X31" s="55" t="str">
        <f t="shared" si="8"/>
        <v>N</v>
      </c>
      <c r="Y31" s="56" t="str">
        <f t="shared" si="8"/>
        <v>Y</v>
      </c>
    </row>
    <row r="32" spans="2:25" ht="29.1" customHeight="1" thickBot="1" x14ac:dyDescent="0.45">
      <c r="B32" s="41">
        <v>22</v>
      </c>
      <c r="C32" s="42" t="str">
        <f>[2]Theory!A46</f>
        <v>2023-IT-53</v>
      </c>
      <c r="D32" s="43" t="str">
        <f>[2]Theory!B46</f>
        <v>Ali Ahmad</v>
      </c>
      <c r="E32" s="44">
        <f>[2]Theory!D46</f>
        <v>8</v>
      </c>
      <c r="F32" s="45">
        <v>7</v>
      </c>
      <c r="G32" s="45">
        <v>4</v>
      </c>
      <c r="H32" s="46">
        <v>3</v>
      </c>
      <c r="I32" s="47">
        <f>[2]Theory!E46</f>
        <v>14</v>
      </c>
      <c r="J32" s="48">
        <f>[2]Theory!H46</f>
        <v>8</v>
      </c>
      <c r="K32" s="44">
        <f>[2]Theory!F46</f>
        <v>8</v>
      </c>
      <c r="L32" s="49">
        <v>6</v>
      </c>
      <c r="M32" s="49">
        <v>10</v>
      </c>
      <c r="N32" s="49">
        <v>16</v>
      </c>
      <c r="O32" s="50">
        <f>[2]Theory!G46</f>
        <v>32</v>
      </c>
      <c r="P32" s="47">
        <f t="shared" si="2"/>
        <v>70</v>
      </c>
      <c r="Q32" s="51" t="str">
        <f>[2]Theory!J46</f>
        <v>B-</v>
      </c>
      <c r="R32" s="57"/>
      <c r="S32" s="53">
        <f t="shared" si="3"/>
        <v>25</v>
      </c>
      <c r="T32" s="54">
        <f t="shared" si="4"/>
        <v>24</v>
      </c>
      <c r="U32" s="54">
        <f t="shared" si="5"/>
        <v>21</v>
      </c>
      <c r="V32" s="54">
        <f t="shared" si="6"/>
        <v>70</v>
      </c>
      <c r="W32" s="54">
        <f t="shared" si="7"/>
        <v>70</v>
      </c>
      <c r="X32" s="55" t="str">
        <f t="shared" si="8"/>
        <v>Y</v>
      </c>
      <c r="Y32" s="56" t="str">
        <f t="shared" si="8"/>
        <v>Y</v>
      </c>
    </row>
    <row r="33" spans="2:25" ht="29.1" customHeight="1" thickBot="1" x14ac:dyDescent="0.45">
      <c r="B33" s="41">
        <v>23</v>
      </c>
      <c r="C33" s="42" t="str">
        <f>[2]Theory!A47</f>
        <v>2023-IT-55</v>
      </c>
      <c r="D33" s="43" t="str">
        <f>[2]Theory!B47</f>
        <v>Muhammad Salman</v>
      </c>
      <c r="E33" s="44">
        <f>[2]Theory!D47</f>
        <v>9</v>
      </c>
      <c r="F33" s="45">
        <v>10</v>
      </c>
      <c r="G33" s="45">
        <v>6</v>
      </c>
      <c r="H33" s="46">
        <v>10</v>
      </c>
      <c r="I33" s="47">
        <f>[2]Theory!E47</f>
        <v>26</v>
      </c>
      <c r="J33" s="48">
        <f>[2]Theory!H47</f>
        <v>8</v>
      </c>
      <c r="K33" s="44">
        <f>[2]Theory!F47</f>
        <v>8</v>
      </c>
      <c r="L33" s="49">
        <v>8</v>
      </c>
      <c r="M33" s="49">
        <v>12</v>
      </c>
      <c r="N33" s="49">
        <v>16</v>
      </c>
      <c r="O33" s="50">
        <f>[2]Theory!G47</f>
        <v>36</v>
      </c>
      <c r="P33" s="47">
        <f t="shared" si="2"/>
        <v>87</v>
      </c>
      <c r="Q33" s="51" t="str">
        <f>[2]Theory!J47</f>
        <v>A-</v>
      </c>
      <c r="R33" s="57"/>
      <c r="S33" s="53">
        <f t="shared" si="3"/>
        <v>36</v>
      </c>
      <c r="T33" s="54">
        <f t="shared" si="4"/>
        <v>24</v>
      </c>
      <c r="U33" s="54">
        <f t="shared" si="5"/>
        <v>27</v>
      </c>
      <c r="V33" s="54">
        <f t="shared" si="6"/>
        <v>85.714285714285708</v>
      </c>
      <c r="W33" s="54">
        <f t="shared" si="7"/>
        <v>90</v>
      </c>
      <c r="X33" s="55" t="str">
        <f t="shared" si="8"/>
        <v>Y</v>
      </c>
      <c r="Y33" s="56" t="str">
        <f t="shared" si="8"/>
        <v>Y</v>
      </c>
    </row>
    <row r="34" spans="2:25" ht="29.1" customHeight="1" thickBot="1" x14ac:dyDescent="0.45">
      <c r="B34" s="41">
        <v>24</v>
      </c>
      <c r="C34" s="42" t="str">
        <f>[2]Theory!A48</f>
        <v>2023-IT-57</v>
      </c>
      <c r="D34" s="43" t="str">
        <f>[2]Theory!B48</f>
        <v>Burhan Khan</v>
      </c>
      <c r="E34" s="44">
        <f>[2]Theory!D48</f>
        <v>8</v>
      </c>
      <c r="F34" s="45">
        <v>8</v>
      </c>
      <c r="G34" s="45">
        <v>5</v>
      </c>
      <c r="H34" s="46">
        <v>3</v>
      </c>
      <c r="I34" s="47">
        <f>[2]Theory!E48</f>
        <v>16</v>
      </c>
      <c r="J34" s="48">
        <f>[2]Theory!H48</f>
        <v>8</v>
      </c>
      <c r="K34" s="44">
        <f>[2]Theory!F48</f>
        <v>8</v>
      </c>
      <c r="L34" s="49">
        <v>7</v>
      </c>
      <c r="M34" s="49">
        <v>12</v>
      </c>
      <c r="N34" s="49">
        <v>15</v>
      </c>
      <c r="O34" s="50">
        <f>[2]Theory!G48</f>
        <v>35</v>
      </c>
      <c r="P34" s="47">
        <f t="shared" si="2"/>
        <v>75</v>
      </c>
      <c r="Q34" s="51" t="str">
        <f>[2]Theory!J48</f>
        <v>B</v>
      </c>
      <c r="R34" s="57"/>
      <c r="S34" s="53">
        <f t="shared" si="3"/>
        <v>28</v>
      </c>
      <c r="T34" s="54">
        <f t="shared" si="4"/>
        <v>23</v>
      </c>
      <c r="U34" s="54">
        <f t="shared" si="5"/>
        <v>23</v>
      </c>
      <c r="V34" s="54">
        <f t="shared" si="6"/>
        <v>72.857142857142847</v>
      </c>
      <c r="W34" s="54">
        <f t="shared" si="7"/>
        <v>76.666666666666671</v>
      </c>
      <c r="X34" s="55" t="str">
        <f t="shared" si="8"/>
        <v>Y</v>
      </c>
      <c r="Y34" s="56" t="str">
        <f t="shared" si="8"/>
        <v>Y</v>
      </c>
    </row>
    <row r="35" spans="2:25" ht="29.1" customHeight="1" thickBot="1" x14ac:dyDescent="0.45">
      <c r="B35" s="41">
        <v>25</v>
      </c>
      <c r="C35" s="42" t="str">
        <f>[2]Theory!A49</f>
        <v>2023-IT-59</v>
      </c>
      <c r="D35" s="43" t="str">
        <f>[2]Theory!B49</f>
        <v>Muhammad Meraj</v>
      </c>
      <c r="E35" s="44">
        <f>[2]Theory!D49</f>
        <v>9</v>
      </c>
      <c r="F35" s="45">
        <v>10</v>
      </c>
      <c r="G35" s="45">
        <v>8</v>
      </c>
      <c r="H35" s="46">
        <v>9</v>
      </c>
      <c r="I35" s="47">
        <f>[2]Theory!E49</f>
        <v>27</v>
      </c>
      <c r="J35" s="48">
        <f>[2]Theory!H49</f>
        <v>7</v>
      </c>
      <c r="K35" s="44">
        <f>[2]Theory!F49</f>
        <v>7</v>
      </c>
      <c r="L35" s="49">
        <v>7</v>
      </c>
      <c r="M35" s="49">
        <v>12</v>
      </c>
      <c r="N35" s="49">
        <v>14</v>
      </c>
      <c r="O35" s="50">
        <f>[2]Theory!G49</f>
        <v>33</v>
      </c>
      <c r="P35" s="47">
        <f t="shared" si="2"/>
        <v>83</v>
      </c>
      <c r="Q35" s="51" t="str">
        <f>[2]Theory!J49</f>
        <v>B+</v>
      </c>
      <c r="R35" s="57"/>
      <c r="S35" s="53">
        <f t="shared" si="3"/>
        <v>36</v>
      </c>
      <c r="T35" s="54">
        <f t="shared" si="4"/>
        <v>21</v>
      </c>
      <c r="U35" s="54">
        <f t="shared" si="5"/>
        <v>26</v>
      </c>
      <c r="V35" s="54">
        <f t="shared" si="6"/>
        <v>81.428571428571431</v>
      </c>
      <c r="W35" s="54">
        <f t="shared" si="7"/>
        <v>86.666666666666671</v>
      </c>
      <c r="X35" s="55" t="str">
        <f t="shared" si="8"/>
        <v>Y</v>
      </c>
      <c r="Y35" s="56" t="str">
        <f t="shared" si="8"/>
        <v>Y</v>
      </c>
    </row>
    <row r="36" spans="2:25" ht="29.1" customHeight="1" thickBot="1" x14ac:dyDescent="0.45">
      <c r="B36" s="41">
        <v>26</v>
      </c>
      <c r="C36" s="42" t="str">
        <f>[2]Theory!A50</f>
        <v>2023-IT-61</v>
      </c>
      <c r="D36" s="43" t="str">
        <f>[2]Theory!B50</f>
        <v>Muhammad Noor Hassan Ibne Qasim</v>
      </c>
      <c r="E36" s="44">
        <f>[2]Theory!D50</f>
        <v>9</v>
      </c>
      <c r="F36" s="45">
        <v>8</v>
      </c>
      <c r="G36" s="45">
        <v>8</v>
      </c>
      <c r="H36" s="46">
        <v>3</v>
      </c>
      <c r="I36" s="47">
        <f>[2]Theory!E50</f>
        <v>19</v>
      </c>
      <c r="J36" s="48">
        <f>[2]Theory!H50</f>
        <v>8</v>
      </c>
      <c r="K36" s="44">
        <f>[2]Theory!F50</f>
        <v>9</v>
      </c>
      <c r="L36" s="49">
        <v>8</v>
      </c>
      <c r="M36" s="49">
        <v>11</v>
      </c>
      <c r="N36" s="49">
        <v>16</v>
      </c>
      <c r="O36" s="50">
        <f>[2]Theory!G50</f>
        <v>35</v>
      </c>
      <c r="P36" s="47">
        <f t="shared" si="2"/>
        <v>80</v>
      </c>
      <c r="Q36" s="51" t="str">
        <f>[2]Theory!J50</f>
        <v>B+</v>
      </c>
      <c r="R36" s="57"/>
      <c r="S36" s="53">
        <f t="shared" si="3"/>
        <v>31</v>
      </c>
      <c r="T36" s="54">
        <f t="shared" si="4"/>
        <v>24</v>
      </c>
      <c r="U36" s="54">
        <f t="shared" si="5"/>
        <v>25</v>
      </c>
      <c r="V36" s="54">
        <f t="shared" si="6"/>
        <v>78.571428571428569</v>
      </c>
      <c r="W36" s="54">
        <f t="shared" si="7"/>
        <v>83.333333333333343</v>
      </c>
      <c r="X36" s="55" t="str">
        <f t="shared" si="8"/>
        <v>Y</v>
      </c>
      <c r="Y36" s="56" t="str">
        <f t="shared" si="8"/>
        <v>Y</v>
      </c>
    </row>
    <row r="37" spans="2:25" ht="29.1" customHeight="1" thickBot="1" x14ac:dyDescent="0.45">
      <c r="B37" s="41">
        <v>27</v>
      </c>
      <c r="C37" s="42" t="str">
        <f>[2]Theory!A51</f>
        <v>2023-IT-63</v>
      </c>
      <c r="D37" s="43" t="str">
        <f>[2]Theory!B51</f>
        <v>Abdullah</v>
      </c>
      <c r="E37" s="44">
        <f>[2]Theory!D51</f>
        <v>9</v>
      </c>
      <c r="F37" s="45">
        <v>10</v>
      </c>
      <c r="G37" s="45">
        <v>8</v>
      </c>
      <c r="H37" s="46">
        <v>10</v>
      </c>
      <c r="I37" s="47">
        <f>[2]Theory!E51</f>
        <v>28</v>
      </c>
      <c r="J37" s="48">
        <f>[2]Theory!H51</f>
        <v>9</v>
      </c>
      <c r="K37" s="44">
        <f>[2]Theory!F51</f>
        <v>9</v>
      </c>
      <c r="L37" s="49">
        <v>10</v>
      </c>
      <c r="M37" s="49">
        <v>12</v>
      </c>
      <c r="N37" s="49">
        <v>13</v>
      </c>
      <c r="O37" s="50">
        <f>[2]Theory!G51</f>
        <v>35</v>
      </c>
      <c r="P37" s="47">
        <f t="shared" si="2"/>
        <v>90</v>
      </c>
      <c r="Q37" s="51" t="str">
        <f>[2]Theory!J51</f>
        <v>A</v>
      </c>
      <c r="R37" s="57"/>
      <c r="S37" s="53">
        <f t="shared" si="3"/>
        <v>39</v>
      </c>
      <c r="T37" s="54">
        <f t="shared" si="4"/>
        <v>22</v>
      </c>
      <c r="U37" s="54">
        <f t="shared" si="5"/>
        <v>29</v>
      </c>
      <c r="V37" s="54">
        <f t="shared" si="6"/>
        <v>87.142857142857139</v>
      </c>
      <c r="W37" s="54">
        <f t="shared" si="7"/>
        <v>96.666666666666671</v>
      </c>
      <c r="X37" s="55" t="str">
        <f t="shared" si="8"/>
        <v>Y</v>
      </c>
      <c r="Y37" s="56" t="str">
        <f t="shared" si="8"/>
        <v>Y</v>
      </c>
    </row>
    <row r="38" spans="2:25" ht="29.1" customHeight="1" thickBot="1" x14ac:dyDescent="0.45">
      <c r="B38" s="41">
        <v>28</v>
      </c>
      <c r="C38" s="42" t="str">
        <f>[2]Theory!A52</f>
        <v>2023-IT-65</v>
      </c>
      <c r="D38" s="43" t="str">
        <f>[2]Theory!B52</f>
        <v>Ali Raza</v>
      </c>
      <c r="E38" s="44">
        <f>[2]Theory!D52</f>
        <v>9</v>
      </c>
      <c r="F38" s="45">
        <v>9</v>
      </c>
      <c r="G38" s="45">
        <v>10</v>
      </c>
      <c r="H38" s="46">
        <v>10</v>
      </c>
      <c r="I38" s="47">
        <f>[2]Theory!E52</f>
        <v>29</v>
      </c>
      <c r="J38" s="48">
        <f>[2]Theory!H52</f>
        <v>9</v>
      </c>
      <c r="K38" s="44">
        <f>[2]Theory!F52</f>
        <v>9</v>
      </c>
      <c r="L38" s="49">
        <v>10</v>
      </c>
      <c r="M38" s="49">
        <v>13</v>
      </c>
      <c r="N38" s="49">
        <v>15</v>
      </c>
      <c r="O38" s="50">
        <f>[2]Theory!G52</f>
        <v>38</v>
      </c>
      <c r="P38" s="47">
        <f t="shared" si="2"/>
        <v>94</v>
      </c>
      <c r="Q38" s="51" t="str">
        <f>[2]Theory!J52</f>
        <v>A+</v>
      </c>
      <c r="R38" s="57"/>
      <c r="S38" s="53">
        <f t="shared" si="3"/>
        <v>42</v>
      </c>
      <c r="T38" s="54">
        <f t="shared" si="4"/>
        <v>24</v>
      </c>
      <c r="U38" s="54">
        <f t="shared" si="5"/>
        <v>28</v>
      </c>
      <c r="V38" s="54">
        <f t="shared" si="6"/>
        <v>94.285714285714278</v>
      </c>
      <c r="W38" s="54">
        <f t="shared" si="7"/>
        <v>93.333333333333329</v>
      </c>
      <c r="X38" s="55" t="str">
        <f t="shared" si="8"/>
        <v>Y</v>
      </c>
      <c r="Y38" s="56" t="str">
        <f t="shared" si="8"/>
        <v>Y</v>
      </c>
    </row>
    <row r="39" spans="2:25" ht="29.1" customHeight="1" thickBot="1" x14ac:dyDescent="0.45">
      <c r="B39" s="41">
        <v>29</v>
      </c>
      <c r="C39" s="42" t="str">
        <f>[2]Theory!A53</f>
        <v>2023-IT-67</v>
      </c>
      <c r="D39" s="43" t="str">
        <f>[2]Theory!B53</f>
        <v>Muhammad Hamza Riaz</v>
      </c>
      <c r="E39" s="44">
        <f>[2]Theory!D53</f>
        <v>7</v>
      </c>
      <c r="F39" s="45">
        <v>8</v>
      </c>
      <c r="G39" s="45">
        <v>5</v>
      </c>
      <c r="H39" s="46">
        <v>3</v>
      </c>
      <c r="I39" s="47">
        <f>[2]Theory!E53</f>
        <v>16</v>
      </c>
      <c r="J39" s="48">
        <f>[2]Theory!H53</f>
        <v>7</v>
      </c>
      <c r="K39" s="44">
        <f>[2]Theory!F53</f>
        <v>7</v>
      </c>
      <c r="L39" s="49">
        <v>8</v>
      </c>
      <c r="M39" s="49">
        <v>10</v>
      </c>
      <c r="N39" s="49">
        <v>13</v>
      </c>
      <c r="O39" s="50">
        <f>[2]Theory!G53</f>
        <v>31</v>
      </c>
      <c r="P39" s="47">
        <f t="shared" si="2"/>
        <v>68</v>
      </c>
      <c r="Q39" s="51" t="str">
        <f>[2]Theory!J53</f>
        <v>C+</v>
      </c>
      <c r="R39" s="57"/>
      <c r="S39" s="53">
        <f t="shared" si="3"/>
        <v>25</v>
      </c>
      <c r="T39" s="54">
        <f t="shared" si="4"/>
        <v>20</v>
      </c>
      <c r="U39" s="54">
        <f t="shared" si="5"/>
        <v>23</v>
      </c>
      <c r="V39" s="54">
        <f t="shared" si="6"/>
        <v>64.285714285714292</v>
      </c>
      <c r="W39" s="54">
        <f t="shared" si="7"/>
        <v>76.666666666666671</v>
      </c>
      <c r="X39" s="55" t="str">
        <f t="shared" si="8"/>
        <v>Y</v>
      </c>
      <c r="Y39" s="56" t="str">
        <f t="shared" si="8"/>
        <v>Y</v>
      </c>
    </row>
    <row r="40" spans="2:25" ht="29.1" customHeight="1" thickBot="1" x14ac:dyDescent="0.45">
      <c r="B40" s="41">
        <v>30</v>
      </c>
      <c r="C40" s="42" t="str">
        <f>[2]Theory!A54</f>
        <v>2023-IT-69</v>
      </c>
      <c r="D40" s="43" t="str">
        <f>[2]Theory!B54</f>
        <v>Muhammad Rashid</v>
      </c>
      <c r="E40" s="44">
        <f>[2]Theory!D54</f>
        <v>0</v>
      </c>
      <c r="F40" s="45">
        <v>0</v>
      </c>
      <c r="G40" s="45">
        <v>0</v>
      </c>
      <c r="H40" s="46">
        <v>0</v>
      </c>
      <c r="I40" s="47">
        <f>[2]Theory!E54</f>
        <v>0</v>
      </c>
      <c r="J40" s="48">
        <f>[2]Theory!H54</f>
        <v>0</v>
      </c>
      <c r="K40" s="44">
        <f>[2]Theory!F54</f>
        <v>0</v>
      </c>
      <c r="L40" s="49">
        <v>0</v>
      </c>
      <c r="M40" s="49">
        <v>0</v>
      </c>
      <c r="N40" s="49">
        <v>0</v>
      </c>
      <c r="O40" s="50">
        <f>[2]Theory!G54</f>
        <v>0</v>
      </c>
      <c r="P40" s="47">
        <f t="shared" si="2"/>
        <v>0</v>
      </c>
      <c r="Q40" s="51" t="str">
        <f>[2]Theory!J54</f>
        <v>F</v>
      </c>
      <c r="R40" s="57"/>
      <c r="S40" s="53">
        <f t="shared" si="3"/>
        <v>0</v>
      </c>
      <c r="T40" s="54">
        <f t="shared" si="4"/>
        <v>0</v>
      </c>
      <c r="U40" s="54">
        <f t="shared" si="5"/>
        <v>0</v>
      </c>
      <c r="V40" s="54">
        <f t="shared" si="6"/>
        <v>0</v>
      </c>
      <c r="W40" s="54">
        <f t="shared" si="7"/>
        <v>0</v>
      </c>
      <c r="X40" s="55" t="str">
        <f t="shared" si="8"/>
        <v>N</v>
      </c>
      <c r="Y40" s="56" t="str">
        <f t="shared" si="8"/>
        <v>N</v>
      </c>
    </row>
    <row r="41" spans="2:25" ht="29.1" customHeight="1" thickBot="1" x14ac:dyDescent="0.45">
      <c r="B41" s="41">
        <v>31</v>
      </c>
      <c r="C41" s="42" t="str">
        <f>[2]Theory!A55</f>
        <v>2023-IT-70</v>
      </c>
      <c r="D41" s="43" t="str">
        <f>[2]Theory!B55</f>
        <v>Muhammad Usama</v>
      </c>
      <c r="E41" s="44">
        <f>[2]Theory!D55</f>
        <v>8</v>
      </c>
      <c r="F41" s="45">
        <v>10</v>
      </c>
      <c r="G41" s="45">
        <v>6</v>
      </c>
      <c r="H41" s="46">
        <v>4</v>
      </c>
      <c r="I41" s="47">
        <f>[2]Theory!E55</f>
        <v>20</v>
      </c>
      <c r="J41" s="48">
        <f>[2]Theory!H55</f>
        <v>8</v>
      </c>
      <c r="K41" s="44">
        <f>[2]Theory!F55</f>
        <v>8</v>
      </c>
      <c r="L41" s="49">
        <v>10</v>
      </c>
      <c r="M41" s="49">
        <v>12</v>
      </c>
      <c r="N41" s="49">
        <v>14</v>
      </c>
      <c r="O41" s="50">
        <f>[2]Theory!G55</f>
        <v>36</v>
      </c>
      <c r="P41" s="47">
        <f t="shared" si="2"/>
        <v>80</v>
      </c>
      <c r="Q41" s="51" t="str">
        <f>[2]Theory!J55</f>
        <v>B+</v>
      </c>
      <c r="R41" s="57"/>
      <c r="S41" s="53">
        <f t="shared" si="3"/>
        <v>30</v>
      </c>
      <c r="T41" s="54">
        <f t="shared" si="4"/>
        <v>22</v>
      </c>
      <c r="U41" s="54">
        <f t="shared" si="5"/>
        <v>28</v>
      </c>
      <c r="V41" s="54">
        <f t="shared" si="6"/>
        <v>74.285714285714292</v>
      </c>
      <c r="W41" s="54">
        <f t="shared" si="7"/>
        <v>93.333333333333329</v>
      </c>
      <c r="X41" s="55" t="str">
        <f t="shared" si="8"/>
        <v>Y</v>
      </c>
      <c r="Y41" s="56" t="str">
        <f t="shared" si="8"/>
        <v>Y</v>
      </c>
    </row>
    <row r="42" spans="2:25" ht="29.1" customHeight="1" thickBot="1" x14ac:dyDescent="0.45">
      <c r="B42" s="41">
        <v>32</v>
      </c>
      <c r="C42" s="42" t="str">
        <f>[2]Theory!A56</f>
        <v>2023-IT-71</v>
      </c>
      <c r="D42" s="43" t="str">
        <f>[2]Theory!B56</f>
        <v>Irfan Haiser</v>
      </c>
      <c r="E42" s="44">
        <f>[2]Theory!D56</f>
        <v>0</v>
      </c>
      <c r="F42" s="45">
        <v>0</v>
      </c>
      <c r="G42" s="45">
        <v>0</v>
      </c>
      <c r="H42" s="46">
        <v>0</v>
      </c>
      <c r="I42" s="47">
        <f>[2]Theory!E56</f>
        <v>0</v>
      </c>
      <c r="J42" s="48">
        <f>[2]Theory!H56</f>
        <v>0</v>
      </c>
      <c r="K42" s="44">
        <f>[2]Theory!F56</f>
        <v>0</v>
      </c>
      <c r="L42" s="49">
        <v>0</v>
      </c>
      <c r="M42" s="49">
        <v>0</v>
      </c>
      <c r="N42" s="49">
        <v>0</v>
      </c>
      <c r="O42" s="50">
        <f>[2]Theory!G56</f>
        <v>0</v>
      </c>
      <c r="P42" s="47">
        <f t="shared" si="2"/>
        <v>0</v>
      </c>
      <c r="Q42" s="51" t="str">
        <f>[2]Theory!J56</f>
        <v>F</v>
      </c>
      <c r="R42" s="57"/>
      <c r="S42" s="53">
        <f t="shared" si="3"/>
        <v>0</v>
      </c>
      <c r="T42" s="54">
        <f t="shared" si="4"/>
        <v>0</v>
      </c>
      <c r="U42" s="54">
        <f t="shared" si="5"/>
        <v>0</v>
      </c>
      <c r="V42" s="54">
        <f t="shared" si="6"/>
        <v>0</v>
      </c>
      <c r="W42" s="54">
        <f t="shared" si="7"/>
        <v>0</v>
      </c>
      <c r="X42" s="55" t="str">
        <f t="shared" si="8"/>
        <v>N</v>
      </c>
      <c r="Y42" s="56" t="str">
        <f t="shared" si="8"/>
        <v>N</v>
      </c>
    </row>
    <row r="43" spans="2:25" ht="29.1" customHeight="1" thickBot="1" x14ac:dyDescent="0.45">
      <c r="B43" s="41">
        <v>33</v>
      </c>
      <c r="C43" s="42" t="str">
        <f>[2]Theory!A57</f>
        <v>2023-IT-73</v>
      </c>
      <c r="D43" s="43" t="str">
        <f>[2]Theory!B57</f>
        <v xml:space="preserve">Muhammad Mohsin </v>
      </c>
      <c r="E43" s="44">
        <f>[2]Theory!D57</f>
        <v>8</v>
      </c>
      <c r="F43" s="45">
        <v>10</v>
      </c>
      <c r="G43" s="45">
        <v>5</v>
      </c>
      <c r="H43" s="46">
        <v>10</v>
      </c>
      <c r="I43" s="47">
        <f>[2]Theory!E57</f>
        <v>25</v>
      </c>
      <c r="J43" s="48">
        <f>[2]Theory!H57</f>
        <v>8</v>
      </c>
      <c r="K43" s="44">
        <f>[2]Theory!F57</f>
        <v>8</v>
      </c>
      <c r="L43" s="49">
        <v>10</v>
      </c>
      <c r="M43" s="49">
        <v>12</v>
      </c>
      <c r="N43" s="49">
        <v>14</v>
      </c>
      <c r="O43" s="50">
        <f>[2]Theory!G57</f>
        <v>36</v>
      </c>
      <c r="P43" s="47">
        <f t="shared" si="2"/>
        <v>85</v>
      </c>
      <c r="Q43" s="51" t="str">
        <f>[2]Theory!J57</f>
        <v>A-</v>
      </c>
      <c r="R43" s="57"/>
      <c r="S43" s="53">
        <f t="shared" si="3"/>
        <v>35</v>
      </c>
      <c r="T43" s="54">
        <f t="shared" si="4"/>
        <v>22</v>
      </c>
      <c r="U43" s="54">
        <f t="shared" si="5"/>
        <v>28</v>
      </c>
      <c r="V43" s="54">
        <f t="shared" si="6"/>
        <v>81.428571428571431</v>
      </c>
      <c r="W43" s="54">
        <f t="shared" si="7"/>
        <v>93.333333333333329</v>
      </c>
      <c r="X43" s="55" t="str">
        <f t="shared" si="8"/>
        <v>Y</v>
      </c>
      <c r="Y43" s="56" t="str">
        <f t="shared" si="8"/>
        <v>Y</v>
      </c>
    </row>
    <row r="44" spans="2:25" ht="29.1" customHeight="1" thickBot="1" x14ac:dyDescent="0.45">
      <c r="B44" s="41">
        <v>34</v>
      </c>
      <c r="C44" s="42" t="str">
        <f>[2]Theory!A58</f>
        <v>2023-IT-75</v>
      </c>
      <c r="D44" s="43" t="str">
        <f>[2]Theory!B58</f>
        <v>Muhammad Nadeem</v>
      </c>
      <c r="E44" s="44">
        <f>[2]Theory!D58</f>
        <v>9</v>
      </c>
      <c r="F44" s="45">
        <v>10</v>
      </c>
      <c r="G44" s="45">
        <v>8</v>
      </c>
      <c r="H44" s="46">
        <v>7</v>
      </c>
      <c r="I44" s="47">
        <f>[2]Theory!E58</f>
        <v>25</v>
      </c>
      <c r="J44" s="48">
        <f>[2]Theory!H58</f>
        <v>8</v>
      </c>
      <c r="K44" s="44">
        <f>[2]Theory!F58</f>
        <v>7</v>
      </c>
      <c r="L44" s="49">
        <v>8</v>
      </c>
      <c r="M44" s="49">
        <v>12</v>
      </c>
      <c r="N44" s="49">
        <v>13</v>
      </c>
      <c r="O44" s="50">
        <f>[2]Theory!G58</f>
        <v>33</v>
      </c>
      <c r="P44" s="47">
        <f t="shared" si="2"/>
        <v>82</v>
      </c>
      <c r="Q44" s="51" t="str">
        <f>[2]Theory!J58</f>
        <v>B+</v>
      </c>
      <c r="R44" s="57"/>
      <c r="S44" s="53">
        <f t="shared" si="3"/>
        <v>34</v>
      </c>
      <c r="T44" s="54">
        <f t="shared" si="4"/>
        <v>21</v>
      </c>
      <c r="U44" s="54">
        <f t="shared" si="5"/>
        <v>27</v>
      </c>
      <c r="V44" s="54">
        <f t="shared" si="6"/>
        <v>78.571428571428569</v>
      </c>
      <c r="W44" s="54">
        <f t="shared" si="7"/>
        <v>90</v>
      </c>
      <c r="X44" s="55" t="str">
        <f t="shared" si="8"/>
        <v>Y</v>
      </c>
      <c r="Y44" s="56" t="str">
        <f t="shared" si="8"/>
        <v>Y</v>
      </c>
    </row>
    <row r="45" spans="2:25" ht="29.1" customHeight="1" thickBot="1" x14ac:dyDescent="0.45">
      <c r="B45" s="41">
        <v>35</v>
      </c>
      <c r="C45" s="42" t="str">
        <f>[2]Theory!A59</f>
        <v>2023-IT-77</v>
      </c>
      <c r="D45" s="43" t="str">
        <f>[2]Theory!B59</f>
        <v>Taha Aslam</v>
      </c>
      <c r="E45" s="44">
        <f>[2]Theory!D59</f>
        <v>9</v>
      </c>
      <c r="F45" s="45">
        <v>8</v>
      </c>
      <c r="G45" s="45">
        <v>8</v>
      </c>
      <c r="H45" s="46">
        <v>6</v>
      </c>
      <c r="I45" s="47">
        <f>[2]Theory!E59</f>
        <v>22</v>
      </c>
      <c r="J45" s="48">
        <f>[2]Theory!H59</f>
        <v>9</v>
      </c>
      <c r="K45" s="44">
        <f>[2]Theory!F59</f>
        <v>7</v>
      </c>
      <c r="L45" s="49">
        <v>9</v>
      </c>
      <c r="M45" s="49">
        <v>10</v>
      </c>
      <c r="N45" s="49">
        <v>14</v>
      </c>
      <c r="O45" s="50">
        <f>[2]Theory!G59</f>
        <v>33</v>
      </c>
      <c r="P45" s="47">
        <f t="shared" si="2"/>
        <v>80</v>
      </c>
      <c r="Q45" s="51" t="str">
        <f>[2]Theory!J59</f>
        <v>B+</v>
      </c>
      <c r="R45" s="57"/>
      <c r="S45" s="53">
        <f t="shared" si="3"/>
        <v>31</v>
      </c>
      <c r="T45" s="54">
        <f t="shared" si="4"/>
        <v>23</v>
      </c>
      <c r="U45" s="54">
        <f t="shared" si="5"/>
        <v>26</v>
      </c>
      <c r="V45" s="54">
        <f t="shared" si="6"/>
        <v>77.142857142857153</v>
      </c>
      <c r="W45" s="54">
        <f t="shared" si="7"/>
        <v>86.666666666666671</v>
      </c>
      <c r="X45" s="55" t="str">
        <f t="shared" si="8"/>
        <v>Y</v>
      </c>
      <c r="Y45" s="56" t="str">
        <f t="shared" si="8"/>
        <v>Y</v>
      </c>
    </row>
    <row r="46" spans="2:25" ht="29.1" customHeight="1" thickBot="1" x14ac:dyDescent="0.45">
      <c r="B46" s="41">
        <v>36</v>
      </c>
      <c r="C46" s="42" t="str">
        <f>[2]Theory!A60</f>
        <v>2023-IT-81</v>
      </c>
      <c r="D46" s="43" t="str">
        <f>[2]Theory!B60</f>
        <v>Muhammad Bilal Imtiaz</v>
      </c>
      <c r="E46" s="44">
        <f>[2]Theory!D60</f>
        <v>8</v>
      </c>
      <c r="F46" s="45">
        <v>9</v>
      </c>
      <c r="G46" s="45">
        <v>6</v>
      </c>
      <c r="H46" s="46">
        <v>10</v>
      </c>
      <c r="I46" s="47">
        <f>[2]Theory!E60</f>
        <v>25</v>
      </c>
      <c r="J46" s="48">
        <f>[2]Theory!H60</f>
        <v>0</v>
      </c>
      <c r="K46" s="44">
        <f>[2]Theory!F60</f>
        <v>0</v>
      </c>
      <c r="L46" s="49">
        <v>0</v>
      </c>
      <c r="M46" s="49">
        <v>0</v>
      </c>
      <c r="N46" s="49">
        <v>0</v>
      </c>
      <c r="O46" s="50">
        <f>[2]Theory!G60</f>
        <v>0</v>
      </c>
      <c r="P46" s="47">
        <f t="shared" si="2"/>
        <v>33</v>
      </c>
      <c r="Q46" s="51" t="str">
        <f>[2]Theory!J60</f>
        <v>F</v>
      </c>
      <c r="R46" s="57"/>
      <c r="S46" s="53">
        <f t="shared" si="3"/>
        <v>16</v>
      </c>
      <c r="T46" s="54">
        <f t="shared" si="4"/>
        <v>0</v>
      </c>
      <c r="U46" s="54">
        <f t="shared" si="5"/>
        <v>17</v>
      </c>
      <c r="V46" s="54">
        <f t="shared" si="6"/>
        <v>22.857142857142858</v>
      </c>
      <c r="W46" s="54">
        <f t="shared" si="7"/>
        <v>56.666666666666664</v>
      </c>
      <c r="X46" s="55" t="str">
        <f t="shared" si="8"/>
        <v>N</v>
      </c>
      <c r="Y46" s="56" t="str">
        <f t="shared" si="8"/>
        <v>Y</v>
      </c>
    </row>
    <row r="47" spans="2:25" ht="29.1" customHeight="1" thickBot="1" x14ac:dyDescent="0.45">
      <c r="B47" s="41">
        <v>37</v>
      </c>
      <c r="C47" s="42" t="str">
        <f>[2]Theory!A61</f>
        <v>2023-IT-82</v>
      </c>
      <c r="D47" s="43" t="str">
        <f>[2]Theory!B61</f>
        <v>Muhammad Umer</v>
      </c>
      <c r="E47" s="44">
        <f>[2]Theory!D61</f>
        <v>8</v>
      </c>
      <c r="F47" s="45">
        <v>10</v>
      </c>
      <c r="G47" s="45">
        <v>6</v>
      </c>
      <c r="H47" s="46">
        <v>7</v>
      </c>
      <c r="I47" s="47">
        <f>[2]Theory!E61</f>
        <v>23</v>
      </c>
      <c r="J47" s="48">
        <f>[2]Theory!H61</f>
        <v>8</v>
      </c>
      <c r="K47" s="44">
        <f>[2]Theory!F61</f>
        <v>7</v>
      </c>
      <c r="L47" s="49">
        <v>10</v>
      </c>
      <c r="M47" s="49">
        <v>12</v>
      </c>
      <c r="N47" s="49">
        <v>16</v>
      </c>
      <c r="O47" s="50">
        <f>[2]Theory!G61</f>
        <v>38</v>
      </c>
      <c r="P47" s="47">
        <f t="shared" si="2"/>
        <v>84</v>
      </c>
      <c r="Q47" s="51" t="str">
        <f>[2]Theory!J61</f>
        <v>B+</v>
      </c>
      <c r="R47" s="57"/>
      <c r="S47" s="53">
        <f t="shared" si="3"/>
        <v>32</v>
      </c>
      <c r="T47" s="54">
        <f t="shared" si="4"/>
        <v>24</v>
      </c>
      <c r="U47" s="54">
        <f t="shared" si="5"/>
        <v>28</v>
      </c>
      <c r="V47" s="54">
        <f t="shared" si="6"/>
        <v>80</v>
      </c>
      <c r="W47" s="54">
        <f t="shared" si="7"/>
        <v>93.333333333333329</v>
      </c>
      <c r="X47" s="55" t="str">
        <f t="shared" si="8"/>
        <v>Y</v>
      </c>
      <c r="Y47" s="56" t="str">
        <f t="shared" si="8"/>
        <v>Y</v>
      </c>
    </row>
    <row r="48" spans="2:25" ht="29.1" customHeight="1" thickBot="1" x14ac:dyDescent="0.45">
      <c r="B48" s="41">
        <v>38</v>
      </c>
      <c r="C48" s="42"/>
      <c r="D48" s="43"/>
      <c r="E48" s="44"/>
      <c r="F48" s="45"/>
      <c r="G48" s="45"/>
      <c r="H48" s="46"/>
      <c r="I48" s="47"/>
      <c r="J48" s="48"/>
      <c r="K48" s="44"/>
      <c r="L48" s="49"/>
      <c r="M48" s="49"/>
      <c r="N48" s="49"/>
      <c r="O48" s="50"/>
      <c r="P48" s="47"/>
      <c r="Q48" s="51"/>
      <c r="R48" s="57"/>
      <c r="S48" s="53"/>
      <c r="T48" s="54"/>
      <c r="U48" s="54"/>
      <c r="V48" s="54"/>
      <c r="W48" s="54"/>
      <c r="X48" s="55"/>
      <c r="Y48" s="56"/>
    </row>
    <row r="49" spans="2:25" ht="29.1" customHeight="1" thickBot="1" x14ac:dyDescent="0.45">
      <c r="B49" s="41">
        <v>39</v>
      </c>
      <c r="C49" s="42"/>
      <c r="D49" s="43"/>
      <c r="E49" s="44"/>
      <c r="F49" s="45"/>
      <c r="G49" s="45"/>
      <c r="H49" s="46"/>
      <c r="I49" s="47"/>
      <c r="J49" s="48"/>
      <c r="K49" s="44"/>
      <c r="L49" s="49"/>
      <c r="M49" s="49"/>
      <c r="N49" s="49"/>
      <c r="O49" s="50"/>
      <c r="P49" s="47"/>
      <c r="Q49" s="51"/>
      <c r="R49" s="57"/>
      <c r="S49" s="53"/>
      <c r="T49" s="54"/>
      <c r="U49" s="54"/>
      <c r="V49" s="54"/>
      <c r="W49" s="54"/>
      <c r="X49" s="55"/>
      <c r="Y49" s="56"/>
    </row>
    <row r="50" spans="2:25" ht="29.1" customHeight="1" thickBot="1" x14ac:dyDescent="0.45">
      <c r="B50" s="41">
        <v>40</v>
      </c>
      <c r="C50" s="42"/>
      <c r="D50" s="43"/>
      <c r="E50" s="44"/>
      <c r="F50" s="45"/>
      <c r="G50" s="45"/>
      <c r="H50" s="46"/>
      <c r="I50" s="47"/>
      <c r="J50" s="48"/>
      <c r="K50" s="44"/>
      <c r="L50" s="49"/>
      <c r="M50" s="49"/>
      <c r="N50" s="49"/>
      <c r="O50" s="50"/>
      <c r="P50" s="47"/>
      <c r="Q50" s="51"/>
      <c r="R50" s="57"/>
      <c r="S50" s="53"/>
      <c r="T50" s="54"/>
      <c r="U50" s="54"/>
      <c r="V50" s="54"/>
      <c r="W50" s="54"/>
      <c r="X50" s="55"/>
      <c r="Y50" s="56"/>
    </row>
    <row r="51" spans="2:25" ht="29.1" customHeight="1" thickBot="1" x14ac:dyDescent="0.45">
      <c r="B51" s="41">
        <v>41</v>
      </c>
      <c r="C51" s="42"/>
      <c r="D51" s="43"/>
      <c r="E51" s="44"/>
      <c r="F51" s="45"/>
      <c r="G51" s="45"/>
      <c r="H51" s="46"/>
      <c r="I51" s="47"/>
      <c r="J51" s="48"/>
      <c r="K51" s="44"/>
      <c r="L51" s="49"/>
      <c r="M51" s="49"/>
      <c r="N51" s="49"/>
      <c r="O51" s="50"/>
      <c r="P51" s="47"/>
      <c r="Q51" s="51"/>
      <c r="R51" s="57"/>
      <c r="S51" s="53"/>
      <c r="T51" s="54"/>
      <c r="U51" s="54"/>
      <c r="V51" s="54"/>
      <c r="W51" s="54"/>
      <c r="X51" s="55"/>
      <c r="Y51" s="56"/>
    </row>
    <row r="52" spans="2:25" ht="29.1" customHeight="1" thickBot="1" x14ac:dyDescent="0.45">
      <c r="B52" s="41">
        <v>42</v>
      </c>
      <c r="C52" s="42"/>
      <c r="D52" s="43"/>
      <c r="E52" s="44"/>
      <c r="F52" s="45"/>
      <c r="G52" s="45"/>
      <c r="H52" s="46"/>
      <c r="I52" s="47"/>
      <c r="J52" s="48"/>
      <c r="K52" s="44"/>
      <c r="L52" s="49"/>
      <c r="M52" s="49"/>
      <c r="N52" s="49"/>
      <c r="O52" s="50"/>
      <c r="P52" s="47"/>
      <c r="Q52" s="51"/>
      <c r="R52" s="57"/>
      <c r="S52" s="53"/>
      <c r="T52" s="54"/>
      <c r="U52" s="54"/>
      <c r="V52" s="54"/>
      <c r="W52" s="54"/>
      <c r="X52" s="55"/>
      <c r="Y52" s="56"/>
    </row>
    <row r="53" spans="2:25" ht="29.1" customHeight="1" thickBot="1" x14ac:dyDescent="0.45">
      <c r="B53" s="41">
        <v>43</v>
      </c>
      <c r="C53" s="42"/>
      <c r="D53" s="43"/>
      <c r="E53" s="44"/>
      <c r="F53" s="45"/>
      <c r="G53" s="45"/>
      <c r="H53" s="46"/>
      <c r="I53" s="47"/>
      <c r="J53" s="48"/>
      <c r="K53" s="44"/>
      <c r="L53" s="49"/>
      <c r="M53" s="49"/>
      <c r="N53" s="49"/>
      <c r="O53" s="50"/>
      <c r="P53" s="47"/>
      <c r="Q53" s="51"/>
      <c r="R53" s="57"/>
      <c r="S53" s="53"/>
      <c r="T53" s="54"/>
      <c r="U53" s="54"/>
      <c r="V53" s="54"/>
      <c r="W53" s="54"/>
      <c r="X53" s="55"/>
      <c r="Y53" s="56"/>
    </row>
    <row r="54" spans="2:25" ht="29.1" customHeight="1" thickBot="1" x14ac:dyDescent="0.45">
      <c r="B54" s="41">
        <v>44</v>
      </c>
      <c r="C54" s="42"/>
      <c r="D54" s="43"/>
      <c r="E54" s="44"/>
      <c r="F54" s="45"/>
      <c r="G54" s="45"/>
      <c r="H54" s="46"/>
      <c r="I54" s="47"/>
      <c r="J54" s="48"/>
      <c r="K54" s="44"/>
      <c r="L54" s="49"/>
      <c r="M54" s="49"/>
      <c r="N54" s="49"/>
      <c r="O54" s="50"/>
      <c r="P54" s="47"/>
      <c r="Q54" s="51"/>
      <c r="R54" s="57"/>
      <c r="S54" s="53"/>
      <c r="T54" s="54"/>
      <c r="U54" s="54"/>
      <c r="V54" s="54"/>
      <c r="W54" s="54"/>
      <c r="X54" s="55"/>
      <c r="Y54" s="56"/>
    </row>
    <row r="55" spans="2:25" ht="28.5" customHeight="1" x14ac:dyDescent="0.4">
      <c r="B55" s="41"/>
      <c r="C55" s="42"/>
      <c r="D55" s="43"/>
      <c r="E55" s="44"/>
      <c r="F55" s="45"/>
      <c r="G55" s="45"/>
      <c r="H55" s="46"/>
      <c r="I55" s="47"/>
      <c r="J55" s="48"/>
      <c r="K55" s="44"/>
      <c r="L55" s="49"/>
      <c r="M55" s="49"/>
      <c r="N55" s="49"/>
      <c r="O55" s="50"/>
      <c r="P55" s="47"/>
      <c r="Q55" s="51"/>
      <c r="R55" s="57"/>
      <c r="S55" s="53"/>
      <c r="T55" s="54"/>
      <c r="U55" s="54"/>
      <c r="V55" s="54"/>
      <c r="W55" s="54"/>
      <c r="X55" s="55"/>
      <c r="Y55" s="56"/>
    </row>
    <row r="56" spans="2:25" ht="26.25" x14ac:dyDescent="0.25">
      <c r="B56" s="58"/>
      <c r="C56" s="59"/>
      <c r="D56" s="59"/>
      <c r="E56" s="59"/>
      <c r="F56" s="59"/>
      <c r="G56" s="60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2:25" x14ac:dyDescent="0.3">
      <c r="B57" s="373" t="s">
        <v>30</v>
      </c>
      <c r="C57" s="373"/>
      <c r="D57" s="373"/>
      <c r="E57" s="61"/>
      <c r="F57" s="61"/>
      <c r="G57" s="61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2:25" x14ac:dyDescent="0.3">
      <c r="B58" s="374" t="str">
        <f>D64</f>
        <v>Zain ul abdeen</v>
      </c>
      <c r="C58" s="374"/>
      <c r="D58" s="374"/>
      <c r="E58" s="63"/>
      <c r="F58" s="62" t="s">
        <v>32</v>
      </c>
      <c r="G58" s="6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61" spans="2:25" ht="42" customHeight="1" x14ac:dyDescent="0.25"/>
    <row r="62" spans="2:25" ht="24.95" customHeight="1" x14ac:dyDescent="0.25">
      <c r="B62" s="375" t="str">
        <f>B1</f>
        <v>MNS - UNIVERSITY OF ENGINEERING AND TECHNOLOGY MULTAN</v>
      </c>
      <c r="C62" s="375"/>
      <c r="D62" s="375"/>
      <c r="E62" s="375"/>
      <c r="F62" s="375"/>
      <c r="G62" s="375"/>
      <c r="H62" s="375"/>
      <c r="I62" s="375"/>
    </row>
    <row r="63" spans="2:25" ht="25.5" customHeight="1" x14ac:dyDescent="0.25">
      <c r="B63" s="359" t="str">
        <f>E3</f>
        <v>Title (Code):  Discrete Structure (IT-113</v>
      </c>
      <c r="C63" s="360"/>
      <c r="D63" s="363" t="str">
        <f>S1</f>
        <v>Fall 2023</v>
      </c>
      <c r="E63" s="363"/>
      <c r="F63" s="363"/>
      <c r="G63" s="363"/>
      <c r="H63" s="363"/>
      <c r="I63" s="363"/>
    </row>
    <row r="64" spans="2:25" ht="34.5" customHeight="1" x14ac:dyDescent="0.25">
      <c r="B64" s="361"/>
      <c r="C64" s="362"/>
      <c r="D64" s="363" t="str">
        <f>W1</f>
        <v>Zain ul abdeen</v>
      </c>
      <c r="E64" s="363"/>
      <c r="F64" s="363"/>
      <c r="G64" s="363"/>
      <c r="H64" s="363"/>
      <c r="I64" s="363"/>
    </row>
    <row r="65" spans="2:9" ht="25.5" x14ac:dyDescent="0.25">
      <c r="B65" s="379" t="s">
        <v>33</v>
      </c>
      <c r="C65" s="379"/>
      <c r="D65" s="379"/>
      <c r="E65" s="379"/>
      <c r="F65" s="379"/>
      <c r="G65" s="379"/>
      <c r="H65" s="379"/>
      <c r="I65" s="379"/>
    </row>
    <row r="66" spans="2:9" x14ac:dyDescent="0.25">
      <c r="B66" s="380"/>
      <c r="C66" s="380"/>
      <c r="D66" s="380"/>
      <c r="E66" s="380"/>
      <c r="F66" s="380"/>
      <c r="G66" s="380"/>
      <c r="H66" s="380"/>
      <c r="I66" s="380"/>
    </row>
    <row r="68" spans="2:9" x14ac:dyDescent="0.25">
      <c r="B68" s="1"/>
      <c r="C68" s="1"/>
      <c r="D68" s="317" t="s">
        <v>34</v>
      </c>
      <c r="E68" s="317"/>
      <c r="F68" s="317"/>
      <c r="G68" s="317"/>
      <c r="H68" s="317"/>
      <c r="I68" s="317"/>
    </row>
    <row r="69" spans="2:9" ht="20.25" customHeight="1" x14ac:dyDescent="0.25">
      <c r="B69" s="1" t="s">
        <v>25</v>
      </c>
      <c r="C69" s="1" t="s">
        <v>35</v>
      </c>
      <c r="D69" s="1" t="s">
        <v>36</v>
      </c>
      <c r="E69" s="66"/>
      <c r="F69" s="381" t="s">
        <v>37</v>
      </c>
      <c r="G69" s="315"/>
      <c r="H69" s="315"/>
      <c r="I69" s="316"/>
    </row>
    <row r="70" spans="2:9" x14ac:dyDescent="0.25">
      <c r="B70" s="58">
        <v>1</v>
      </c>
      <c r="C70" s="58">
        <f>S6</f>
        <v>2</v>
      </c>
      <c r="D70" s="58">
        <f>COUNTIF($X$11:$X$55,X10)</f>
        <v>30</v>
      </c>
      <c r="E70" s="67"/>
      <c r="F70" s="376">
        <f>COUNTIF($X$11:$X$55,Y10)</f>
        <v>7</v>
      </c>
      <c r="G70" s="377"/>
      <c r="H70" s="377"/>
      <c r="I70" s="378"/>
    </row>
    <row r="71" spans="2:9" x14ac:dyDescent="0.25">
      <c r="B71" s="58">
        <v>3</v>
      </c>
      <c r="C71" s="58">
        <f>U6</f>
        <v>3</v>
      </c>
      <c r="D71" s="58">
        <f>COUNTIF($Y$11:$Y$55,X10)</f>
        <v>33</v>
      </c>
      <c r="E71" s="67"/>
      <c r="F71" s="376">
        <f>COUNTIF($Y$11:$Y$55,Y10)</f>
        <v>4</v>
      </c>
      <c r="G71" s="377"/>
      <c r="H71" s="377"/>
      <c r="I71" s="378"/>
    </row>
    <row r="100" spans="3:3" x14ac:dyDescent="0.25">
      <c r="C100" s="2" t="s">
        <v>38</v>
      </c>
    </row>
  </sheetData>
  <mergeCells count="39">
    <mergeCell ref="F71:I71"/>
    <mergeCell ref="F10:Q10"/>
    <mergeCell ref="V10:W10"/>
    <mergeCell ref="B57:D57"/>
    <mergeCell ref="B58:D58"/>
    <mergeCell ref="B62:I62"/>
    <mergeCell ref="B63:C64"/>
    <mergeCell ref="D63:I63"/>
    <mergeCell ref="D64:I64"/>
    <mergeCell ref="B65:I65"/>
    <mergeCell ref="B66:I66"/>
    <mergeCell ref="D68:I68"/>
    <mergeCell ref="F69:I69"/>
    <mergeCell ref="F70:I70"/>
    <mergeCell ref="B5:D5"/>
    <mergeCell ref="F5:I5"/>
    <mergeCell ref="V5:W7"/>
    <mergeCell ref="X5:Y7"/>
    <mergeCell ref="B6:D6"/>
    <mergeCell ref="B7:D7"/>
    <mergeCell ref="R7:R10"/>
    <mergeCell ref="S8:U8"/>
    <mergeCell ref="V8:W8"/>
    <mergeCell ref="X8:Y8"/>
    <mergeCell ref="B3:D3"/>
    <mergeCell ref="E3:Q3"/>
    <mergeCell ref="R3:Y3"/>
    <mergeCell ref="B4:D4"/>
    <mergeCell ref="F4:I4"/>
    <mergeCell ref="L4:O4"/>
    <mergeCell ref="R4:Y4"/>
    <mergeCell ref="B2:H2"/>
    <mergeCell ref="I2:Q2"/>
    <mergeCell ref="R2:Y2"/>
    <mergeCell ref="B1:K1"/>
    <mergeCell ref="L1:O1"/>
    <mergeCell ref="P1:R1"/>
    <mergeCell ref="S1:V1"/>
    <mergeCell ref="W1:Y1"/>
  </mergeCells>
  <pageMargins left="0" right="0" top="0" bottom="0" header="0.31496062992125984" footer="0.31496062992125984"/>
  <pageSetup scale="3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886E-CDB9-4339-9CF8-21D87C703D0C}">
  <sheetPr>
    <pageSetUpPr fitToPage="1"/>
  </sheetPr>
  <dimension ref="B1:AA101"/>
  <sheetViews>
    <sheetView topLeftCell="C1" zoomScale="41" zoomScaleNormal="41" zoomScalePageLayoutView="22" workbookViewId="0">
      <pane ySplit="9" topLeftCell="A10" activePane="bottomLeft" state="frozen"/>
      <selection activeCell="B1" sqref="B1"/>
      <selection pane="bottomLeft" activeCell="V11" sqref="V11"/>
    </sheetView>
  </sheetViews>
  <sheetFormatPr defaultColWidth="9.140625" defaultRowHeight="20.25" x14ac:dyDescent="0.25"/>
  <cols>
    <col min="1" max="1" width="7.7109375" style="2" customWidth="1"/>
    <col min="2" max="2" width="11.140625" style="64" customWidth="1"/>
    <col min="3" max="3" width="63.28515625" style="2" customWidth="1"/>
    <col min="4" max="4" width="49.140625" style="2" customWidth="1"/>
    <col min="5" max="5" width="21.7109375" style="2" customWidth="1"/>
    <col min="6" max="7" width="14.42578125" style="2" customWidth="1"/>
    <col min="8" max="8" width="15" style="2" customWidth="1"/>
    <col min="9" max="9" width="15.28515625" style="2" customWidth="1"/>
    <col min="10" max="10" width="22.85546875" style="2" customWidth="1"/>
    <col min="11" max="11" width="24.5703125" style="2" customWidth="1"/>
    <col min="12" max="13" width="18" style="2" customWidth="1"/>
    <col min="14" max="14" width="11.7109375" style="2" customWidth="1"/>
    <col min="15" max="15" width="19.85546875" style="2" customWidth="1"/>
    <col min="16" max="16" width="12.7109375" style="2" customWidth="1"/>
    <col min="17" max="17" width="18.28515625" style="2" customWidth="1"/>
    <col min="18" max="18" width="15.42578125" style="2" bestFit="1" customWidth="1"/>
    <col min="19" max="20" width="9.140625" style="2" customWidth="1"/>
    <col min="21" max="21" width="10.42578125" style="2" customWidth="1"/>
    <col min="22" max="22" width="9.140625" style="2" customWidth="1"/>
    <col min="23" max="23" width="11.140625" style="2" customWidth="1"/>
    <col min="24" max="24" width="11.85546875" style="2" customWidth="1"/>
    <col min="25" max="25" width="9.140625" style="2" customWidth="1"/>
    <col min="26" max="26" width="13.140625" style="2" customWidth="1"/>
    <col min="27" max="27" width="14.7109375" style="2" customWidth="1"/>
    <col min="28" max="16384" width="9.140625" style="2"/>
  </cols>
  <sheetData>
    <row r="1" spans="2:27" ht="51" customHeight="1" x14ac:dyDescent="0.25">
      <c r="B1" s="313" t="str">
        <f>[3]Theory!A1</f>
        <v>MNS - UNIVERSITY OF ENGINEERING AND TECHNOLOGY MULTAN</v>
      </c>
      <c r="C1" s="314"/>
      <c r="D1" s="314"/>
      <c r="E1" s="314"/>
      <c r="F1" s="314"/>
      <c r="G1" s="314"/>
      <c r="H1" s="314"/>
      <c r="I1" s="314"/>
      <c r="J1" s="314"/>
      <c r="K1" s="314"/>
      <c r="L1" s="315" t="str">
        <f>[3]Theory!B4</f>
        <v>Fall-2023-2027 (Evening-A)</v>
      </c>
      <c r="M1" s="315"/>
      <c r="N1" s="315"/>
      <c r="O1" s="316"/>
      <c r="P1" s="317" t="str">
        <f>[3]Theory!H3</f>
        <v>1st  Semester</v>
      </c>
      <c r="Q1" s="317"/>
      <c r="R1" s="317"/>
      <c r="S1" s="317" t="str">
        <f>[3]Theory!H4</f>
        <v>Fall 2023</v>
      </c>
      <c r="T1" s="317"/>
      <c r="U1" s="317"/>
      <c r="V1" s="317"/>
      <c r="W1" s="317"/>
      <c r="X1" s="317" t="str">
        <f>[3]Theory!H5</f>
        <v>Muhammad Aamir</v>
      </c>
      <c r="Y1" s="317"/>
      <c r="Z1" s="317"/>
      <c r="AA1" s="317"/>
    </row>
    <row r="2" spans="2:27" ht="32.1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 t="str">
        <f>[3]Theory!B3</f>
        <v>BS Information Technology</v>
      </c>
      <c r="J2" s="308"/>
      <c r="K2" s="308"/>
      <c r="L2" s="308"/>
      <c r="M2" s="308"/>
      <c r="N2" s="308"/>
      <c r="O2" s="308"/>
      <c r="P2" s="308"/>
      <c r="Q2" s="309"/>
      <c r="R2" s="310" t="s">
        <v>1</v>
      </c>
      <c r="S2" s="311"/>
      <c r="T2" s="311"/>
      <c r="U2" s="311"/>
      <c r="V2" s="311"/>
      <c r="W2" s="311"/>
      <c r="X2" s="311"/>
      <c r="Y2" s="311"/>
      <c r="Z2" s="311"/>
      <c r="AA2" s="312"/>
    </row>
    <row r="3" spans="2:27" ht="32.1" customHeight="1" thickBot="1" x14ac:dyDescent="0.3">
      <c r="B3" s="318" t="s">
        <v>2</v>
      </c>
      <c r="C3" s="319"/>
      <c r="D3" s="319"/>
      <c r="E3" s="320" t="str">
        <f>[3]Theory!B5</f>
        <v>Title (Code):   Calculus and Analytical Geometry (MTH-114)</v>
      </c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2"/>
      <c r="R3" s="323"/>
      <c r="S3" s="324"/>
      <c r="T3" s="324"/>
      <c r="U3" s="324"/>
      <c r="V3" s="324"/>
      <c r="W3" s="324"/>
      <c r="X3" s="324"/>
      <c r="Y3" s="324"/>
      <c r="Z3" s="324"/>
      <c r="AA3" s="325"/>
    </row>
    <row r="4" spans="2:27" ht="59.25" customHeight="1" thickBot="1" x14ac:dyDescent="0.3">
      <c r="B4" s="326" t="s">
        <v>3</v>
      </c>
      <c r="C4" s="327"/>
      <c r="D4" s="328"/>
      <c r="E4" s="5" t="s">
        <v>4</v>
      </c>
      <c r="F4" s="329" t="s">
        <v>5</v>
      </c>
      <c r="G4" s="330"/>
      <c r="H4" s="330"/>
      <c r="I4" s="331"/>
      <c r="J4" s="5" t="s">
        <v>6</v>
      </c>
      <c r="K4" s="6" t="s">
        <v>7</v>
      </c>
      <c r="L4" s="329" t="s">
        <v>8</v>
      </c>
      <c r="M4" s="330"/>
      <c r="N4" s="330"/>
      <c r="O4" s="331"/>
      <c r="P4" s="7" t="s">
        <v>9</v>
      </c>
      <c r="Q4" s="8" t="s">
        <v>10</v>
      </c>
      <c r="R4" s="332" t="s">
        <v>11</v>
      </c>
      <c r="S4" s="333"/>
      <c r="T4" s="333"/>
      <c r="U4" s="333"/>
      <c r="V4" s="333"/>
      <c r="W4" s="333"/>
      <c r="X4" s="333"/>
      <c r="Y4" s="333"/>
      <c r="Z4" s="333"/>
      <c r="AA4" s="334"/>
    </row>
    <row r="5" spans="2:27" ht="50.25" customHeight="1" thickBot="1" x14ac:dyDescent="0.3">
      <c r="B5" s="364" t="s">
        <v>12</v>
      </c>
      <c r="C5" s="365"/>
      <c r="D5" s="366"/>
      <c r="E5" s="9">
        <v>10</v>
      </c>
      <c r="F5" s="367">
        <v>30</v>
      </c>
      <c r="G5" s="368"/>
      <c r="H5" s="369"/>
      <c r="I5" s="370"/>
      <c r="J5" s="9">
        <v>10</v>
      </c>
      <c r="K5" s="9">
        <v>10</v>
      </c>
      <c r="L5" s="10">
        <v>16</v>
      </c>
      <c r="M5" s="10">
        <v>14</v>
      </c>
      <c r="N5" s="10">
        <v>10</v>
      </c>
      <c r="O5" s="9">
        <v>40</v>
      </c>
      <c r="P5" s="9">
        <f>SUM(E5:N5)</f>
        <v>100</v>
      </c>
      <c r="Q5" s="11"/>
      <c r="R5" s="12" t="s">
        <v>13</v>
      </c>
      <c r="S5" s="13">
        <v>1</v>
      </c>
      <c r="T5" s="14">
        <v>2</v>
      </c>
      <c r="U5" s="14"/>
      <c r="V5" s="335"/>
      <c r="W5" s="336"/>
      <c r="X5" s="337"/>
      <c r="Y5" s="335"/>
      <c r="Z5" s="336"/>
      <c r="AA5" s="344"/>
    </row>
    <row r="6" spans="2:27" ht="56.25" customHeight="1" thickBot="1" x14ac:dyDescent="0.3">
      <c r="B6" s="347" t="s">
        <v>14</v>
      </c>
      <c r="C6" s="348"/>
      <c r="D6" s="349"/>
      <c r="E6" s="15" t="s">
        <v>15</v>
      </c>
      <c r="F6" s="15" t="s">
        <v>16</v>
      </c>
      <c r="G6" s="15" t="s">
        <v>17</v>
      </c>
      <c r="H6" s="15" t="s">
        <v>18</v>
      </c>
      <c r="I6" s="15" t="s">
        <v>9</v>
      </c>
      <c r="J6" s="15" t="s">
        <v>16</v>
      </c>
      <c r="K6" s="15" t="s">
        <v>16</v>
      </c>
      <c r="L6" s="15" t="s">
        <v>16</v>
      </c>
      <c r="M6" s="15" t="s">
        <v>17</v>
      </c>
      <c r="N6" s="15" t="s">
        <v>18</v>
      </c>
      <c r="O6" s="15" t="s">
        <v>9</v>
      </c>
      <c r="P6" s="16"/>
      <c r="Q6" s="17"/>
      <c r="R6" s="12" t="s">
        <v>19</v>
      </c>
      <c r="S6" s="13">
        <v>2</v>
      </c>
      <c r="T6" s="14">
        <v>3</v>
      </c>
      <c r="U6" s="14"/>
      <c r="V6" s="338"/>
      <c r="W6" s="339"/>
      <c r="X6" s="340"/>
      <c r="Y6" s="338"/>
      <c r="Z6" s="339"/>
      <c r="AA6" s="345"/>
    </row>
    <row r="7" spans="2:27" ht="32.1" customHeight="1" thickBot="1" x14ac:dyDescent="0.3">
      <c r="B7" s="347" t="s">
        <v>20</v>
      </c>
      <c r="C7" s="348"/>
      <c r="D7" s="349"/>
      <c r="E7" s="18">
        <v>10</v>
      </c>
      <c r="F7" s="15">
        <v>10</v>
      </c>
      <c r="G7" s="15">
        <v>10</v>
      </c>
      <c r="H7" s="15">
        <v>10</v>
      </c>
      <c r="I7" s="15">
        <f>F7+G7+H7</f>
        <v>30</v>
      </c>
      <c r="J7" s="15">
        <v>10</v>
      </c>
      <c r="K7" s="15">
        <v>10</v>
      </c>
      <c r="L7" s="15">
        <v>10</v>
      </c>
      <c r="M7" s="15">
        <v>14</v>
      </c>
      <c r="N7" s="15">
        <v>16</v>
      </c>
      <c r="O7" s="18">
        <v>40</v>
      </c>
      <c r="P7" s="15">
        <f>SUM(E7:H7,J7:N7)</f>
        <v>100</v>
      </c>
      <c r="Q7" s="17"/>
      <c r="R7" s="350"/>
      <c r="S7" s="13">
        <v>56</v>
      </c>
      <c r="T7" s="14">
        <f>G7+H7+K7+M7</f>
        <v>44</v>
      </c>
      <c r="U7" s="14"/>
      <c r="V7" s="341"/>
      <c r="W7" s="342"/>
      <c r="X7" s="343"/>
      <c r="Y7" s="341"/>
      <c r="Z7" s="342"/>
      <c r="AA7" s="346"/>
    </row>
    <row r="8" spans="2:27" ht="69" customHeight="1" thickBot="1" x14ac:dyDescent="0.3">
      <c r="B8" s="19"/>
      <c r="C8" s="20"/>
      <c r="D8" s="21" t="s">
        <v>21</v>
      </c>
      <c r="E8" s="22">
        <f t="shared" ref="E8:O8" si="0">E7*0.5</f>
        <v>5</v>
      </c>
      <c r="F8" s="22">
        <f t="shared" si="0"/>
        <v>5</v>
      </c>
      <c r="G8" s="22">
        <f t="shared" si="0"/>
        <v>5</v>
      </c>
      <c r="H8" s="22">
        <f t="shared" si="0"/>
        <v>5</v>
      </c>
      <c r="I8" s="22">
        <f t="shared" si="0"/>
        <v>15</v>
      </c>
      <c r="J8" s="22">
        <f t="shared" si="0"/>
        <v>5</v>
      </c>
      <c r="K8" s="22">
        <f t="shared" si="0"/>
        <v>5</v>
      </c>
      <c r="L8" s="22">
        <f t="shared" si="0"/>
        <v>5</v>
      </c>
      <c r="M8" s="22">
        <f t="shared" si="0"/>
        <v>7</v>
      </c>
      <c r="N8" s="22">
        <f t="shared" si="0"/>
        <v>8</v>
      </c>
      <c r="O8" s="22">
        <f t="shared" si="0"/>
        <v>20</v>
      </c>
      <c r="P8" s="23">
        <f>SUM(E8:H8)+SUM(J8:J8)+SUM(K8:N8)</f>
        <v>50</v>
      </c>
      <c r="Q8" s="17"/>
      <c r="R8" s="351"/>
      <c r="S8" s="353" t="s">
        <v>22</v>
      </c>
      <c r="T8" s="354"/>
      <c r="U8" s="354"/>
      <c r="V8" s="355" t="s">
        <v>23</v>
      </c>
      <c r="W8" s="355"/>
      <c r="X8" s="355"/>
      <c r="Y8" s="356" t="s">
        <v>23</v>
      </c>
      <c r="Z8" s="357"/>
      <c r="AA8" s="358"/>
    </row>
    <row r="9" spans="2:27" ht="42.75" customHeight="1" thickBot="1" x14ac:dyDescent="0.3">
      <c r="B9" s="24"/>
      <c r="C9" s="25"/>
      <c r="D9" s="26" t="s">
        <v>24</v>
      </c>
      <c r="E9" s="27">
        <v>1</v>
      </c>
      <c r="F9" s="28">
        <v>1</v>
      </c>
      <c r="G9" s="28">
        <v>2</v>
      </c>
      <c r="H9" s="28">
        <v>2</v>
      </c>
      <c r="I9" s="22"/>
      <c r="J9" s="29">
        <v>1</v>
      </c>
      <c r="K9" s="29">
        <v>2</v>
      </c>
      <c r="L9" s="29">
        <v>1</v>
      </c>
      <c r="M9" s="29">
        <v>2</v>
      </c>
      <c r="N9" s="29">
        <v>1</v>
      </c>
      <c r="O9" s="27"/>
      <c r="P9" s="29"/>
      <c r="Q9" s="17"/>
      <c r="R9" s="351"/>
      <c r="S9" s="30">
        <f>S5</f>
        <v>1</v>
      </c>
      <c r="T9" s="14">
        <f>T5</f>
        <v>2</v>
      </c>
      <c r="U9" s="14">
        <v>3</v>
      </c>
      <c r="V9" s="14">
        <v>2</v>
      </c>
      <c r="W9" s="14">
        <v>3</v>
      </c>
      <c r="X9" s="31"/>
      <c r="Y9" s="31">
        <f>S6</f>
        <v>2</v>
      </c>
      <c r="Z9" s="14">
        <f>T6</f>
        <v>3</v>
      </c>
      <c r="AA9" s="32"/>
    </row>
    <row r="10" spans="2:27" ht="43.5" customHeight="1" thickBot="1" x14ac:dyDescent="0.3">
      <c r="B10" s="33" t="s">
        <v>25</v>
      </c>
      <c r="C10" s="34" t="s">
        <v>26</v>
      </c>
      <c r="D10" s="35" t="s">
        <v>27</v>
      </c>
      <c r="E10" s="36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2"/>
      <c r="R10" s="352"/>
      <c r="S10" s="37"/>
      <c r="T10" s="38"/>
      <c r="U10" s="38"/>
      <c r="V10" s="356"/>
      <c r="W10" s="357"/>
      <c r="X10" s="357"/>
      <c r="Y10" s="39" t="s">
        <v>28</v>
      </c>
      <c r="Z10" s="39" t="s">
        <v>29</v>
      </c>
      <c r="AA10" s="40"/>
    </row>
    <row r="11" spans="2:27" ht="29.1" customHeight="1" thickBot="1" x14ac:dyDescent="0.45">
      <c r="B11" s="41">
        <v>1</v>
      </c>
      <c r="C11" s="42" t="str">
        <f>[3]Theory!A25</f>
        <v>2023-IT-01</v>
      </c>
      <c r="D11" s="43" t="str">
        <f>[3]Theory!B25</f>
        <v>Rahma Noor</v>
      </c>
      <c r="E11" s="44">
        <f>[3]Theory!D25</f>
        <v>3</v>
      </c>
      <c r="F11" s="45">
        <v>10</v>
      </c>
      <c r="G11" s="45">
        <v>6</v>
      </c>
      <c r="H11" s="46">
        <v>8</v>
      </c>
      <c r="I11" s="47">
        <f>[3]Theory!E25</f>
        <v>24</v>
      </c>
      <c r="J11" s="48">
        <f>[3]Theory!H25</f>
        <v>10</v>
      </c>
      <c r="K11" s="44">
        <f>[3]Theory!F25</f>
        <v>8</v>
      </c>
      <c r="L11" s="49">
        <v>5</v>
      </c>
      <c r="M11" s="49">
        <v>12</v>
      </c>
      <c r="N11" s="49">
        <v>14</v>
      </c>
      <c r="O11" s="50">
        <f>[3]Theory!G25</f>
        <v>31</v>
      </c>
      <c r="P11" s="47">
        <f>E11+I11+J11+K11+O11</f>
        <v>76</v>
      </c>
      <c r="Q11" s="51" t="str">
        <f>[3]Theory!J25</f>
        <v>A-</v>
      </c>
      <c r="R11" s="52"/>
      <c r="S11" s="53">
        <f>E11+F11+L11+J11+N11</f>
        <v>42</v>
      </c>
      <c r="T11" s="54">
        <f>G11+H11+K11+M11</f>
        <v>34</v>
      </c>
      <c r="U11" s="54"/>
      <c r="V11" s="54">
        <f>((S11/$S$7)*100)</f>
        <v>75</v>
      </c>
      <c r="W11" s="54">
        <f>((T11/$T$7)*100)</f>
        <v>77.272727272727266</v>
      </c>
      <c r="X11" s="54"/>
      <c r="Y11" s="55" t="str">
        <f>IF(V11&gt;=50,"Y","N")</f>
        <v>Y</v>
      </c>
      <c r="Z11" s="55" t="str">
        <f>IF(W11&gt;=50,"Y","N")</f>
        <v>Y</v>
      </c>
      <c r="AA11" s="56"/>
    </row>
    <row r="12" spans="2:27" ht="29.1" customHeight="1" thickBot="1" x14ac:dyDescent="0.45">
      <c r="B12" s="41">
        <v>2</v>
      </c>
      <c r="C12" s="42" t="str">
        <f>[3]Theory!A26</f>
        <v>2023-IT-02</v>
      </c>
      <c r="D12" s="43" t="str">
        <f>[3]Theory!B26</f>
        <v>Alishba Manzoor</v>
      </c>
      <c r="E12" s="44">
        <f>[3]Theory!D26</f>
        <v>8</v>
      </c>
      <c r="F12" s="45">
        <v>8</v>
      </c>
      <c r="G12" s="45">
        <v>5</v>
      </c>
      <c r="H12" s="46">
        <v>6</v>
      </c>
      <c r="I12" s="47">
        <f>[3]Theory!E26</f>
        <v>19</v>
      </c>
      <c r="J12" s="48">
        <f>[3]Theory!H26</f>
        <v>10</v>
      </c>
      <c r="K12" s="44">
        <f>[3]Theory!F26</f>
        <v>8</v>
      </c>
      <c r="L12" s="49">
        <v>3</v>
      </c>
      <c r="M12" s="49">
        <v>4</v>
      </c>
      <c r="N12" s="49">
        <v>7</v>
      </c>
      <c r="O12" s="50">
        <f>[3]Theory!G26</f>
        <v>14</v>
      </c>
      <c r="P12" s="47">
        <f t="shared" ref="P12:P54" si="1">E12+I12+J12+K12+O12</f>
        <v>59</v>
      </c>
      <c r="Q12" s="51" t="str">
        <f>[3]Theory!J26</f>
        <v>B</v>
      </c>
      <c r="R12" s="57"/>
      <c r="S12" s="53">
        <f t="shared" ref="S12:S54" si="2">E12+F12+L12+J12+N12</f>
        <v>36</v>
      </c>
      <c r="T12" s="54">
        <f t="shared" ref="T12:T54" si="3">G12+H12+K12+M12</f>
        <v>23</v>
      </c>
      <c r="U12" s="54"/>
      <c r="V12" s="54">
        <f t="shared" ref="V12:V54" si="4">((S12/$S$7)*100)</f>
        <v>64.285714285714292</v>
      </c>
      <c r="W12" s="54">
        <f t="shared" ref="W12:W54" si="5">((T12/$T$7)*100)</f>
        <v>52.272727272727273</v>
      </c>
      <c r="X12" s="54"/>
      <c r="Y12" s="55" t="str">
        <f t="shared" ref="Y12:Z54" si="6">IF(V12&gt;=50,"Y","N")</f>
        <v>Y</v>
      </c>
      <c r="Z12" s="55" t="str">
        <f t="shared" si="6"/>
        <v>Y</v>
      </c>
      <c r="AA12" s="56"/>
    </row>
    <row r="13" spans="2:27" ht="29.1" customHeight="1" thickBot="1" x14ac:dyDescent="0.45">
      <c r="B13" s="41">
        <v>3</v>
      </c>
      <c r="C13" s="42" t="str">
        <f>[3]Theory!A27</f>
        <v>2023-IT-03</v>
      </c>
      <c r="D13" s="43" t="str">
        <f>[3]Theory!B27</f>
        <v>Maheen Fatima</v>
      </c>
      <c r="E13" s="44">
        <f>[3]Theory!D27</f>
        <v>6</v>
      </c>
      <c r="F13" s="45">
        <v>8</v>
      </c>
      <c r="G13" s="45">
        <v>8</v>
      </c>
      <c r="H13" s="46">
        <v>7</v>
      </c>
      <c r="I13" s="47">
        <f>[3]Theory!E27</f>
        <v>23</v>
      </c>
      <c r="J13" s="48">
        <f>[3]Theory!H27</f>
        <v>8</v>
      </c>
      <c r="K13" s="44">
        <f>[3]Theory!F27</f>
        <v>8</v>
      </c>
      <c r="L13" s="49">
        <v>4</v>
      </c>
      <c r="M13" s="49">
        <v>8</v>
      </c>
      <c r="N13" s="49">
        <v>6</v>
      </c>
      <c r="O13" s="50">
        <f>[3]Theory!G27</f>
        <v>18</v>
      </c>
      <c r="P13" s="47">
        <f t="shared" si="1"/>
        <v>63</v>
      </c>
      <c r="Q13" s="51" t="str">
        <f>[3]Theory!J27</f>
        <v>B+</v>
      </c>
      <c r="R13" s="57"/>
      <c r="S13" s="53">
        <f t="shared" si="2"/>
        <v>32</v>
      </c>
      <c r="T13" s="54">
        <f t="shared" si="3"/>
        <v>31</v>
      </c>
      <c r="U13" s="54"/>
      <c r="V13" s="54">
        <f t="shared" si="4"/>
        <v>57.142857142857139</v>
      </c>
      <c r="W13" s="54">
        <f t="shared" si="5"/>
        <v>70.454545454545453</v>
      </c>
      <c r="X13" s="54"/>
      <c r="Y13" s="55" t="str">
        <f t="shared" si="6"/>
        <v>Y</v>
      </c>
      <c r="Z13" s="55" t="str">
        <f t="shared" si="6"/>
        <v>Y</v>
      </c>
      <c r="AA13" s="56"/>
    </row>
    <row r="14" spans="2:27" ht="29.1" customHeight="1" thickBot="1" x14ac:dyDescent="0.45">
      <c r="B14" s="41">
        <v>4</v>
      </c>
      <c r="C14" s="42" t="str">
        <f>[3]Theory!A28</f>
        <v>2023-IT-04</v>
      </c>
      <c r="D14" s="43" t="str">
        <f>[3]Theory!B28</f>
        <v>Aneela</v>
      </c>
      <c r="E14" s="44">
        <f>[3]Theory!D28</f>
        <v>6</v>
      </c>
      <c r="F14" s="45">
        <v>8</v>
      </c>
      <c r="G14" s="45">
        <v>6</v>
      </c>
      <c r="H14" s="46">
        <v>7</v>
      </c>
      <c r="I14" s="47">
        <f>[3]Theory!E28</f>
        <v>22</v>
      </c>
      <c r="J14" s="48">
        <f>[3]Theory!H28</f>
        <v>8</v>
      </c>
      <c r="K14" s="44">
        <f>[3]Theory!F28</f>
        <v>0</v>
      </c>
      <c r="L14" s="49">
        <v>3</v>
      </c>
      <c r="M14" s="49">
        <v>11</v>
      </c>
      <c r="N14" s="49">
        <v>8</v>
      </c>
      <c r="O14" s="50">
        <f>[3]Theory!G28</f>
        <v>22</v>
      </c>
      <c r="P14" s="47">
        <f t="shared" si="1"/>
        <v>58</v>
      </c>
      <c r="Q14" s="51" t="str">
        <f>[3]Theory!J28</f>
        <v>B</v>
      </c>
      <c r="R14" s="57"/>
      <c r="S14" s="53">
        <f t="shared" si="2"/>
        <v>33</v>
      </c>
      <c r="T14" s="54">
        <f t="shared" si="3"/>
        <v>24</v>
      </c>
      <c r="U14" s="54"/>
      <c r="V14" s="54">
        <f t="shared" si="4"/>
        <v>58.928571428571431</v>
      </c>
      <c r="W14" s="54">
        <f t="shared" si="5"/>
        <v>54.54545454545454</v>
      </c>
      <c r="X14" s="54"/>
      <c r="Y14" s="55" t="str">
        <f t="shared" si="6"/>
        <v>Y</v>
      </c>
      <c r="Z14" s="55" t="str">
        <f t="shared" si="6"/>
        <v>Y</v>
      </c>
      <c r="AA14" s="56"/>
    </row>
    <row r="15" spans="2:27" ht="29.1" customHeight="1" thickBot="1" x14ac:dyDescent="0.45">
      <c r="B15" s="41">
        <v>5</v>
      </c>
      <c r="C15" s="42" t="str">
        <f>[3]Theory!A29</f>
        <v>2023-IT-05</v>
      </c>
      <c r="D15" s="43" t="str">
        <f>[3]Theory!B29</f>
        <v>Alishba Saleem</v>
      </c>
      <c r="E15" s="44">
        <f>[3]Theory!D29</f>
        <v>3</v>
      </c>
      <c r="F15" s="45">
        <v>10</v>
      </c>
      <c r="G15" s="45">
        <v>5</v>
      </c>
      <c r="H15" s="46">
        <v>6</v>
      </c>
      <c r="I15" s="47">
        <f>[3]Theory!E29</f>
        <v>21</v>
      </c>
      <c r="J15" s="48">
        <f>[3]Theory!H29</f>
        <v>8</v>
      </c>
      <c r="K15" s="44">
        <f>[3]Theory!F29</f>
        <v>9</v>
      </c>
      <c r="L15" s="49">
        <v>5</v>
      </c>
      <c r="M15" s="49">
        <v>8</v>
      </c>
      <c r="N15" s="49">
        <v>10</v>
      </c>
      <c r="O15" s="50">
        <f>[3]Theory!G29</f>
        <v>23</v>
      </c>
      <c r="P15" s="47">
        <f t="shared" si="1"/>
        <v>64</v>
      </c>
      <c r="Q15" s="51" t="str">
        <f>[3]Theory!J29</f>
        <v>B+</v>
      </c>
      <c r="R15" s="57"/>
      <c r="S15" s="53">
        <f t="shared" si="2"/>
        <v>36</v>
      </c>
      <c r="T15" s="54">
        <f t="shared" si="3"/>
        <v>28</v>
      </c>
      <c r="U15" s="54"/>
      <c r="V15" s="54">
        <f t="shared" si="4"/>
        <v>64.285714285714292</v>
      </c>
      <c r="W15" s="54">
        <f t="shared" si="5"/>
        <v>63.636363636363633</v>
      </c>
      <c r="X15" s="54"/>
      <c r="Y15" s="55" t="str">
        <f t="shared" si="6"/>
        <v>Y</v>
      </c>
      <c r="Z15" s="55" t="str">
        <f t="shared" si="6"/>
        <v>Y</v>
      </c>
      <c r="AA15" s="56"/>
    </row>
    <row r="16" spans="2:27" ht="29.1" customHeight="1" thickBot="1" x14ac:dyDescent="0.45">
      <c r="B16" s="41">
        <v>6</v>
      </c>
      <c r="C16" s="42" t="str">
        <f>[3]Theory!A30</f>
        <v>2023-IT-06</v>
      </c>
      <c r="D16" s="43" t="str">
        <f>[3]Theory!B30</f>
        <v>Mehak Asghar</v>
      </c>
      <c r="E16" s="44">
        <f>[3]Theory!D30</f>
        <v>10</v>
      </c>
      <c r="F16" s="45">
        <v>7</v>
      </c>
      <c r="G16" s="45">
        <v>10</v>
      </c>
      <c r="H16" s="46">
        <v>10</v>
      </c>
      <c r="I16" s="47">
        <f>[3]Theory!E30</f>
        <v>27</v>
      </c>
      <c r="J16" s="48">
        <f>[3]Theory!H30</f>
        <v>8</v>
      </c>
      <c r="K16" s="44">
        <f>[3]Theory!F30</f>
        <v>9</v>
      </c>
      <c r="L16" s="49">
        <v>5</v>
      </c>
      <c r="M16" s="49">
        <v>10</v>
      </c>
      <c r="N16" s="49">
        <v>15</v>
      </c>
      <c r="O16" s="50">
        <f>[3]Theory!G30</f>
        <v>30</v>
      </c>
      <c r="P16" s="47">
        <f t="shared" si="1"/>
        <v>84</v>
      </c>
      <c r="Q16" s="51" t="str">
        <f>[3]Theory!J30</f>
        <v>A</v>
      </c>
      <c r="R16" s="57"/>
      <c r="S16" s="53">
        <f t="shared" si="2"/>
        <v>45</v>
      </c>
      <c r="T16" s="54">
        <f t="shared" si="3"/>
        <v>39</v>
      </c>
      <c r="U16" s="54"/>
      <c r="V16" s="54">
        <f t="shared" si="4"/>
        <v>80.357142857142861</v>
      </c>
      <c r="W16" s="54">
        <f t="shared" si="5"/>
        <v>88.63636363636364</v>
      </c>
      <c r="X16" s="54"/>
      <c r="Y16" s="55" t="str">
        <f t="shared" si="6"/>
        <v>Y</v>
      </c>
      <c r="Z16" s="55" t="str">
        <f t="shared" si="6"/>
        <v>Y</v>
      </c>
      <c r="AA16" s="56"/>
    </row>
    <row r="17" spans="2:27" ht="29.1" customHeight="1" thickBot="1" x14ac:dyDescent="0.45">
      <c r="B17" s="41">
        <v>7</v>
      </c>
      <c r="C17" s="42" t="str">
        <f>[3]Theory!A31</f>
        <v>2023-IT-07</v>
      </c>
      <c r="D17" s="43" t="str">
        <f>[3]Theory!B31</f>
        <v>Humaira Afzal</v>
      </c>
      <c r="E17" s="44">
        <f>[3]Theory!D31</f>
        <v>4</v>
      </c>
      <c r="F17" s="45">
        <v>10</v>
      </c>
      <c r="G17" s="45">
        <v>6</v>
      </c>
      <c r="H17" s="46">
        <v>6</v>
      </c>
      <c r="I17" s="47">
        <f>[3]Theory!E31</f>
        <v>22</v>
      </c>
      <c r="J17" s="48">
        <f>[3]Theory!H31</f>
        <v>8</v>
      </c>
      <c r="K17" s="44">
        <f>[3]Theory!F31</f>
        <v>9</v>
      </c>
      <c r="L17" s="49">
        <v>5</v>
      </c>
      <c r="M17" s="49">
        <v>8</v>
      </c>
      <c r="N17" s="49">
        <v>10</v>
      </c>
      <c r="O17" s="50">
        <f>[3]Theory!G31</f>
        <v>23</v>
      </c>
      <c r="P17" s="47">
        <f t="shared" si="1"/>
        <v>66</v>
      </c>
      <c r="Q17" s="51" t="str">
        <f>[3]Theory!J31</f>
        <v>B+</v>
      </c>
      <c r="R17" s="57"/>
      <c r="S17" s="53">
        <f t="shared" si="2"/>
        <v>37</v>
      </c>
      <c r="T17" s="54">
        <f t="shared" si="3"/>
        <v>29</v>
      </c>
      <c r="U17" s="54"/>
      <c r="V17" s="54">
        <f t="shared" si="4"/>
        <v>66.071428571428569</v>
      </c>
      <c r="W17" s="54">
        <f t="shared" si="5"/>
        <v>65.909090909090907</v>
      </c>
      <c r="X17" s="54"/>
      <c r="Y17" s="55" t="str">
        <f t="shared" si="6"/>
        <v>Y</v>
      </c>
      <c r="Z17" s="55" t="str">
        <f t="shared" si="6"/>
        <v>Y</v>
      </c>
      <c r="AA17" s="56"/>
    </row>
    <row r="18" spans="2:27" ht="29.1" customHeight="1" thickBot="1" x14ac:dyDescent="0.45">
      <c r="B18" s="41">
        <v>8</v>
      </c>
      <c r="C18" s="42" t="str">
        <f>[3]Theory!A32</f>
        <v>2023-IT-08</v>
      </c>
      <c r="D18" s="43" t="str">
        <f>[3]Theory!B32</f>
        <v>Saleena Khan</v>
      </c>
      <c r="E18" s="44">
        <f>[3]Theory!D32</f>
        <v>0</v>
      </c>
      <c r="F18" s="45">
        <v>0</v>
      </c>
      <c r="G18" s="45">
        <v>0</v>
      </c>
      <c r="H18" s="46">
        <v>0</v>
      </c>
      <c r="I18" s="47">
        <f>[3]Theory!E32</f>
        <v>0</v>
      </c>
      <c r="J18" s="48">
        <f>[3]Theory!H32</f>
        <v>0</v>
      </c>
      <c r="K18" s="44">
        <f>[3]Theory!F32</f>
        <v>0</v>
      </c>
      <c r="L18" s="49">
        <v>0</v>
      </c>
      <c r="M18" s="49">
        <v>0</v>
      </c>
      <c r="N18" s="49">
        <v>0</v>
      </c>
      <c r="O18" s="50">
        <f>[3]Theory!G32</f>
        <v>0</v>
      </c>
      <c r="P18" s="47">
        <f t="shared" si="1"/>
        <v>0</v>
      </c>
      <c r="Q18" s="51" t="str">
        <f>[3]Theory!J32</f>
        <v>F</v>
      </c>
      <c r="R18" s="57"/>
      <c r="S18" s="53">
        <f t="shared" si="2"/>
        <v>0</v>
      </c>
      <c r="T18" s="54">
        <f t="shared" si="3"/>
        <v>0</v>
      </c>
      <c r="U18" s="54"/>
      <c r="V18" s="54">
        <f t="shared" si="4"/>
        <v>0</v>
      </c>
      <c r="W18" s="54">
        <f t="shared" si="5"/>
        <v>0</v>
      </c>
      <c r="X18" s="54"/>
      <c r="Y18" s="55" t="str">
        <f t="shared" si="6"/>
        <v>N</v>
      </c>
      <c r="Z18" s="55" t="str">
        <f t="shared" si="6"/>
        <v>N</v>
      </c>
      <c r="AA18" s="56"/>
    </row>
    <row r="19" spans="2:27" ht="29.1" customHeight="1" thickBot="1" x14ac:dyDescent="0.45">
      <c r="B19" s="41">
        <v>9</v>
      </c>
      <c r="C19" s="42" t="str">
        <f>[3]Theory!A33</f>
        <v>2023-IT-10</v>
      </c>
      <c r="D19" s="43" t="str">
        <f>[3]Theory!B33</f>
        <v>Asad Ullah</v>
      </c>
      <c r="E19" s="44">
        <f>[3]Theory!D33</f>
        <v>4</v>
      </c>
      <c r="F19" s="45">
        <v>4</v>
      </c>
      <c r="G19" s="45">
        <v>2</v>
      </c>
      <c r="H19" s="46">
        <v>1</v>
      </c>
      <c r="I19" s="47">
        <f>[3]Theory!E33</f>
        <v>7</v>
      </c>
      <c r="J19" s="48">
        <f>[3]Theory!H33</f>
        <v>9</v>
      </c>
      <c r="K19" s="44">
        <f>[3]Theory!F33</f>
        <v>6</v>
      </c>
      <c r="L19" s="49">
        <v>7</v>
      </c>
      <c r="M19" s="49">
        <v>2</v>
      </c>
      <c r="N19" s="49">
        <v>0</v>
      </c>
      <c r="O19" s="50">
        <f>[3]Theory!G33</f>
        <v>9</v>
      </c>
      <c r="P19" s="47">
        <f t="shared" si="1"/>
        <v>35</v>
      </c>
      <c r="Q19" s="51" t="str">
        <f>[3]Theory!J33</f>
        <v>D</v>
      </c>
      <c r="R19" s="57"/>
      <c r="S19" s="53">
        <f t="shared" si="2"/>
        <v>24</v>
      </c>
      <c r="T19" s="54">
        <f t="shared" si="3"/>
        <v>11</v>
      </c>
      <c r="U19" s="54"/>
      <c r="V19" s="54">
        <f t="shared" si="4"/>
        <v>42.857142857142854</v>
      </c>
      <c r="W19" s="54">
        <f t="shared" si="5"/>
        <v>25</v>
      </c>
      <c r="X19" s="54"/>
      <c r="Y19" s="55" t="str">
        <f t="shared" si="6"/>
        <v>N</v>
      </c>
      <c r="Z19" s="55" t="str">
        <f t="shared" si="6"/>
        <v>N</v>
      </c>
      <c r="AA19" s="56"/>
    </row>
    <row r="20" spans="2:27" ht="29.1" customHeight="1" thickBot="1" x14ac:dyDescent="0.45">
      <c r="B20" s="41">
        <v>10</v>
      </c>
      <c r="C20" s="42" t="str">
        <f>[3]Theory!A34</f>
        <v>2023-IT-11</v>
      </c>
      <c r="D20" s="43" t="str">
        <f>[3]Theory!B34</f>
        <v>Rana Talha dawood</v>
      </c>
      <c r="E20" s="44">
        <f>[3]Theory!D34</f>
        <v>6</v>
      </c>
      <c r="F20" s="45">
        <v>4</v>
      </c>
      <c r="G20" s="45">
        <v>4</v>
      </c>
      <c r="H20" s="46">
        <v>3</v>
      </c>
      <c r="I20" s="47">
        <f>[3]Theory!E34</f>
        <v>11</v>
      </c>
      <c r="J20" s="48">
        <f>[3]Theory!H34</f>
        <v>8</v>
      </c>
      <c r="K20" s="44">
        <f>[3]Theory!F34</f>
        <v>8</v>
      </c>
      <c r="L20" s="49">
        <v>7</v>
      </c>
      <c r="M20" s="49">
        <v>10</v>
      </c>
      <c r="N20" s="49">
        <v>10</v>
      </c>
      <c r="O20" s="50">
        <f>[3]Theory!G34</f>
        <v>27</v>
      </c>
      <c r="P20" s="47">
        <f t="shared" si="1"/>
        <v>60</v>
      </c>
      <c r="Q20" s="51" t="str">
        <f>[3]Theory!J34</f>
        <v>B</v>
      </c>
      <c r="R20" s="57"/>
      <c r="S20" s="53">
        <f t="shared" si="2"/>
        <v>35</v>
      </c>
      <c r="T20" s="54">
        <f t="shared" si="3"/>
        <v>25</v>
      </c>
      <c r="U20" s="54"/>
      <c r="V20" s="54">
        <f t="shared" si="4"/>
        <v>62.5</v>
      </c>
      <c r="W20" s="54">
        <f t="shared" si="5"/>
        <v>56.81818181818182</v>
      </c>
      <c r="X20" s="54"/>
      <c r="Y20" s="55" t="str">
        <f t="shared" si="6"/>
        <v>Y</v>
      </c>
      <c r="Z20" s="55" t="str">
        <f t="shared" si="6"/>
        <v>Y</v>
      </c>
      <c r="AA20" s="56"/>
    </row>
    <row r="21" spans="2:27" ht="29.1" customHeight="1" thickBot="1" x14ac:dyDescent="0.45">
      <c r="B21" s="41">
        <v>11</v>
      </c>
      <c r="C21" s="42" t="str">
        <f>[3]Theory!A35</f>
        <v>2023-IT-12</v>
      </c>
      <c r="D21" s="43" t="str">
        <f>[3]Theory!B35</f>
        <v>Ali Ahmad</v>
      </c>
      <c r="E21" s="44">
        <f>[3]Theory!D35</f>
        <v>3</v>
      </c>
      <c r="F21" s="45">
        <v>8</v>
      </c>
      <c r="G21" s="45">
        <v>5</v>
      </c>
      <c r="H21" s="46">
        <v>4</v>
      </c>
      <c r="I21" s="47">
        <f>[3]Theory!E35</f>
        <v>17</v>
      </c>
      <c r="J21" s="48">
        <f>[3]Theory!H35</f>
        <v>7</v>
      </c>
      <c r="K21" s="44">
        <f>[3]Theory!F35</f>
        <v>7</v>
      </c>
      <c r="L21" s="49">
        <v>4</v>
      </c>
      <c r="M21" s="49">
        <v>8</v>
      </c>
      <c r="N21" s="49">
        <v>12</v>
      </c>
      <c r="O21" s="50">
        <f>[3]Theory!G35</f>
        <v>24</v>
      </c>
      <c r="P21" s="47">
        <f t="shared" si="1"/>
        <v>58</v>
      </c>
      <c r="Q21" s="51" t="str">
        <f>[3]Theory!J35</f>
        <v>B</v>
      </c>
      <c r="R21" s="57"/>
      <c r="S21" s="53">
        <f t="shared" si="2"/>
        <v>34</v>
      </c>
      <c r="T21" s="54">
        <f t="shared" si="3"/>
        <v>24</v>
      </c>
      <c r="U21" s="54"/>
      <c r="V21" s="54">
        <f t="shared" si="4"/>
        <v>60.714285714285708</v>
      </c>
      <c r="W21" s="54">
        <f t="shared" si="5"/>
        <v>54.54545454545454</v>
      </c>
      <c r="X21" s="54"/>
      <c r="Y21" s="55" t="str">
        <f t="shared" si="6"/>
        <v>Y</v>
      </c>
      <c r="Z21" s="55" t="str">
        <f t="shared" si="6"/>
        <v>Y</v>
      </c>
      <c r="AA21" s="56"/>
    </row>
    <row r="22" spans="2:27" ht="29.1" customHeight="1" thickBot="1" x14ac:dyDescent="0.45">
      <c r="B22" s="41">
        <v>12</v>
      </c>
      <c r="C22" s="42" t="str">
        <f>[3]Theory!A36</f>
        <v>2023-IT-13</v>
      </c>
      <c r="D22" s="43" t="str">
        <f>[3]Theory!B36</f>
        <v>Muhammad Daud</v>
      </c>
      <c r="E22" s="44">
        <f>[3]Theory!D36</f>
        <v>7</v>
      </c>
      <c r="F22" s="45">
        <v>3</v>
      </c>
      <c r="G22" s="45">
        <v>4</v>
      </c>
      <c r="H22" s="46">
        <v>3</v>
      </c>
      <c r="I22" s="47">
        <f>[3]Theory!E36</f>
        <v>10</v>
      </c>
      <c r="J22" s="48">
        <f>[3]Theory!H36</f>
        <v>9</v>
      </c>
      <c r="K22" s="44">
        <f>[3]Theory!F36</f>
        <v>7</v>
      </c>
      <c r="L22" s="49">
        <v>5</v>
      </c>
      <c r="M22" s="49">
        <v>6</v>
      </c>
      <c r="N22" s="49">
        <v>2</v>
      </c>
      <c r="O22" s="50">
        <f>[3]Theory!G36</f>
        <v>13</v>
      </c>
      <c r="P22" s="47">
        <f t="shared" si="1"/>
        <v>46</v>
      </c>
      <c r="Q22" s="51" t="str">
        <f>[3]Theory!J36</f>
        <v>C</v>
      </c>
      <c r="R22" s="57"/>
      <c r="S22" s="53">
        <f t="shared" si="2"/>
        <v>26</v>
      </c>
      <c r="T22" s="54">
        <f t="shared" si="3"/>
        <v>20</v>
      </c>
      <c r="U22" s="54"/>
      <c r="V22" s="54">
        <f t="shared" si="4"/>
        <v>46.428571428571431</v>
      </c>
      <c r="W22" s="54">
        <f t="shared" si="5"/>
        <v>45.454545454545453</v>
      </c>
      <c r="X22" s="54"/>
      <c r="Y22" s="55" t="str">
        <f t="shared" si="6"/>
        <v>N</v>
      </c>
      <c r="Z22" s="55" t="str">
        <f t="shared" si="6"/>
        <v>N</v>
      </c>
      <c r="AA22" s="56"/>
    </row>
    <row r="23" spans="2:27" ht="29.1" customHeight="1" thickBot="1" x14ac:dyDescent="0.45">
      <c r="B23" s="41">
        <v>13</v>
      </c>
      <c r="C23" s="42" t="str">
        <f>[3]Theory!A37</f>
        <v>2023-IT-14</v>
      </c>
      <c r="D23" s="43" t="str">
        <f>[3]Theory!B37</f>
        <v>Mursil Mateen</v>
      </c>
      <c r="E23" s="44">
        <f>[3]Theory!D37</f>
        <v>7</v>
      </c>
      <c r="F23" s="45">
        <v>4</v>
      </c>
      <c r="G23" s="45">
        <v>5</v>
      </c>
      <c r="H23" s="46">
        <v>3</v>
      </c>
      <c r="I23" s="47">
        <f>[3]Theory!E37</f>
        <v>12</v>
      </c>
      <c r="J23" s="48">
        <f>[3]Theory!H37</f>
        <v>8</v>
      </c>
      <c r="K23" s="44">
        <f>[3]Theory!F37</f>
        <v>9</v>
      </c>
      <c r="L23" s="49">
        <v>5</v>
      </c>
      <c r="M23" s="49">
        <v>9</v>
      </c>
      <c r="N23" s="49">
        <v>10</v>
      </c>
      <c r="O23" s="50">
        <f>[3]Theory!G37</f>
        <v>24</v>
      </c>
      <c r="P23" s="47">
        <f t="shared" si="1"/>
        <v>60</v>
      </c>
      <c r="Q23" s="51" t="str">
        <f>[3]Theory!J37</f>
        <v>B</v>
      </c>
      <c r="R23" s="57"/>
      <c r="S23" s="53">
        <f t="shared" si="2"/>
        <v>34</v>
      </c>
      <c r="T23" s="54">
        <f t="shared" si="3"/>
        <v>26</v>
      </c>
      <c r="U23" s="54"/>
      <c r="V23" s="54">
        <f t="shared" si="4"/>
        <v>60.714285714285708</v>
      </c>
      <c r="W23" s="54">
        <f t="shared" si="5"/>
        <v>59.090909090909093</v>
      </c>
      <c r="X23" s="54"/>
      <c r="Y23" s="55" t="str">
        <f t="shared" si="6"/>
        <v>Y</v>
      </c>
      <c r="Z23" s="55" t="str">
        <f t="shared" si="6"/>
        <v>Y</v>
      </c>
      <c r="AA23" s="56"/>
    </row>
    <row r="24" spans="2:27" ht="29.1" customHeight="1" thickBot="1" x14ac:dyDescent="0.45">
      <c r="B24" s="41">
        <v>14</v>
      </c>
      <c r="C24" s="42" t="str">
        <f>[3]Theory!A38</f>
        <v>2023-IT-16</v>
      </c>
      <c r="D24" s="43" t="str">
        <f>[3]Theory!B38</f>
        <v>Muhammad Usman</v>
      </c>
      <c r="E24" s="44">
        <f>[3]Theory!D38</f>
        <v>0</v>
      </c>
      <c r="F24" s="45">
        <v>0</v>
      </c>
      <c r="G24" s="45">
        <v>0</v>
      </c>
      <c r="H24" s="46">
        <v>0</v>
      </c>
      <c r="I24" s="47">
        <f>[3]Theory!E38</f>
        <v>0</v>
      </c>
      <c r="J24" s="48">
        <f>[3]Theory!H38</f>
        <v>0</v>
      </c>
      <c r="K24" s="44">
        <f>[3]Theory!F38</f>
        <v>0</v>
      </c>
      <c r="L24" s="49">
        <v>0</v>
      </c>
      <c r="M24" s="49">
        <v>0</v>
      </c>
      <c r="N24" s="49">
        <v>0</v>
      </c>
      <c r="O24" s="50">
        <f>[3]Theory!G38</f>
        <v>0</v>
      </c>
      <c r="P24" s="47">
        <f t="shared" si="1"/>
        <v>0</v>
      </c>
      <c r="Q24" s="51" t="str">
        <f>[3]Theory!J38</f>
        <v>F</v>
      </c>
      <c r="R24" s="57"/>
      <c r="S24" s="53">
        <f t="shared" si="2"/>
        <v>0</v>
      </c>
      <c r="T24" s="54">
        <f t="shared" si="3"/>
        <v>0</v>
      </c>
      <c r="U24" s="54"/>
      <c r="V24" s="54">
        <f t="shared" si="4"/>
        <v>0</v>
      </c>
      <c r="W24" s="54">
        <f t="shared" si="5"/>
        <v>0</v>
      </c>
      <c r="X24" s="54"/>
      <c r="Y24" s="55" t="str">
        <f t="shared" si="6"/>
        <v>N</v>
      </c>
      <c r="Z24" s="55" t="str">
        <f t="shared" si="6"/>
        <v>N</v>
      </c>
      <c r="AA24" s="56"/>
    </row>
    <row r="25" spans="2:27" ht="29.1" customHeight="1" thickBot="1" x14ac:dyDescent="0.45">
      <c r="B25" s="41">
        <v>15</v>
      </c>
      <c r="C25" s="42" t="str">
        <f>[3]Theory!A39</f>
        <v>2023-IT-18</v>
      </c>
      <c r="D25" s="43" t="str">
        <f>[3]Theory!B39</f>
        <v>Adeel Maqbool</v>
      </c>
      <c r="E25" s="44">
        <f>[3]Theory!D39</f>
        <v>9</v>
      </c>
      <c r="F25" s="45">
        <v>1</v>
      </c>
      <c r="G25" s="45">
        <v>3</v>
      </c>
      <c r="H25" s="46">
        <v>1</v>
      </c>
      <c r="I25" s="47">
        <f>[3]Theory!E39</f>
        <v>5</v>
      </c>
      <c r="J25" s="48">
        <f>[3]Theory!H39</f>
        <v>10</v>
      </c>
      <c r="K25" s="44">
        <f>[3]Theory!F39</f>
        <v>4</v>
      </c>
      <c r="L25" s="49">
        <v>5</v>
      </c>
      <c r="M25" s="49">
        <v>1</v>
      </c>
      <c r="N25" s="49">
        <v>2</v>
      </c>
      <c r="O25" s="50">
        <f>[3]Theory!G39</f>
        <v>8</v>
      </c>
      <c r="P25" s="47">
        <f t="shared" si="1"/>
        <v>36</v>
      </c>
      <c r="Q25" s="51" t="str">
        <f>[3]Theory!J39</f>
        <v>D</v>
      </c>
      <c r="R25" s="57"/>
      <c r="S25" s="53">
        <f t="shared" si="2"/>
        <v>27</v>
      </c>
      <c r="T25" s="54">
        <f t="shared" si="3"/>
        <v>9</v>
      </c>
      <c r="U25" s="54"/>
      <c r="V25" s="54">
        <f t="shared" si="4"/>
        <v>48.214285714285715</v>
      </c>
      <c r="W25" s="54">
        <f t="shared" si="5"/>
        <v>20.454545454545457</v>
      </c>
      <c r="X25" s="54"/>
      <c r="Y25" s="55" t="str">
        <f t="shared" si="6"/>
        <v>N</v>
      </c>
      <c r="Z25" s="55" t="str">
        <f t="shared" si="6"/>
        <v>N</v>
      </c>
      <c r="AA25" s="56"/>
    </row>
    <row r="26" spans="2:27" ht="29.1" customHeight="1" thickBot="1" x14ac:dyDescent="0.45">
      <c r="B26" s="41">
        <v>16</v>
      </c>
      <c r="C26" s="42" t="str">
        <f>[3]Theory!A40</f>
        <v>2023-IT-20</v>
      </c>
      <c r="D26" s="43" t="str">
        <f>[3]Theory!B40</f>
        <v>Husnain Saleem</v>
      </c>
      <c r="E26" s="44">
        <f>[3]Theory!D40</f>
        <v>8</v>
      </c>
      <c r="F26" s="45">
        <v>7</v>
      </c>
      <c r="G26" s="45">
        <v>6</v>
      </c>
      <c r="H26" s="46">
        <v>5</v>
      </c>
      <c r="I26" s="47">
        <f>[3]Theory!E40</f>
        <v>18</v>
      </c>
      <c r="J26" s="48">
        <f>[3]Theory!H40</f>
        <v>9</v>
      </c>
      <c r="K26" s="44">
        <f>[3]Theory!F40</f>
        <v>0</v>
      </c>
      <c r="L26" s="49">
        <v>6</v>
      </c>
      <c r="M26" s="49">
        <v>9</v>
      </c>
      <c r="N26" s="49">
        <v>15</v>
      </c>
      <c r="O26" s="50">
        <f>[3]Theory!G40</f>
        <v>30</v>
      </c>
      <c r="P26" s="47">
        <f t="shared" si="1"/>
        <v>65</v>
      </c>
      <c r="Q26" s="51" t="str">
        <f>[3]Theory!J40</f>
        <v>B+</v>
      </c>
      <c r="R26" s="57"/>
      <c r="S26" s="53">
        <f t="shared" si="2"/>
        <v>45</v>
      </c>
      <c r="T26" s="54">
        <f t="shared" si="3"/>
        <v>20</v>
      </c>
      <c r="U26" s="54"/>
      <c r="V26" s="54">
        <f t="shared" si="4"/>
        <v>80.357142857142861</v>
      </c>
      <c r="W26" s="54">
        <f t="shared" si="5"/>
        <v>45.454545454545453</v>
      </c>
      <c r="X26" s="54"/>
      <c r="Y26" s="55" t="str">
        <f t="shared" si="6"/>
        <v>Y</v>
      </c>
      <c r="Z26" s="55" t="str">
        <f t="shared" si="6"/>
        <v>N</v>
      </c>
      <c r="AA26" s="56"/>
    </row>
    <row r="27" spans="2:27" ht="29.1" customHeight="1" thickBot="1" x14ac:dyDescent="0.45">
      <c r="B27" s="41">
        <v>17</v>
      </c>
      <c r="C27" s="42" t="str">
        <f>[3]Theory!A41</f>
        <v>2023-IT-22</v>
      </c>
      <c r="D27" s="43" t="str">
        <f>[3]Theory!B41</f>
        <v>Muhammad Sameer</v>
      </c>
      <c r="E27" s="44">
        <f>[3]Theory!D41</f>
        <v>4</v>
      </c>
      <c r="F27" s="45">
        <v>8</v>
      </c>
      <c r="G27" s="45">
        <v>5</v>
      </c>
      <c r="H27" s="46">
        <v>8</v>
      </c>
      <c r="I27" s="47">
        <f>[3]Theory!E41</f>
        <v>21</v>
      </c>
      <c r="J27" s="48">
        <f>[3]Theory!H41</f>
        <v>7</v>
      </c>
      <c r="K27" s="44">
        <f>[3]Theory!F41</f>
        <v>9</v>
      </c>
      <c r="L27" s="49">
        <v>5</v>
      </c>
      <c r="M27" s="49">
        <v>4</v>
      </c>
      <c r="N27" s="49">
        <v>7</v>
      </c>
      <c r="O27" s="50">
        <f>[3]Theory!G41</f>
        <v>16</v>
      </c>
      <c r="P27" s="47">
        <f t="shared" si="1"/>
        <v>57</v>
      </c>
      <c r="Q27" s="51" t="str">
        <f>[3]Theory!J41</f>
        <v>B-</v>
      </c>
      <c r="R27" s="57"/>
      <c r="S27" s="53">
        <f t="shared" si="2"/>
        <v>31</v>
      </c>
      <c r="T27" s="54">
        <f t="shared" si="3"/>
        <v>26</v>
      </c>
      <c r="U27" s="54"/>
      <c r="V27" s="54">
        <f t="shared" si="4"/>
        <v>55.357142857142861</v>
      </c>
      <c r="W27" s="54">
        <f t="shared" si="5"/>
        <v>59.090909090909093</v>
      </c>
      <c r="X27" s="54"/>
      <c r="Y27" s="55" t="str">
        <f t="shared" si="6"/>
        <v>Y</v>
      </c>
      <c r="Z27" s="55" t="str">
        <f t="shared" si="6"/>
        <v>Y</v>
      </c>
      <c r="AA27" s="56"/>
    </row>
    <row r="28" spans="2:27" ht="29.1" customHeight="1" thickBot="1" x14ac:dyDescent="0.45">
      <c r="B28" s="41">
        <v>18</v>
      </c>
      <c r="C28" s="42" t="str">
        <f>[3]Theory!A42</f>
        <v>2023-IT-24</v>
      </c>
      <c r="D28" s="43" t="str">
        <f>[3]Theory!B42</f>
        <v>Sher Shah Hussain</v>
      </c>
      <c r="E28" s="44">
        <f>[3]Theory!D42</f>
        <v>6</v>
      </c>
      <c r="F28" s="45">
        <v>9</v>
      </c>
      <c r="G28" s="45">
        <v>7</v>
      </c>
      <c r="H28" s="46">
        <v>7</v>
      </c>
      <c r="I28" s="47">
        <f>[3]Theory!E42</f>
        <v>23</v>
      </c>
      <c r="J28" s="48">
        <f>[3]Theory!H42</f>
        <v>8</v>
      </c>
      <c r="K28" s="44">
        <f>[3]Theory!F42</f>
        <v>8</v>
      </c>
      <c r="L28" s="49">
        <v>4</v>
      </c>
      <c r="M28" s="49">
        <v>5</v>
      </c>
      <c r="N28" s="49">
        <v>10</v>
      </c>
      <c r="O28" s="50">
        <f>[3]Theory!G42</f>
        <v>19</v>
      </c>
      <c r="P28" s="47">
        <f t="shared" si="1"/>
        <v>64</v>
      </c>
      <c r="Q28" s="51" t="str">
        <f>[3]Theory!J42</f>
        <v>B+</v>
      </c>
      <c r="R28" s="57"/>
      <c r="S28" s="53">
        <f t="shared" si="2"/>
        <v>37</v>
      </c>
      <c r="T28" s="54">
        <f t="shared" si="3"/>
        <v>27</v>
      </c>
      <c r="U28" s="54"/>
      <c r="V28" s="54">
        <f t="shared" si="4"/>
        <v>66.071428571428569</v>
      </c>
      <c r="W28" s="54">
        <f t="shared" si="5"/>
        <v>61.363636363636367</v>
      </c>
      <c r="X28" s="54"/>
      <c r="Y28" s="55" t="str">
        <f t="shared" si="6"/>
        <v>Y</v>
      </c>
      <c r="Z28" s="55" t="str">
        <f t="shared" si="6"/>
        <v>Y</v>
      </c>
      <c r="AA28" s="56"/>
    </row>
    <row r="29" spans="2:27" ht="29.1" customHeight="1" thickBot="1" x14ac:dyDescent="0.45">
      <c r="B29" s="41">
        <v>19</v>
      </c>
      <c r="C29" s="42" t="str">
        <f>[3]Theory!A43</f>
        <v>2023-IT-26</v>
      </c>
      <c r="D29" s="43" t="str">
        <f>[3]Theory!B43</f>
        <v>Abdul Ahad</v>
      </c>
      <c r="E29" s="44">
        <f>[3]Theory!D43</f>
        <v>0</v>
      </c>
      <c r="F29" s="45">
        <v>0</v>
      </c>
      <c r="G29" s="45">
        <v>0</v>
      </c>
      <c r="H29" s="46">
        <v>0</v>
      </c>
      <c r="I29" s="47">
        <v>0</v>
      </c>
      <c r="J29" s="48">
        <f>[3]Theory!H43</f>
        <v>0</v>
      </c>
      <c r="K29" s="44">
        <f>[3]Theory!F43</f>
        <v>0</v>
      </c>
      <c r="L29" s="49">
        <v>0</v>
      </c>
      <c r="M29" s="49">
        <v>0</v>
      </c>
      <c r="N29" s="49">
        <v>0</v>
      </c>
      <c r="O29" s="50">
        <f>[3]Theory!G43</f>
        <v>0</v>
      </c>
      <c r="P29" s="47">
        <f t="shared" si="1"/>
        <v>0</v>
      </c>
      <c r="Q29" s="51" t="str">
        <f>[3]Theory!J43</f>
        <v>F</v>
      </c>
      <c r="R29" s="57"/>
      <c r="S29" s="53">
        <f t="shared" si="2"/>
        <v>0</v>
      </c>
      <c r="T29" s="54">
        <f t="shared" si="3"/>
        <v>0</v>
      </c>
      <c r="U29" s="54"/>
      <c r="V29" s="54">
        <f t="shared" si="4"/>
        <v>0</v>
      </c>
      <c r="W29" s="54">
        <f t="shared" si="5"/>
        <v>0</v>
      </c>
      <c r="X29" s="54"/>
      <c r="Y29" s="55" t="str">
        <f t="shared" si="6"/>
        <v>N</v>
      </c>
      <c r="Z29" s="55" t="str">
        <f t="shared" si="6"/>
        <v>N</v>
      </c>
      <c r="AA29" s="56"/>
    </row>
    <row r="30" spans="2:27" ht="29.1" customHeight="1" thickBot="1" x14ac:dyDescent="0.45">
      <c r="B30" s="41">
        <v>20</v>
      </c>
      <c r="C30" s="42" t="str">
        <f>[3]Theory!A44</f>
        <v>2023-IT-28</v>
      </c>
      <c r="D30" s="43" t="str">
        <f>[3]Theory!B44</f>
        <v>Ahmad Latif</v>
      </c>
      <c r="E30" s="44">
        <f>[3]Theory!D44</f>
        <v>3</v>
      </c>
      <c r="F30" s="45">
        <v>4</v>
      </c>
      <c r="G30" s="45">
        <v>1</v>
      </c>
      <c r="H30" s="46">
        <v>1</v>
      </c>
      <c r="I30" s="47">
        <f>[3]Theory!E44</f>
        <v>6</v>
      </c>
      <c r="J30" s="48">
        <f>[3]Theory!H44</f>
        <v>10</v>
      </c>
      <c r="K30" s="44">
        <f>[3]Theory!F44</f>
        <v>9</v>
      </c>
      <c r="L30" s="49">
        <v>6</v>
      </c>
      <c r="M30" s="49">
        <v>2</v>
      </c>
      <c r="N30" s="49">
        <v>0</v>
      </c>
      <c r="O30" s="50">
        <f>[3]Theory!G44</f>
        <v>8</v>
      </c>
      <c r="P30" s="47">
        <f t="shared" si="1"/>
        <v>36</v>
      </c>
      <c r="Q30" s="51" t="str">
        <f>[3]Theory!J44</f>
        <v>D</v>
      </c>
      <c r="R30" s="57"/>
      <c r="S30" s="53">
        <f t="shared" si="2"/>
        <v>23</v>
      </c>
      <c r="T30" s="54">
        <f t="shared" si="3"/>
        <v>13</v>
      </c>
      <c r="U30" s="54"/>
      <c r="V30" s="54">
        <f t="shared" si="4"/>
        <v>41.071428571428569</v>
      </c>
      <c r="W30" s="54">
        <f t="shared" si="5"/>
        <v>29.545454545454547</v>
      </c>
      <c r="X30" s="54"/>
      <c r="Y30" s="55" t="str">
        <f t="shared" si="6"/>
        <v>N</v>
      </c>
      <c r="Z30" s="55" t="str">
        <f t="shared" si="6"/>
        <v>N</v>
      </c>
      <c r="AA30" s="56"/>
    </row>
    <row r="31" spans="2:27" ht="29.1" customHeight="1" thickBot="1" x14ac:dyDescent="0.45">
      <c r="B31" s="41">
        <v>21</v>
      </c>
      <c r="C31" s="42" t="str">
        <f>[3]Theory!A45</f>
        <v>2023-IT-32</v>
      </c>
      <c r="D31" s="43" t="str">
        <f>[3]Theory!B45</f>
        <v>Muhammad Faisal</v>
      </c>
      <c r="E31" s="44">
        <f>[3]Theory!D45</f>
        <v>6</v>
      </c>
      <c r="F31" s="45">
        <v>9</v>
      </c>
      <c r="G31" s="45">
        <v>9</v>
      </c>
      <c r="H31" s="46">
        <v>5</v>
      </c>
      <c r="I31" s="47">
        <f>[3]Theory!E45</f>
        <v>23</v>
      </c>
      <c r="J31" s="48">
        <f>[3]Theory!H45</f>
        <v>8</v>
      </c>
      <c r="K31" s="44">
        <f>[3]Theory!F45</f>
        <v>8</v>
      </c>
      <c r="L31" s="49">
        <v>5</v>
      </c>
      <c r="M31" s="49">
        <v>8</v>
      </c>
      <c r="N31" s="49">
        <v>10</v>
      </c>
      <c r="O31" s="50">
        <f>[3]Theory!G45</f>
        <v>23</v>
      </c>
      <c r="P31" s="47">
        <f t="shared" si="1"/>
        <v>68</v>
      </c>
      <c r="Q31" s="51" t="str">
        <f>[3]Theory!J45</f>
        <v>B+</v>
      </c>
      <c r="R31" s="57"/>
      <c r="S31" s="53">
        <f t="shared" si="2"/>
        <v>38</v>
      </c>
      <c r="T31" s="54">
        <f t="shared" si="3"/>
        <v>30</v>
      </c>
      <c r="U31" s="54"/>
      <c r="V31" s="54">
        <f t="shared" si="4"/>
        <v>67.857142857142861</v>
      </c>
      <c r="W31" s="54">
        <f t="shared" si="5"/>
        <v>68.181818181818173</v>
      </c>
      <c r="X31" s="54"/>
      <c r="Y31" s="55" t="str">
        <f t="shared" si="6"/>
        <v>Y</v>
      </c>
      <c r="Z31" s="55" t="str">
        <f t="shared" si="6"/>
        <v>Y</v>
      </c>
      <c r="AA31" s="56"/>
    </row>
    <row r="32" spans="2:27" ht="29.1" customHeight="1" thickBot="1" x14ac:dyDescent="0.45">
      <c r="B32" s="41">
        <v>22</v>
      </c>
      <c r="C32" s="42" t="str">
        <f>[3]Theory!A46</f>
        <v>2023-IT-34</v>
      </c>
      <c r="D32" s="43" t="str">
        <f>[3]Theory!B46</f>
        <v>Jamshaid Abbas</v>
      </c>
      <c r="E32" s="44">
        <f>[3]Theory!D46</f>
        <v>4</v>
      </c>
      <c r="F32" s="45">
        <v>3</v>
      </c>
      <c r="G32" s="45">
        <v>2</v>
      </c>
      <c r="H32" s="46">
        <v>1</v>
      </c>
      <c r="I32" s="47">
        <f>[3]Theory!E46</f>
        <v>6</v>
      </c>
      <c r="J32" s="48">
        <f>[3]Theory!H46</f>
        <v>10</v>
      </c>
      <c r="K32" s="44">
        <f>[3]Theory!F46</f>
        <v>6</v>
      </c>
      <c r="L32" s="49">
        <v>8</v>
      </c>
      <c r="M32" s="49">
        <v>1</v>
      </c>
      <c r="N32" s="49">
        <v>1</v>
      </c>
      <c r="O32" s="50">
        <f>[3]Theory!G46</f>
        <v>10</v>
      </c>
      <c r="P32" s="47">
        <f t="shared" si="1"/>
        <v>36</v>
      </c>
      <c r="Q32" s="51" t="str">
        <f>[3]Theory!J46</f>
        <v>D</v>
      </c>
      <c r="R32" s="57"/>
      <c r="S32" s="53">
        <f t="shared" si="2"/>
        <v>26</v>
      </c>
      <c r="T32" s="54">
        <f t="shared" si="3"/>
        <v>10</v>
      </c>
      <c r="U32" s="54"/>
      <c r="V32" s="54">
        <f t="shared" si="4"/>
        <v>46.428571428571431</v>
      </c>
      <c r="W32" s="54">
        <f t="shared" si="5"/>
        <v>22.727272727272727</v>
      </c>
      <c r="X32" s="54"/>
      <c r="Y32" s="55" t="str">
        <f t="shared" si="6"/>
        <v>N</v>
      </c>
      <c r="Z32" s="55" t="str">
        <f t="shared" si="6"/>
        <v>N</v>
      </c>
      <c r="AA32" s="56"/>
    </row>
    <row r="33" spans="2:27" ht="29.1" customHeight="1" thickBot="1" x14ac:dyDescent="0.45">
      <c r="B33" s="41">
        <v>23</v>
      </c>
      <c r="C33" s="42" t="str">
        <f>[3]Theory!A47</f>
        <v>2023-IT-38</v>
      </c>
      <c r="D33" s="43" t="str">
        <f>[3]Theory!B47</f>
        <v>Sherzaman Bukhari</v>
      </c>
      <c r="E33" s="44">
        <f>[3]Theory!D47</f>
        <v>5</v>
      </c>
      <c r="F33" s="45">
        <v>7</v>
      </c>
      <c r="G33" s="45">
        <v>3</v>
      </c>
      <c r="H33" s="46">
        <v>6</v>
      </c>
      <c r="I33" s="47">
        <f>[3]Theory!E47</f>
        <v>16</v>
      </c>
      <c r="J33" s="48">
        <f>[3]Theory!H47</f>
        <v>8</v>
      </c>
      <c r="K33" s="44">
        <f>[3]Theory!F47</f>
        <v>8</v>
      </c>
      <c r="L33" s="49">
        <v>6</v>
      </c>
      <c r="M33" s="49">
        <v>8</v>
      </c>
      <c r="N33" s="49">
        <v>10</v>
      </c>
      <c r="O33" s="50">
        <f>[3]Theory!G47</f>
        <v>24</v>
      </c>
      <c r="P33" s="47">
        <f t="shared" si="1"/>
        <v>61</v>
      </c>
      <c r="Q33" s="51" t="str">
        <f>[3]Theory!J47</f>
        <v>B</v>
      </c>
      <c r="R33" s="57"/>
      <c r="S33" s="53">
        <f t="shared" si="2"/>
        <v>36</v>
      </c>
      <c r="T33" s="54">
        <f t="shared" si="3"/>
        <v>25</v>
      </c>
      <c r="U33" s="54"/>
      <c r="V33" s="54">
        <f t="shared" si="4"/>
        <v>64.285714285714292</v>
      </c>
      <c r="W33" s="54">
        <f t="shared" si="5"/>
        <v>56.81818181818182</v>
      </c>
      <c r="X33" s="54"/>
      <c r="Y33" s="55" t="str">
        <f t="shared" si="6"/>
        <v>Y</v>
      </c>
      <c r="Z33" s="55" t="str">
        <f t="shared" si="6"/>
        <v>Y</v>
      </c>
      <c r="AA33" s="56"/>
    </row>
    <row r="34" spans="2:27" ht="29.1" customHeight="1" thickBot="1" x14ac:dyDescent="0.45">
      <c r="B34" s="41">
        <v>24</v>
      </c>
      <c r="C34" s="42" t="str">
        <f>[3]Theory!A48</f>
        <v>2023-IT-40</v>
      </c>
      <c r="D34" s="43" t="str">
        <f>[3]Theory!B48</f>
        <v>Ahmad Raza Shareef</v>
      </c>
      <c r="E34" s="44">
        <f>[3]Theory!D48</f>
        <v>5</v>
      </c>
      <c r="F34" s="45">
        <v>8</v>
      </c>
      <c r="G34" s="45">
        <v>2</v>
      </c>
      <c r="H34" s="46">
        <v>3</v>
      </c>
      <c r="I34" s="47">
        <f>[3]Theory!E48</f>
        <v>13</v>
      </c>
      <c r="J34" s="48">
        <f>[3]Theory!H48</f>
        <v>10</v>
      </c>
      <c r="K34" s="44">
        <f>[3]Theory!F48</f>
        <v>9</v>
      </c>
      <c r="L34" s="49">
        <v>4</v>
      </c>
      <c r="M34" s="49">
        <v>6</v>
      </c>
      <c r="N34" s="49">
        <v>7</v>
      </c>
      <c r="O34" s="50">
        <f>[3]Theory!G48</f>
        <v>17</v>
      </c>
      <c r="P34" s="47">
        <f t="shared" si="1"/>
        <v>54</v>
      </c>
      <c r="Q34" s="51" t="str">
        <f>[3]Theory!J48</f>
        <v>B-</v>
      </c>
      <c r="R34" s="57"/>
      <c r="S34" s="53">
        <f t="shared" si="2"/>
        <v>34</v>
      </c>
      <c r="T34" s="54">
        <f t="shared" si="3"/>
        <v>20</v>
      </c>
      <c r="U34" s="54"/>
      <c r="V34" s="54">
        <f t="shared" si="4"/>
        <v>60.714285714285708</v>
      </c>
      <c r="W34" s="54">
        <f t="shared" si="5"/>
        <v>45.454545454545453</v>
      </c>
      <c r="X34" s="54"/>
      <c r="Y34" s="55" t="str">
        <f t="shared" si="6"/>
        <v>Y</v>
      </c>
      <c r="Z34" s="55" t="str">
        <f t="shared" si="6"/>
        <v>N</v>
      </c>
      <c r="AA34" s="56"/>
    </row>
    <row r="35" spans="2:27" ht="29.1" customHeight="1" thickBot="1" x14ac:dyDescent="0.45">
      <c r="B35" s="41">
        <v>25</v>
      </c>
      <c r="C35" s="42" t="str">
        <f>[3]Theory!A49</f>
        <v>2023-IT-41</v>
      </c>
      <c r="D35" s="43" t="str">
        <f>[3]Theory!B49</f>
        <v>Anas Noor</v>
      </c>
      <c r="E35" s="44">
        <f>[3]Theory!D49</f>
        <v>5</v>
      </c>
      <c r="F35" s="45">
        <v>3</v>
      </c>
      <c r="G35" s="45">
        <v>1</v>
      </c>
      <c r="H35" s="46">
        <v>1</v>
      </c>
      <c r="I35" s="47">
        <f>[3]Theory!E49</f>
        <v>5</v>
      </c>
      <c r="J35" s="48">
        <f>[3]Theory!H49</f>
        <v>9</v>
      </c>
      <c r="K35" s="44">
        <f>[3]Theory!F49</f>
        <v>7</v>
      </c>
      <c r="L35" s="49">
        <v>7</v>
      </c>
      <c r="M35" s="49">
        <v>1</v>
      </c>
      <c r="N35" s="49">
        <v>2</v>
      </c>
      <c r="O35" s="50">
        <f>[3]Theory!G49</f>
        <v>10</v>
      </c>
      <c r="P35" s="47">
        <f t="shared" si="1"/>
        <v>36</v>
      </c>
      <c r="Q35" s="51" t="str">
        <f>[3]Theory!J49</f>
        <v>D</v>
      </c>
      <c r="R35" s="57"/>
      <c r="S35" s="53">
        <f t="shared" si="2"/>
        <v>26</v>
      </c>
      <c r="T35" s="54">
        <f t="shared" si="3"/>
        <v>10</v>
      </c>
      <c r="U35" s="54"/>
      <c r="V35" s="54">
        <f t="shared" si="4"/>
        <v>46.428571428571431</v>
      </c>
      <c r="W35" s="54">
        <f t="shared" si="5"/>
        <v>22.727272727272727</v>
      </c>
      <c r="X35" s="54"/>
      <c r="Y35" s="55" t="str">
        <f t="shared" si="6"/>
        <v>N</v>
      </c>
      <c r="Z35" s="55" t="str">
        <f t="shared" si="6"/>
        <v>N</v>
      </c>
      <c r="AA35" s="56"/>
    </row>
    <row r="36" spans="2:27" ht="29.1" customHeight="1" thickBot="1" x14ac:dyDescent="0.45">
      <c r="B36" s="41">
        <v>26</v>
      </c>
      <c r="C36" s="42" t="str">
        <f>[3]Theory!A50</f>
        <v>2023-IT-42</v>
      </c>
      <c r="D36" s="43" t="str">
        <f>[3]Theory!B50</f>
        <v>Muhammad Moosa Bhatti</v>
      </c>
      <c r="E36" s="44">
        <f>[3]Theory!D50</f>
        <v>3</v>
      </c>
      <c r="F36" s="45">
        <v>8</v>
      </c>
      <c r="G36" s="45">
        <v>2</v>
      </c>
      <c r="H36" s="46">
        <v>1</v>
      </c>
      <c r="I36" s="47">
        <f>[3]Theory!E50</f>
        <v>11</v>
      </c>
      <c r="J36" s="48">
        <f>[3]Theory!H50</f>
        <v>8</v>
      </c>
      <c r="K36" s="44">
        <f>[3]Theory!F50</f>
        <v>7</v>
      </c>
      <c r="L36" s="49">
        <v>3</v>
      </c>
      <c r="M36" s="49">
        <v>8</v>
      </c>
      <c r="N36" s="49">
        <v>9</v>
      </c>
      <c r="O36" s="50">
        <f>[3]Theory!G50</f>
        <v>20</v>
      </c>
      <c r="P36" s="47">
        <f t="shared" si="1"/>
        <v>49</v>
      </c>
      <c r="Q36" s="51" t="str">
        <f>[3]Theory!J50</f>
        <v>C+</v>
      </c>
      <c r="R36" s="57"/>
      <c r="S36" s="53">
        <f t="shared" si="2"/>
        <v>31</v>
      </c>
      <c r="T36" s="54">
        <f t="shared" si="3"/>
        <v>18</v>
      </c>
      <c r="U36" s="54"/>
      <c r="V36" s="54">
        <f t="shared" si="4"/>
        <v>55.357142857142861</v>
      </c>
      <c r="W36" s="54">
        <f t="shared" si="5"/>
        <v>40.909090909090914</v>
      </c>
      <c r="X36" s="54"/>
      <c r="Y36" s="55" t="str">
        <f t="shared" si="6"/>
        <v>Y</v>
      </c>
      <c r="Z36" s="55" t="str">
        <f t="shared" si="6"/>
        <v>N</v>
      </c>
      <c r="AA36" s="56"/>
    </row>
    <row r="37" spans="2:27" ht="29.1" customHeight="1" thickBot="1" x14ac:dyDescent="0.45">
      <c r="B37" s="41">
        <v>27</v>
      </c>
      <c r="C37" s="42" t="str">
        <f>[3]Theory!A51</f>
        <v>2023-IT-44</v>
      </c>
      <c r="D37" s="43" t="str">
        <f>[3]Theory!B51</f>
        <v>Muhammad Nouman Aslam</v>
      </c>
      <c r="E37" s="44">
        <f>[3]Theory!D51</f>
        <v>5</v>
      </c>
      <c r="F37" s="45">
        <v>9</v>
      </c>
      <c r="G37" s="45">
        <v>5</v>
      </c>
      <c r="H37" s="46">
        <v>8</v>
      </c>
      <c r="I37" s="47">
        <f>[3]Theory!E51</f>
        <v>22</v>
      </c>
      <c r="J37" s="48">
        <f>[3]Theory!H51</f>
        <v>7</v>
      </c>
      <c r="K37" s="44">
        <f>[3]Theory!F51</f>
        <v>6</v>
      </c>
      <c r="L37" s="49">
        <v>3</v>
      </c>
      <c r="M37" s="49">
        <v>6</v>
      </c>
      <c r="N37" s="49">
        <v>10</v>
      </c>
      <c r="O37" s="50">
        <f>[3]Theory!G51</f>
        <v>19</v>
      </c>
      <c r="P37" s="47">
        <f t="shared" si="1"/>
        <v>59</v>
      </c>
      <c r="Q37" s="51" t="str">
        <f>[3]Theory!J51</f>
        <v>B</v>
      </c>
      <c r="R37" s="57"/>
      <c r="S37" s="53">
        <f t="shared" si="2"/>
        <v>34</v>
      </c>
      <c r="T37" s="54">
        <f t="shared" si="3"/>
        <v>25</v>
      </c>
      <c r="U37" s="54"/>
      <c r="V37" s="54">
        <f t="shared" si="4"/>
        <v>60.714285714285708</v>
      </c>
      <c r="W37" s="54">
        <f t="shared" si="5"/>
        <v>56.81818181818182</v>
      </c>
      <c r="X37" s="54"/>
      <c r="Y37" s="55" t="str">
        <f t="shared" si="6"/>
        <v>Y</v>
      </c>
      <c r="Z37" s="55" t="str">
        <f t="shared" si="6"/>
        <v>Y</v>
      </c>
      <c r="AA37" s="56"/>
    </row>
    <row r="38" spans="2:27" ht="29.1" customHeight="1" thickBot="1" x14ac:dyDescent="0.45">
      <c r="B38" s="41">
        <v>28</v>
      </c>
      <c r="C38" s="42" t="str">
        <f>[3]Theory!A52</f>
        <v>2023-IT-46</v>
      </c>
      <c r="D38" s="43" t="str">
        <f>[3]Theory!B52</f>
        <v>Muhammad Haseeb Anjum</v>
      </c>
      <c r="E38" s="44">
        <f>[3]Theory!D52</f>
        <v>9</v>
      </c>
      <c r="F38" s="45">
        <v>8</v>
      </c>
      <c r="G38" s="45">
        <v>10</v>
      </c>
      <c r="H38" s="46">
        <v>8</v>
      </c>
      <c r="I38" s="47">
        <f>[3]Theory!E52</f>
        <v>26</v>
      </c>
      <c r="J38" s="48">
        <f>[3]Theory!H52</f>
        <v>8</v>
      </c>
      <c r="K38" s="44">
        <f>[3]Theory!F52</f>
        <v>10</v>
      </c>
      <c r="L38" s="49">
        <v>10</v>
      </c>
      <c r="M38" s="49">
        <v>14</v>
      </c>
      <c r="N38" s="49">
        <v>15</v>
      </c>
      <c r="O38" s="50">
        <f>[3]Theory!G52</f>
        <v>39</v>
      </c>
      <c r="P38" s="47">
        <f t="shared" si="1"/>
        <v>92</v>
      </c>
      <c r="Q38" s="51" t="str">
        <f>[3]Theory!J52</f>
        <v>A+</v>
      </c>
      <c r="R38" s="57"/>
      <c r="S38" s="53">
        <f t="shared" si="2"/>
        <v>50</v>
      </c>
      <c r="T38" s="54">
        <f t="shared" si="3"/>
        <v>42</v>
      </c>
      <c r="U38" s="54"/>
      <c r="V38" s="54">
        <f t="shared" si="4"/>
        <v>89.285714285714292</v>
      </c>
      <c r="W38" s="54">
        <f t="shared" si="5"/>
        <v>95.454545454545453</v>
      </c>
      <c r="X38" s="54"/>
      <c r="Y38" s="55" t="str">
        <f t="shared" si="6"/>
        <v>Y</v>
      </c>
      <c r="Z38" s="55" t="str">
        <f t="shared" si="6"/>
        <v>Y</v>
      </c>
      <c r="AA38" s="56"/>
    </row>
    <row r="39" spans="2:27" ht="29.1" customHeight="1" thickBot="1" x14ac:dyDescent="0.45">
      <c r="B39" s="41">
        <v>29</v>
      </c>
      <c r="C39" s="42" t="str">
        <f>[3]Theory!A53</f>
        <v>2023-IT-48</v>
      </c>
      <c r="D39" s="43" t="str">
        <f>[3]Theory!B53</f>
        <v>Muhammad Arslan Waheed</v>
      </c>
      <c r="E39" s="44">
        <f>[3]Theory!D53</f>
        <v>6</v>
      </c>
      <c r="F39" s="45">
        <v>8</v>
      </c>
      <c r="G39" s="45">
        <v>2</v>
      </c>
      <c r="H39" s="46">
        <v>9</v>
      </c>
      <c r="I39" s="47">
        <f>[3]Theory!E53</f>
        <v>19</v>
      </c>
      <c r="J39" s="48">
        <f>[3]Theory!H53</f>
        <v>8</v>
      </c>
      <c r="K39" s="44">
        <f>[3]Theory!F53</f>
        <v>6</v>
      </c>
      <c r="L39" s="49">
        <v>8</v>
      </c>
      <c r="M39" s="49">
        <v>10</v>
      </c>
      <c r="N39" s="49">
        <v>14</v>
      </c>
      <c r="O39" s="50">
        <f>[3]Theory!G53</f>
        <v>32</v>
      </c>
      <c r="P39" s="47">
        <f t="shared" si="1"/>
        <v>71</v>
      </c>
      <c r="Q39" s="51" t="str">
        <f>[3]Theory!J53</f>
        <v>A-</v>
      </c>
      <c r="R39" s="57"/>
      <c r="S39" s="53">
        <f t="shared" si="2"/>
        <v>44</v>
      </c>
      <c r="T39" s="54">
        <f t="shared" si="3"/>
        <v>27</v>
      </c>
      <c r="U39" s="54"/>
      <c r="V39" s="54">
        <f t="shared" si="4"/>
        <v>78.571428571428569</v>
      </c>
      <c r="W39" s="54">
        <f t="shared" si="5"/>
        <v>61.363636363636367</v>
      </c>
      <c r="X39" s="54"/>
      <c r="Y39" s="55" t="str">
        <f t="shared" si="6"/>
        <v>Y</v>
      </c>
      <c r="Z39" s="55" t="str">
        <f t="shared" si="6"/>
        <v>Y</v>
      </c>
      <c r="AA39" s="56"/>
    </row>
    <row r="40" spans="2:27" ht="29.1" customHeight="1" thickBot="1" x14ac:dyDescent="0.45">
      <c r="B40" s="41">
        <v>30</v>
      </c>
      <c r="C40" s="42" t="str">
        <f>[3]Theory!A54</f>
        <v>2023-IT-50</v>
      </c>
      <c r="D40" s="43" t="str">
        <f>[3]Theory!B54</f>
        <v>Hafiz Muhammad Hasnain Saif</v>
      </c>
      <c r="E40" s="44">
        <f>[3]Theory!D54</f>
        <v>10</v>
      </c>
      <c r="F40" s="45">
        <v>8</v>
      </c>
      <c r="G40" s="45">
        <v>10</v>
      </c>
      <c r="H40" s="46">
        <v>8</v>
      </c>
      <c r="I40" s="47">
        <f>[3]Theory!E54</f>
        <v>26</v>
      </c>
      <c r="J40" s="48">
        <f>[3]Theory!H54</f>
        <v>8</v>
      </c>
      <c r="K40" s="44">
        <f>[3]Theory!F54</f>
        <v>9</v>
      </c>
      <c r="L40" s="49">
        <v>2</v>
      </c>
      <c r="M40" s="49">
        <v>10</v>
      </c>
      <c r="N40" s="49">
        <v>15</v>
      </c>
      <c r="O40" s="50">
        <f>[3]Theory!G54</f>
        <v>27</v>
      </c>
      <c r="P40" s="47">
        <f t="shared" si="1"/>
        <v>80</v>
      </c>
      <c r="Q40" s="51" t="str">
        <f>[3]Theory!J54</f>
        <v>A-</v>
      </c>
      <c r="R40" s="57"/>
      <c r="S40" s="53">
        <f t="shared" si="2"/>
        <v>43</v>
      </c>
      <c r="T40" s="54">
        <f t="shared" si="3"/>
        <v>37</v>
      </c>
      <c r="U40" s="54"/>
      <c r="V40" s="54">
        <f t="shared" si="4"/>
        <v>76.785714285714292</v>
      </c>
      <c r="W40" s="54">
        <f t="shared" si="5"/>
        <v>84.090909090909093</v>
      </c>
      <c r="X40" s="54"/>
      <c r="Y40" s="55" t="str">
        <f t="shared" si="6"/>
        <v>Y</v>
      </c>
      <c r="Z40" s="55" t="str">
        <f t="shared" si="6"/>
        <v>Y</v>
      </c>
      <c r="AA40" s="56"/>
    </row>
    <row r="41" spans="2:27" ht="29.1" customHeight="1" thickBot="1" x14ac:dyDescent="0.45">
      <c r="B41" s="41">
        <v>31</v>
      </c>
      <c r="C41" s="42" t="str">
        <f>[3]Theory!A55</f>
        <v>2023-IT-54</v>
      </c>
      <c r="D41" s="43" t="str">
        <f>[3]Theory!B55</f>
        <v>Muhammad Zeeshan</v>
      </c>
      <c r="E41" s="44">
        <f>[3]Theory!D55</f>
        <v>6</v>
      </c>
      <c r="F41" s="45">
        <v>8</v>
      </c>
      <c r="G41" s="45">
        <v>4</v>
      </c>
      <c r="H41" s="46">
        <v>2</v>
      </c>
      <c r="I41" s="47">
        <f>[3]Theory!E55</f>
        <v>14</v>
      </c>
      <c r="J41" s="48">
        <f>[3]Theory!H55</f>
        <v>8</v>
      </c>
      <c r="K41" s="44">
        <f>[3]Theory!F55</f>
        <v>6</v>
      </c>
      <c r="L41" s="49">
        <v>0</v>
      </c>
      <c r="M41" s="49">
        <v>6</v>
      </c>
      <c r="N41" s="49">
        <v>1</v>
      </c>
      <c r="O41" s="50">
        <f>[3]Theory!G55</f>
        <v>7</v>
      </c>
      <c r="P41" s="47">
        <f t="shared" si="1"/>
        <v>41</v>
      </c>
      <c r="Q41" s="51" t="str">
        <f>[3]Theory!J55</f>
        <v>C-</v>
      </c>
      <c r="R41" s="57"/>
      <c r="S41" s="53">
        <f t="shared" si="2"/>
        <v>23</v>
      </c>
      <c r="T41" s="54">
        <f t="shared" si="3"/>
        <v>18</v>
      </c>
      <c r="U41" s="54"/>
      <c r="V41" s="54">
        <f t="shared" si="4"/>
        <v>41.071428571428569</v>
      </c>
      <c r="W41" s="54">
        <f t="shared" si="5"/>
        <v>40.909090909090914</v>
      </c>
      <c r="X41" s="54"/>
      <c r="Y41" s="55" t="str">
        <f t="shared" si="6"/>
        <v>N</v>
      </c>
      <c r="Z41" s="55" t="str">
        <f t="shared" si="6"/>
        <v>N</v>
      </c>
      <c r="AA41" s="56"/>
    </row>
    <row r="42" spans="2:27" ht="29.1" customHeight="1" thickBot="1" x14ac:dyDescent="0.45">
      <c r="B42" s="41">
        <v>32</v>
      </c>
      <c r="C42" s="42" t="str">
        <f>[3]Theory!A56</f>
        <v>2023-IT-56</v>
      </c>
      <c r="D42" s="43" t="str">
        <f>[3]Theory!B56</f>
        <v>Muhammad Adeel</v>
      </c>
      <c r="E42" s="44">
        <f>[3]Theory!D56</f>
        <v>0</v>
      </c>
      <c r="F42" s="45">
        <v>0</v>
      </c>
      <c r="G42" s="45">
        <v>0</v>
      </c>
      <c r="H42" s="46">
        <v>0</v>
      </c>
      <c r="I42" s="47">
        <f>[3]Theory!E56</f>
        <v>0</v>
      </c>
      <c r="J42" s="48">
        <f>[3]Theory!H56</f>
        <v>3</v>
      </c>
      <c r="K42" s="44">
        <f>[3]Theory!F56</f>
        <v>0</v>
      </c>
      <c r="L42" s="49">
        <v>1</v>
      </c>
      <c r="M42" s="49">
        <v>2</v>
      </c>
      <c r="N42" s="49">
        <v>9</v>
      </c>
      <c r="O42" s="50">
        <f>[3]Theory!G56</f>
        <v>12</v>
      </c>
      <c r="P42" s="47">
        <f t="shared" si="1"/>
        <v>15</v>
      </c>
      <c r="Q42" s="51" t="str">
        <f>[3]Theory!J56</f>
        <v>F</v>
      </c>
      <c r="R42" s="57"/>
      <c r="S42" s="53">
        <f t="shared" si="2"/>
        <v>13</v>
      </c>
      <c r="T42" s="54">
        <f t="shared" si="3"/>
        <v>2</v>
      </c>
      <c r="U42" s="54"/>
      <c r="V42" s="54">
        <f t="shared" si="4"/>
        <v>23.214285714285715</v>
      </c>
      <c r="W42" s="54">
        <f t="shared" si="5"/>
        <v>4.5454545454545459</v>
      </c>
      <c r="X42" s="54"/>
      <c r="Y42" s="55" t="str">
        <f t="shared" si="6"/>
        <v>N</v>
      </c>
      <c r="Z42" s="55" t="str">
        <f t="shared" si="6"/>
        <v>N</v>
      </c>
      <c r="AA42" s="56"/>
    </row>
    <row r="43" spans="2:27" ht="29.1" customHeight="1" thickBot="1" x14ac:dyDescent="0.45">
      <c r="B43" s="41">
        <v>33</v>
      </c>
      <c r="C43" s="42" t="str">
        <f>[3]Theory!A57</f>
        <v>2023-IT-60</v>
      </c>
      <c r="D43" s="43" t="str">
        <f>[3]Theory!B57</f>
        <v>Mughees Ahmad</v>
      </c>
      <c r="E43" s="44">
        <f>[3]Theory!D57</f>
        <v>7</v>
      </c>
      <c r="F43" s="45">
        <v>8</v>
      </c>
      <c r="G43" s="45">
        <v>8</v>
      </c>
      <c r="H43" s="46">
        <v>4</v>
      </c>
      <c r="I43" s="47">
        <f>[3]Theory!E57</f>
        <v>20</v>
      </c>
      <c r="J43" s="48">
        <f>[3]Theory!H57</f>
        <v>8</v>
      </c>
      <c r="K43" s="44">
        <f>[3]Theory!F57</f>
        <v>5</v>
      </c>
      <c r="L43" s="49">
        <v>5</v>
      </c>
      <c r="M43" s="49">
        <v>2</v>
      </c>
      <c r="N43" s="49">
        <v>10</v>
      </c>
      <c r="O43" s="50">
        <f>[3]Theory!G57</f>
        <v>17</v>
      </c>
      <c r="P43" s="47">
        <f t="shared" si="1"/>
        <v>57</v>
      </c>
      <c r="Q43" s="51" t="str">
        <f>[3]Theory!J57</f>
        <v>B-</v>
      </c>
      <c r="R43" s="57"/>
      <c r="S43" s="53">
        <f t="shared" si="2"/>
        <v>38</v>
      </c>
      <c r="T43" s="54">
        <f t="shared" si="3"/>
        <v>19</v>
      </c>
      <c r="U43" s="54"/>
      <c r="V43" s="54">
        <f t="shared" si="4"/>
        <v>67.857142857142861</v>
      </c>
      <c r="W43" s="54">
        <f t="shared" si="5"/>
        <v>43.18181818181818</v>
      </c>
      <c r="X43" s="54"/>
      <c r="Y43" s="55" t="str">
        <f t="shared" si="6"/>
        <v>Y</v>
      </c>
      <c r="Z43" s="55" t="str">
        <f t="shared" si="6"/>
        <v>N</v>
      </c>
      <c r="AA43" s="56"/>
    </row>
    <row r="44" spans="2:27" ht="29.1" customHeight="1" thickBot="1" x14ac:dyDescent="0.45">
      <c r="B44" s="41">
        <v>34</v>
      </c>
      <c r="C44" s="42" t="str">
        <f>[3]Theory!A58</f>
        <v>2023-IT-62</v>
      </c>
      <c r="D44" s="43" t="str">
        <f>[3]Theory!B58</f>
        <v>Muhammad Azeem</v>
      </c>
      <c r="E44" s="44">
        <f>[3]Theory!D58</f>
        <v>5</v>
      </c>
      <c r="F44" s="45">
        <v>9</v>
      </c>
      <c r="G44" s="45">
        <v>4</v>
      </c>
      <c r="H44" s="46">
        <v>10</v>
      </c>
      <c r="I44" s="47">
        <f>[3]Theory!E58</f>
        <v>23</v>
      </c>
      <c r="J44" s="48">
        <f>[3]Theory!H58</f>
        <v>8</v>
      </c>
      <c r="K44" s="44">
        <f>[3]Theory!F58</f>
        <v>8</v>
      </c>
      <c r="L44" s="49">
        <v>3</v>
      </c>
      <c r="M44" s="49">
        <v>5</v>
      </c>
      <c r="N44" s="49">
        <v>10</v>
      </c>
      <c r="O44" s="50">
        <f>[3]Theory!G58</f>
        <v>18</v>
      </c>
      <c r="P44" s="47">
        <f t="shared" si="1"/>
        <v>62</v>
      </c>
      <c r="Q44" s="51" t="str">
        <f>[3]Theory!J58</f>
        <v>B+</v>
      </c>
      <c r="R44" s="57"/>
      <c r="S44" s="53">
        <f t="shared" si="2"/>
        <v>35</v>
      </c>
      <c r="T44" s="54">
        <f t="shared" si="3"/>
        <v>27</v>
      </c>
      <c r="U44" s="54"/>
      <c r="V44" s="54">
        <f t="shared" si="4"/>
        <v>62.5</v>
      </c>
      <c r="W44" s="54">
        <f t="shared" si="5"/>
        <v>61.363636363636367</v>
      </c>
      <c r="X44" s="54"/>
      <c r="Y44" s="55" t="str">
        <f t="shared" si="6"/>
        <v>Y</v>
      </c>
      <c r="Z44" s="55" t="str">
        <f t="shared" si="6"/>
        <v>Y</v>
      </c>
      <c r="AA44" s="56"/>
    </row>
    <row r="45" spans="2:27" ht="29.1" customHeight="1" thickBot="1" x14ac:dyDescent="0.45">
      <c r="B45" s="41">
        <v>35</v>
      </c>
      <c r="C45" s="42" t="str">
        <f>[3]Theory!A59</f>
        <v>2023-IT-64</v>
      </c>
      <c r="D45" s="43" t="str">
        <f>[3]Theory!B59</f>
        <v>Abdul Ahad</v>
      </c>
      <c r="E45" s="44">
        <f>[3]Theory!D59</f>
        <v>0</v>
      </c>
      <c r="F45" s="45">
        <v>0</v>
      </c>
      <c r="G45" s="45">
        <v>0</v>
      </c>
      <c r="H45" s="46">
        <v>0</v>
      </c>
      <c r="I45" s="47">
        <f>[3]Theory!E59</f>
        <v>0</v>
      </c>
      <c r="J45" s="48">
        <f>[3]Theory!H59</f>
        <v>0</v>
      </c>
      <c r="K45" s="44">
        <f>[3]Theory!F59</f>
        <v>0</v>
      </c>
      <c r="L45" s="49">
        <v>0</v>
      </c>
      <c r="M45" s="49">
        <v>0</v>
      </c>
      <c r="N45" s="49">
        <v>0</v>
      </c>
      <c r="O45" s="50">
        <f>[3]Theory!G59</f>
        <v>0</v>
      </c>
      <c r="P45" s="47">
        <f t="shared" si="1"/>
        <v>0</v>
      </c>
      <c r="Q45" s="51" t="str">
        <f>[3]Theory!J59</f>
        <v>F</v>
      </c>
      <c r="R45" s="57"/>
      <c r="S45" s="53">
        <f t="shared" si="2"/>
        <v>0</v>
      </c>
      <c r="T45" s="54">
        <f t="shared" si="3"/>
        <v>0</v>
      </c>
      <c r="U45" s="54"/>
      <c r="V45" s="54">
        <f t="shared" si="4"/>
        <v>0</v>
      </c>
      <c r="W45" s="54">
        <f t="shared" si="5"/>
        <v>0</v>
      </c>
      <c r="X45" s="54"/>
      <c r="Y45" s="55" t="str">
        <f t="shared" si="6"/>
        <v>N</v>
      </c>
      <c r="Z45" s="55" t="str">
        <f t="shared" si="6"/>
        <v>N</v>
      </c>
      <c r="AA45" s="56"/>
    </row>
    <row r="46" spans="2:27" ht="29.1" customHeight="1" thickBot="1" x14ac:dyDescent="0.45">
      <c r="B46" s="41">
        <v>36</v>
      </c>
      <c r="C46" s="42" t="str">
        <f>[3]Theory!A60</f>
        <v>2023-IT-66</v>
      </c>
      <c r="D46" s="43" t="str">
        <f>[3]Theory!B60</f>
        <v>Muhammad Haris Javed</v>
      </c>
      <c r="E46" s="44">
        <f>[3]Theory!D60</f>
        <v>7</v>
      </c>
      <c r="F46" s="45">
        <v>9</v>
      </c>
      <c r="G46" s="45">
        <v>9</v>
      </c>
      <c r="H46" s="46">
        <v>9</v>
      </c>
      <c r="I46" s="47">
        <f>[3]Theory!E60</f>
        <v>27</v>
      </c>
      <c r="J46" s="48">
        <f>[3]Theory!H60</f>
        <v>8</v>
      </c>
      <c r="K46" s="44">
        <f>[3]Theory!F60</f>
        <v>7</v>
      </c>
      <c r="L46" s="49">
        <v>10</v>
      </c>
      <c r="M46" s="49">
        <v>14</v>
      </c>
      <c r="N46" s="49">
        <v>16</v>
      </c>
      <c r="O46" s="50">
        <f>[3]Theory!G60</f>
        <v>40</v>
      </c>
      <c r="P46" s="47">
        <f t="shared" si="1"/>
        <v>89</v>
      </c>
      <c r="Q46" s="51" t="str">
        <f>[3]Theory!J60</f>
        <v>A</v>
      </c>
      <c r="R46" s="57"/>
      <c r="S46" s="53">
        <f t="shared" si="2"/>
        <v>50</v>
      </c>
      <c r="T46" s="54">
        <f t="shared" si="3"/>
        <v>39</v>
      </c>
      <c r="U46" s="54"/>
      <c r="V46" s="54">
        <f t="shared" si="4"/>
        <v>89.285714285714292</v>
      </c>
      <c r="W46" s="54">
        <f t="shared" si="5"/>
        <v>88.63636363636364</v>
      </c>
      <c r="X46" s="54"/>
      <c r="Y46" s="55" t="str">
        <f t="shared" si="6"/>
        <v>Y</v>
      </c>
      <c r="Z46" s="55" t="str">
        <f t="shared" si="6"/>
        <v>Y</v>
      </c>
      <c r="AA46" s="56"/>
    </row>
    <row r="47" spans="2:27" ht="29.1" customHeight="1" thickBot="1" x14ac:dyDescent="0.45">
      <c r="B47" s="41">
        <v>37</v>
      </c>
      <c r="C47" s="42" t="str">
        <f>[3]Theory!A61</f>
        <v>2023-IT-68</v>
      </c>
      <c r="D47" s="43" t="str">
        <f>[3]Theory!B61</f>
        <v>Muhammad Mubashir</v>
      </c>
      <c r="E47" s="44">
        <f>[3]Theory!D61</f>
        <v>5</v>
      </c>
      <c r="F47" s="45">
        <v>8</v>
      </c>
      <c r="G47" s="45">
        <v>4</v>
      </c>
      <c r="H47" s="46">
        <v>8</v>
      </c>
      <c r="I47" s="47">
        <f>[3]Theory!E61</f>
        <v>20</v>
      </c>
      <c r="J47" s="48">
        <f>[3]Theory!H61</f>
        <v>8</v>
      </c>
      <c r="K47" s="44">
        <f>[3]Theory!F61</f>
        <v>0</v>
      </c>
      <c r="L47" s="49">
        <v>4</v>
      </c>
      <c r="M47" s="49">
        <v>5</v>
      </c>
      <c r="N47" s="49">
        <v>10</v>
      </c>
      <c r="O47" s="50">
        <f>[3]Theory!G61</f>
        <v>29</v>
      </c>
      <c r="P47" s="47">
        <f t="shared" si="1"/>
        <v>62</v>
      </c>
      <c r="Q47" s="51" t="str">
        <f>[3]Theory!J61</f>
        <v>B+</v>
      </c>
      <c r="R47" s="57"/>
      <c r="S47" s="53">
        <f t="shared" si="2"/>
        <v>35</v>
      </c>
      <c r="T47" s="54">
        <f t="shared" si="3"/>
        <v>17</v>
      </c>
      <c r="U47" s="54"/>
      <c r="V47" s="54">
        <f t="shared" si="4"/>
        <v>62.5</v>
      </c>
      <c r="W47" s="54">
        <f t="shared" si="5"/>
        <v>38.636363636363633</v>
      </c>
      <c r="X47" s="54"/>
      <c r="Y47" s="55" t="str">
        <f t="shared" si="6"/>
        <v>Y</v>
      </c>
      <c r="Z47" s="55" t="str">
        <f t="shared" si="6"/>
        <v>N</v>
      </c>
      <c r="AA47" s="56"/>
    </row>
    <row r="48" spans="2:27" ht="29.1" customHeight="1" thickBot="1" x14ac:dyDescent="0.45">
      <c r="B48" s="41">
        <v>38</v>
      </c>
      <c r="C48" s="42" t="str">
        <f>[3]Theory!A62</f>
        <v>2023-IT-70</v>
      </c>
      <c r="D48" s="43" t="str">
        <f>[3]Theory!B62</f>
        <v>Muhammad Usama</v>
      </c>
      <c r="E48" s="44">
        <f>[3]Theory!D62</f>
        <v>0</v>
      </c>
      <c r="F48" s="45">
        <v>0</v>
      </c>
      <c r="G48" s="45">
        <v>0</v>
      </c>
      <c r="H48" s="46">
        <v>0</v>
      </c>
      <c r="I48" s="47">
        <f>[3]Theory!E62</f>
        <v>0</v>
      </c>
      <c r="J48" s="48">
        <f>[3]Theory!H62</f>
        <v>0</v>
      </c>
      <c r="K48" s="44">
        <f>[3]Theory!F62</f>
        <v>0</v>
      </c>
      <c r="L48" s="49">
        <v>0</v>
      </c>
      <c r="M48" s="49">
        <v>0</v>
      </c>
      <c r="N48" s="49">
        <v>0</v>
      </c>
      <c r="O48" s="50">
        <f>[3]Theory!G62</f>
        <v>0</v>
      </c>
      <c r="P48" s="47">
        <f t="shared" si="1"/>
        <v>0</v>
      </c>
      <c r="Q48" s="51" t="str">
        <f>[3]Theory!J62</f>
        <v>F</v>
      </c>
      <c r="R48" s="57"/>
      <c r="S48" s="53">
        <f t="shared" si="2"/>
        <v>0</v>
      </c>
      <c r="T48" s="54">
        <f t="shared" si="3"/>
        <v>0</v>
      </c>
      <c r="U48" s="54"/>
      <c r="V48" s="54">
        <f t="shared" si="4"/>
        <v>0</v>
      </c>
      <c r="W48" s="54">
        <f t="shared" si="5"/>
        <v>0</v>
      </c>
      <c r="X48" s="54"/>
      <c r="Y48" s="55" t="str">
        <f t="shared" si="6"/>
        <v>N</v>
      </c>
      <c r="Z48" s="55" t="str">
        <f t="shared" si="6"/>
        <v>N</v>
      </c>
      <c r="AA48" s="56"/>
    </row>
    <row r="49" spans="2:27" ht="29.1" customHeight="1" thickBot="1" x14ac:dyDescent="0.45">
      <c r="B49" s="41">
        <v>39</v>
      </c>
      <c r="C49" s="42" t="str">
        <f>[3]Theory!A63</f>
        <v>2023-IT-72</v>
      </c>
      <c r="D49" s="43" t="str">
        <f>[3]Theory!B63</f>
        <v>Muhammad Zohaib Akhtar</v>
      </c>
      <c r="E49" s="44">
        <f>[3]Theory!D63</f>
        <v>5</v>
      </c>
      <c r="F49" s="45">
        <v>8</v>
      </c>
      <c r="G49" s="45">
        <v>3</v>
      </c>
      <c r="H49" s="46">
        <v>8</v>
      </c>
      <c r="I49" s="47">
        <f>[3]Theory!E63</f>
        <v>19</v>
      </c>
      <c r="J49" s="48">
        <f>[3]Theory!H63</f>
        <v>7</v>
      </c>
      <c r="K49" s="44">
        <f>[3]Theory!F63</f>
        <v>8</v>
      </c>
      <c r="L49" s="49">
        <v>5</v>
      </c>
      <c r="M49" s="49">
        <v>10</v>
      </c>
      <c r="N49" s="49">
        <v>10</v>
      </c>
      <c r="O49" s="50">
        <f>[3]Theory!G63</f>
        <v>25</v>
      </c>
      <c r="P49" s="47">
        <f t="shared" si="1"/>
        <v>64</v>
      </c>
      <c r="Q49" s="51" t="str">
        <f>[3]Theory!J63</f>
        <v>B+</v>
      </c>
      <c r="R49" s="57"/>
      <c r="S49" s="53">
        <f t="shared" si="2"/>
        <v>35</v>
      </c>
      <c r="T49" s="54">
        <f t="shared" si="3"/>
        <v>29</v>
      </c>
      <c r="U49" s="54"/>
      <c r="V49" s="54">
        <f t="shared" si="4"/>
        <v>62.5</v>
      </c>
      <c r="W49" s="54">
        <f t="shared" si="5"/>
        <v>65.909090909090907</v>
      </c>
      <c r="X49" s="54"/>
      <c r="Y49" s="55" t="str">
        <f t="shared" si="6"/>
        <v>Y</v>
      </c>
      <c r="Z49" s="55" t="str">
        <f t="shared" si="6"/>
        <v>Y</v>
      </c>
      <c r="AA49" s="56"/>
    </row>
    <row r="50" spans="2:27" ht="29.1" customHeight="1" thickBot="1" x14ac:dyDescent="0.45">
      <c r="B50" s="41">
        <v>40</v>
      </c>
      <c r="C50" s="42" t="str">
        <f>[3]Theory!A64</f>
        <v>2023-IT-74</v>
      </c>
      <c r="D50" s="43" t="str">
        <f>[3]Theory!B64</f>
        <v>Ashir Mudassir</v>
      </c>
      <c r="E50" s="44">
        <f>[3]Theory!D64</f>
        <v>8</v>
      </c>
      <c r="F50" s="45">
        <v>7</v>
      </c>
      <c r="G50" s="45">
        <v>8</v>
      </c>
      <c r="H50" s="46">
        <v>4</v>
      </c>
      <c r="I50" s="47">
        <f>[3]Theory!E64</f>
        <v>19</v>
      </c>
      <c r="J50" s="48">
        <f>[3]Theory!H64</f>
        <v>8</v>
      </c>
      <c r="K50" s="44">
        <f>[3]Theory!F64</f>
        <v>8</v>
      </c>
      <c r="L50" s="49">
        <v>5</v>
      </c>
      <c r="M50" s="49">
        <v>10</v>
      </c>
      <c r="N50" s="49">
        <v>15</v>
      </c>
      <c r="O50" s="50">
        <f>[3]Theory!G64</f>
        <v>30</v>
      </c>
      <c r="P50" s="47">
        <f t="shared" si="1"/>
        <v>73</v>
      </c>
      <c r="Q50" s="51" t="str">
        <f>[3]Theory!J64</f>
        <v>A-</v>
      </c>
      <c r="R50" s="57"/>
      <c r="S50" s="53">
        <f t="shared" si="2"/>
        <v>43</v>
      </c>
      <c r="T50" s="54">
        <f t="shared" si="3"/>
        <v>30</v>
      </c>
      <c r="U50" s="54"/>
      <c r="V50" s="54">
        <f t="shared" si="4"/>
        <v>76.785714285714292</v>
      </c>
      <c r="W50" s="54">
        <f t="shared" si="5"/>
        <v>68.181818181818173</v>
      </c>
      <c r="X50" s="54"/>
      <c r="Y50" s="55" t="str">
        <f t="shared" si="6"/>
        <v>Y</v>
      </c>
      <c r="Z50" s="55" t="str">
        <f t="shared" si="6"/>
        <v>Y</v>
      </c>
      <c r="AA50" s="56"/>
    </row>
    <row r="51" spans="2:27" ht="29.1" customHeight="1" thickBot="1" x14ac:dyDescent="0.45">
      <c r="B51" s="41">
        <v>41</v>
      </c>
      <c r="C51" s="42" t="str">
        <f>[3]Theory!A65</f>
        <v>2023-IT-76</v>
      </c>
      <c r="D51" s="43" t="str">
        <f>[3]Theory!B65</f>
        <v>Rao Usama</v>
      </c>
      <c r="E51" s="44">
        <f>[3]Theory!D65</f>
        <v>6</v>
      </c>
      <c r="F51" s="45">
        <v>6</v>
      </c>
      <c r="G51" s="45">
        <v>4</v>
      </c>
      <c r="H51" s="46">
        <v>3</v>
      </c>
      <c r="I51" s="47">
        <f>[3]Theory!E65</f>
        <v>13</v>
      </c>
      <c r="J51" s="48">
        <f>[3]Theory!H65</f>
        <v>8</v>
      </c>
      <c r="K51" s="44">
        <f>[3]Theory!F65</f>
        <v>7</v>
      </c>
      <c r="L51" s="49">
        <v>3</v>
      </c>
      <c r="M51" s="49">
        <v>7</v>
      </c>
      <c r="N51" s="49">
        <v>6</v>
      </c>
      <c r="O51" s="50">
        <f>[3]Theory!G65</f>
        <v>16</v>
      </c>
      <c r="P51" s="47">
        <f t="shared" si="1"/>
        <v>50</v>
      </c>
      <c r="Q51" s="51" t="str">
        <f>[3]Theory!J65</f>
        <v>C+</v>
      </c>
      <c r="R51" s="57"/>
      <c r="S51" s="53">
        <f t="shared" si="2"/>
        <v>29</v>
      </c>
      <c r="T51" s="54">
        <f t="shared" si="3"/>
        <v>21</v>
      </c>
      <c r="U51" s="54"/>
      <c r="V51" s="54">
        <f t="shared" si="4"/>
        <v>51.785714285714292</v>
      </c>
      <c r="W51" s="54">
        <f t="shared" si="5"/>
        <v>47.727272727272727</v>
      </c>
      <c r="X51" s="54"/>
      <c r="Y51" s="55" t="str">
        <f t="shared" si="6"/>
        <v>Y</v>
      </c>
      <c r="Z51" s="55" t="str">
        <f t="shared" si="6"/>
        <v>N</v>
      </c>
      <c r="AA51" s="56"/>
    </row>
    <row r="52" spans="2:27" ht="29.1" customHeight="1" thickBot="1" x14ac:dyDescent="0.45">
      <c r="B52" s="41">
        <v>42</v>
      </c>
      <c r="C52" s="42" t="str">
        <f>[3]Theory!A66</f>
        <v>2023-IT-78</v>
      </c>
      <c r="D52" s="43" t="str">
        <f>[3]Theory!B66</f>
        <v>Muhammad Zaman</v>
      </c>
      <c r="E52" s="44">
        <f>[3]Theory!D66</f>
        <v>2</v>
      </c>
      <c r="F52" s="45">
        <v>10</v>
      </c>
      <c r="G52" s="45">
        <v>4</v>
      </c>
      <c r="H52" s="46">
        <v>4</v>
      </c>
      <c r="I52" s="47">
        <f>[3]Theory!E66</f>
        <v>18</v>
      </c>
      <c r="J52" s="48">
        <f>[3]Theory!H66</f>
        <v>8</v>
      </c>
      <c r="K52" s="44">
        <f>[3]Theory!F66</f>
        <v>7</v>
      </c>
      <c r="L52" s="49">
        <v>4</v>
      </c>
      <c r="M52" s="49">
        <v>6</v>
      </c>
      <c r="N52" s="49">
        <v>10</v>
      </c>
      <c r="O52" s="50">
        <f>[3]Theory!G66</f>
        <v>20</v>
      </c>
      <c r="P52" s="47">
        <f t="shared" si="1"/>
        <v>55</v>
      </c>
      <c r="Q52" s="51" t="str">
        <f>[3]Theory!J66</f>
        <v>B-</v>
      </c>
      <c r="R52" s="57"/>
      <c r="S52" s="53">
        <f t="shared" si="2"/>
        <v>34</v>
      </c>
      <c r="T52" s="54">
        <f t="shared" si="3"/>
        <v>21</v>
      </c>
      <c r="U52" s="54"/>
      <c r="V52" s="54">
        <f t="shared" si="4"/>
        <v>60.714285714285708</v>
      </c>
      <c r="W52" s="54">
        <f t="shared" si="5"/>
        <v>47.727272727272727</v>
      </c>
      <c r="X52" s="54"/>
      <c r="Y52" s="55" t="str">
        <f t="shared" si="6"/>
        <v>Y</v>
      </c>
      <c r="Z52" s="55" t="str">
        <f t="shared" si="6"/>
        <v>N</v>
      </c>
      <c r="AA52" s="56"/>
    </row>
    <row r="53" spans="2:27" ht="29.1" customHeight="1" thickBot="1" x14ac:dyDescent="0.45">
      <c r="B53" s="41">
        <v>43</v>
      </c>
      <c r="C53" s="42" t="str">
        <f>[3]Theory!A67</f>
        <v>2023-IT-79</v>
      </c>
      <c r="D53" s="43" t="str">
        <f>[3]Theory!B67</f>
        <v>Iqra Moeen</v>
      </c>
      <c r="E53" s="44">
        <f>[3]Theory!D67</f>
        <v>6</v>
      </c>
      <c r="F53" s="45">
        <v>8</v>
      </c>
      <c r="G53" s="45">
        <v>4</v>
      </c>
      <c r="H53" s="46">
        <v>5</v>
      </c>
      <c r="I53" s="47">
        <f>[3]Theory!E67</f>
        <v>17</v>
      </c>
      <c r="J53" s="48">
        <f>[3]Theory!H67</f>
        <v>8</v>
      </c>
      <c r="K53" s="44">
        <f>[3]Theory!F67</f>
        <v>9</v>
      </c>
      <c r="L53" s="49">
        <v>4</v>
      </c>
      <c r="M53" s="49">
        <v>8</v>
      </c>
      <c r="N53" s="49">
        <v>12</v>
      </c>
      <c r="O53" s="50">
        <f>[3]Theory!G67</f>
        <v>24</v>
      </c>
      <c r="P53" s="47">
        <f t="shared" si="1"/>
        <v>64</v>
      </c>
      <c r="Q53" s="51" t="str">
        <f>[3]Theory!J67</f>
        <v>B+</v>
      </c>
      <c r="R53" s="57"/>
      <c r="S53" s="53">
        <f t="shared" si="2"/>
        <v>38</v>
      </c>
      <c r="T53" s="54">
        <f t="shared" si="3"/>
        <v>26</v>
      </c>
      <c r="U53" s="54"/>
      <c r="V53" s="54">
        <f t="shared" si="4"/>
        <v>67.857142857142861</v>
      </c>
      <c r="W53" s="54">
        <f t="shared" si="5"/>
        <v>59.090909090909093</v>
      </c>
      <c r="X53" s="54"/>
      <c r="Y53" s="55" t="str">
        <f t="shared" si="6"/>
        <v>Y</v>
      </c>
      <c r="Z53" s="55" t="str">
        <f t="shared" si="6"/>
        <v>Y</v>
      </c>
      <c r="AA53" s="56"/>
    </row>
    <row r="54" spans="2:27" ht="29.1" customHeight="1" thickBot="1" x14ac:dyDescent="0.45">
      <c r="B54" s="41">
        <v>44</v>
      </c>
      <c r="C54" s="42" t="str">
        <f>[3]Theory!A68</f>
        <v>2023-IT-80</v>
      </c>
      <c r="D54" s="43" t="str">
        <f>[3]Theory!B68</f>
        <v>Ali Raza</v>
      </c>
      <c r="E54" s="44">
        <f>[3]Theory!D68</f>
        <v>1</v>
      </c>
      <c r="F54" s="45">
        <v>10</v>
      </c>
      <c r="G54" s="45">
        <v>6</v>
      </c>
      <c r="H54" s="46">
        <v>4</v>
      </c>
      <c r="I54" s="47">
        <f>[3]Theory!E68</f>
        <v>20</v>
      </c>
      <c r="J54" s="48">
        <f>[3]Theory!H68</f>
        <v>7</v>
      </c>
      <c r="K54" s="44">
        <f>[3]Theory!F68</f>
        <v>7</v>
      </c>
      <c r="L54" s="49">
        <v>1</v>
      </c>
      <c r="M54" s="49">
        <v>9</v>
      </c>
      <c r="N54" s="49">
        <v>4</v>
      </c>
      <c r="O54" s="50">
        <f>[3]Theory!G68</f>
        <v>14</v>
      </c>
      <c r="P54" s="47">
        <f t="shared" si="1"/>
        <v>49</v>
      </c>
      <c r="Q54" s="51" t="str">
        <f>[3]Theory!J68</f>
        <v>C+</v>
      </c>
      <c r="R54" s="57"/>
      <c r="S54" s="53">
        <f t="shared" si="2"/>
        <v>23</v>
      </c>
      <c r="T54" s="54">
        <f t="shared" si="3"/>
        <v>26</v>
      </c>
      <c r="U54" s="54"/>
      <c r="V54" s="54">
        <f t="shared" si="4"/>
        <v>41.071428571428569</v>
      </c>
      <c r="W54" s="54">
        <f t="shared" si="5"/>
        <v>59.090909090909093</v>
      </c>
      <c r="X54" s="54"/>
      <c r="Y54" s="55" t="str">
        <f t="shared" si="6"/>
        <v>N</v>
      </c>
      <c r="Z54" s="55" t="str">
        <f t="shared" si="6"/>
        <v>Y</v>
      </c>
      <c r="AA54" s="56"/>
    </row>
    <row r="55" spans="2:27" ht="28.5" customHeight="1" x14ac:dyDescent="0.4">
      <c r="B55" s="41"/>
      <c r="C55" s="42"/>
      <c r="D55" s="43"/>
      <c r="E55" s="44"/>
      <c r="F55" s="45"/>
      <c r="G55" s="45"/>
      <c r="H55" s="46"/>
      <c r="I55" s="47"/>
      <c r="J55" s="48"/>
      <c r="K55" s="44"/>
      <c r="L55" s="49"/>
      <c r="M55" s="49"/>
      <c r="N55" s="49"/>
      <c r="O55" s="50"/>
      <c r="P55" s="47"/>
      <c r="Q55" s="51"/>
      <c r="R55" s="57"/>
      <c r="S55" s="53"/>
      <c r="T55" s="54"/>
      <c r="U55" s="54"/>
      <c r="V55" s="54"/>
      <c r="W55" s="54"/>
      <c r="X55" s="54"/>
      <c r="Y55" s="55"/>
      <c r="Z55" s="55"/>
      <c r="AA55" s="56"/>
    </row>
    <row r="56" spans="2:27" ht="26.25" x14ac:dyDescent="0.25">
      <c r="B56" s="58"/>
      <c r="C56" s="59"/>
      <c r="D56" s="59"/>
      <c r="E56" s="59"/>
      <c r="F56" s="59"/>
      <c r="G56" s="60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spans="2:27" x14ac:dyDescent="0.3">
      <c r="B57" s="373" t="s">
        <v>30</v>
      </c>
      <c r="C57" s="373"/>
      <c r="D57" s="373"/>
      <c r="E57" s="61"/>
      <c r="F57" s="61"/>
      <c r="G57" s="61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spans="2:27" x14ac:dyDescent="0.3">
      <c r="B58" s="374" t="str">
        <f>D64</f>
        <v>Muhammad Aamir</v>
      </c>
      <c r="C58" s="374"/>
      <c r="D58" s="374"/>
      <c r="E58" s="63"/>
      <c r="F58" s="62" t="s">
        <v>32</v>
      </c>
      <c r="G58" s="6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61" spans="2:27" ht="42" customHeight="1" x14ac:dyDescent="0.25"/>
    <row r="62" spans="2:27" ht="24.95" customHeight="1" x14ac:dyDescent="0.25">
      <c r="B62" s="375" t="str">
        <f>B1</f>
        <v>MNS - UNIVERSITY OF ENGINEERING AND TECHNOLOGY MULTAN</v>
      </c>
      <c r="C62" s="375"/>
      <c r="D62" s="375"/>
      <c r="E62" s="375"/>
      <c r="F62" s="375"/>
      <c r="G62" s="375"/>
      <c r="H62" s="375"/>
      <c r="I62" s="375"/>
    </row>
    <row r="63" spans="2:27" ht="25.5" customHeight="1" x14ac:dyDescent="0.25">
      <c r="B63" s="359" t="str">
        <f>E3</f>
        <v>Title (Code):   Calculus and Analytical Geometry (MTH-114)</v>
      </c>
      <c r="C63" s="360"/>
      <c r="D63" s="363" t="str">
        <f>S1</f>
        <v>Fall 2023</v>
      </c>
      <c r="E63" s="363"/>
      <c r="F63" s="363"/>
      <c r="G63" s="363"/>
      <c r="H63" s="363"/>
      <c r="I63" s="363"/>
    </row>
    <row r="64" spans="2:27" ht="34.5" customHeight="1" x14ac:dyDescent="0.25">
      <c r="B64" s="361"/>
      <c r="C64" s="362"/>
      <c r="D64" s="363" t="str">
        <f>X1</f>
        <v>Muhammad Aamir</v>
      </c>
      <c r="E64" s="363"/>
      <c r="F64" s="363"/>
      <c r="G64" s="363"/>
      <c r="H64" s="363"/>
      <c r="I64" s="363"/>
    </row>
    <row r="65" spans="2:9" ht="25.5" x14ac:dyDescent="0.25">
      <c r="B65" s="379" t="s">
        <v>33</v>
      </c>
      <c r="C65" s="379"/>
      <c r="D65" s="379"/>
      <c r="E65" s="379"/>
      <c r="F65" s="379"/>
      <c r="G65" s="379"/>
      <c r="H65" s="379"/>
      <c r="I65" s="379"/>
    </row>
    <row r="66" spans="2:9" x14ac:dyDescent="0.25">
      <c r="B66" s="380"/>
      <c r="C66" s="380"/>
      <c r="D66" s="380"/>
      <c r="E66" s="380"/>
      <c r="F66" s="380"/>
      <c r="G66" s="380"/>
      <c r="H66" s="380"/>
      <c r="I66" s="380"/>
    </row>
    <row r="68" spans="2:9" x14ac:dyDescent="0.25">
      <c r="B68" s="1"/>
      <c r="C68" s="1"/>
      <c r="D68" s="317" t="s">
        <v>34</v>
      </c>
      <c r="E68" s="317"/>
      <c r="F68" s="317"/>
      <c r="G68" s="317"/>
      <c r="H68" s="317"/>
      <c r="I68" s="317"/>
    </row>
    <row r="69" spans="2:9" ht="20.25" customHeight="1" x14ac:dyDescent="0.25">
      <c r="B69" s="1" t="s">
        <v>25</v>
      </c>
      <c r="C69" s="1" t="s">
        <v>35</v>
      </c>
      <c r="D69" s="1" t="s">
        <v>36</v>
      </c>
      <c r="E69" s="66"/>
      <c r="F69" s="381" t="s">
        <v>37</v>
      </c>
      <c r="G69" s="315"/>
      <c r="H69" s="315"/>
      <c r="I69" s="316"/>
    </row>
    <row r="70" spans="2:9" x14ac:dyDescent="0.25">
      <c r="B70" s="58">
        <v>1</v>
      </c>
      <c r="C70" s="58">
        <f>S6</f>
        <v>2</v>
      </c>
      <c r="D70" s="58">
        <f>COUNTIF($Y$11:$Y$55,Y10)</f>
        <v>30</v>
      </c>
      <c r="E70" s="67"/>
      <c r="F70" s="376">
        <f>COUNTIF($Y$11:$Y$55,Z10)</f>
        <v>14</v>
      </c>
      <c r="G70" s="377"/>
      <c r="H70" s="377"/>
      <c r="I70" s="378"/>
    </row>
    <row r="71" spans="2:9" x14ac:dyDescent="0.25">
      <c r="B71" s="58">
        <v>2</v>
      </c>
      <c r="C71" s="58">
        <f>T6</f>
        <v>3</v>
      </c>
      <c r="D71" s="58">
        <f>COUNTIF($Z$11:$Z$55,Z11)</f>
        <v>24</v>
      </c>
      <c r="E71" s="67"/>
      <c r="F71" s="376">
        <f>COUNTIF($Z$11:$Z$55,Z10)</f>
        <v>20</v>
      </c>
      <c r="G71" s="377"/>
      <c r="H71" s="377"/>
      <c r="I71" s="378"/>
    </row>
    <row r="72" spans="2:9" x14ac:dyDescent="0.25">
      <c r="B72" s="58">
        <v>3</v>
      </c>
      <c r="C72" s="58">
        <f>U6</f>
        <v>0</v>
      </c>
      <c r="D72" s="58">
        <f>COUNTIF($AA$11:$AA$55,Y10)</f>
        <v>0</v>
      </c>
      <c r="E72" s="67"/>
      <c r="F72" s="376">
        <f>COUNTIF($AA$11:$AA$55,Z10)</f>
        <v>0</v>
      </c>
      <c r="G72" s="377"/>
      <c r="H72" s="377"/>
      <c r="I72" s="378"/>
    </row>
    <row r="101" spans="3:3" x14ac:dyDescent="0.25">
      <c r="C101" s="2" t="s">
        <v>38</v>
      </c>
    </row>
  </sheetData>
  <mergeCells count="40">
    <mergeCell ref="F72:I72"/>
    <mergeCell ref="B65:I65"/>
    <mergeCell ref="B66:I66"/>
    <mergeCell ref="D68:I68"/>
    <mergeCell ref="F69:I69"/>
    <mergeCell ref="F70:I70"/>
    <mergeCell ref="F71:I71"/>
    <mergeCell ref="B63:C64"/>
    <mergeCell ref="D63:I63"/>
    <mergeCell ref="D64:I64"/>
    <mergeCell ref="B5:D5"/>
    <mergeCell ref="F5:I5"/>
    <mergeCell ref="F10:Q10"/>
    <mergeCell ref="B57:D57"/>
    <mergeCell ref="B58:D58"/>
    <mergeCell ref="B62:I62"/>
    <mergeCell ref="V5:X7"/>
    <mergeCell ref="Y5:AA7"/>
    <mergeCell ref="B6:D6"/>
    <mergeCell ref="B7:D7"/>
    <mergeCell ref="R7:R10"/>
    <mergeCell ref="S8:U8"/>
    <mergeCell ref="V8:X8"/>
    <mergeCell ref="Y8:AA8"/>
    <mergeCell ref="V10:X10"/>
    <mergeCell ref="B3:D3"/>
    <mergeCell ref="E3:Q3"/>
    <mergeCell ref="R3:AA3"/>
    <mergeCell ref="B4:D4"/>
    <mergeCell ref="F4:I4"/>
    <mergeCell ref="L4:O4"/>
    <mergeCell ref="R4:AA4"/>
    <mergeCell ref="B2:H2"/>
    <mergeCell ref="I2:Q2"/>
    <mergeCell ref="R2:AA2"/>
    <mergeCell ref="B1:K1"/>
    <mergeCell ref="L1:O1"/>
    <mergeCell ref="P1:R1"/>
    <mergeCell ref="S1:W1"/>
    <mergeCell ref="X1:AA1"/>
  </mergeCells>
  <pageMargins left="0" right="0" top="0" bottom="0" header="0.31496062992125984" footer="0.31496062992125984"/>
  <pageSetup scale="3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C723-292E-425C-842B-D667C1C66B19}">
  <sheetPr>
    <pageSetUpPr fitToPage="1"/>
  </sheetPr>
  <dimension ref="A1:W110"/>
  <sheetViews>
    <sheetView topLeftCell="A79" zoomScale="57" zoomScaleNormal="57" zoomScalePageLayoutView="22" workbookViewId="0">
      <selection activeCell="Q7" sqref="Q7"/>
    </sheetView>
  </sheetViews>
  <sheetFormatPr defaultRowHeight="20.25" x14ac:dyDescent="0.25"/>
  <cols>
    <col min="1" max="1" width="7.7109375" style="2" customWidth="1"/>
    <col min="2" max="2" width="11.140625" style="64" customWidth="1"/>
    <col min="3" max="3" width="44.42578125" style="2" customWidth="1"/>
    <col min="4" max="4" width="49.7109375" style="2" customWidth="1"/>
    <col min="5" max="7" width="20.140625" style="2" customWidth="1"/>
    <col min="8" max="8" width="21.28515625" style="2" customWidth="1"/>
    <col min="9" max="9" width="23.140625" style="2" customWidth="1"/>
    <col min="10" max="10" width="15.140625" style="2" customWidth="1"/>
    <col min="11" max="11" width="28" style="2" customWidth="1"/>
    <col min="12" max="12" width="14.140625" style="2" customWidth="1"/>
    <col min="13" max="13" width="18.28515625" style="2" customWidth="1"/>
    <col min="14" max="14" width="15.42578125" style="2" bestFit="1" customWidth="1"/>
    <col min="15" max="16" width="9.140625" style="2" customWidth="1"/>
    <col min="17" max="17" width="10.42578125" style="2" customWidth="1"/>
    <col min="18" max="18" width="9.140625" style="2" customWidth="1"/>
    <col min="19" max="19" width="11.140625" style="2" customWidth="1"/>
    <col min="20" max="20" width="11.85546875" style="2" customWidth="1"/>
    <col min="21" max="21" width="9.140625" style="2" customWidth="1"/>
    <col min="22" max="22" width="13.140625" style="2" customWidth="1"/>
    <col min="23" max="23" width="14.7109375" style="2" customWidth="1"/>
    <col min="24" max="16384" width="9.140625" style="2"/>
  </cols>
  <sheetData>
    <row r="1" spans="2:23" ht="21" thickBot="1" x14ac:dyDescent="0.3"/>
    <row r="2" spans="2:23" ht="51" customHeight="1" thickBot="1" x14ac:dyDescent="0.3">
      <c r="B2" s="388" t="s">
        <v>40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90"/>
      <c r="N2" s="389" t="s">
        <v>41</v>
      </c>
      <c r="O2" s="389"/>
      <c r="P2" s="389"/>
      <c r="Q2" s="389"/>
      <c r="R2" s="389"/>
      <c r="S2" s="391"/>
      <c r="T2" s="392" t="s">
        <v>42</v>
      </c>
      <c r="U2" s="392"/>
      <c r="V2" s="392"/>
      <c r="W2" s="393"/>
    </row>
    <row r="3" spans="2:23" ht="32.1" customHeight="1" thickBot="1" x14ac:dyDescent="0.3">
      <c r="B3" s="310" t="s">
        <v>0</v>
      </c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2"/>
      <c r="N3" s="310" t="s">
        <v>43</v>
      </c>
      <c r="O3" s="311"/>
      <c r="P3" s="311"/>
      <c r="Q3" s="311"/>
      <c r="R3" s="311"/>
      <c r="S3" s="311"/>
      <c r="T3" s="311"/>
      <c r="U3" s="311"/>
      <c r="V3" s="311"/>
      <c r="W3" s="312"/>
    </row>
    <row r="4" spans="2:23" ht="32.1" customHeight="1" thickBot="1" x14ac:dyDescent="0.3">
      <c r="B4" s="382" t="s">
        <v>2</v>
      </c>
      <c r="C4" s="383"/>
      <c r="D4" s="384"/>
      <c r="E4" s="69"/>
      <c r="F4" s="69"/>
      <c r="G4" s="69"/>
      <c r="H4" s="69"/>
      <c r="I4" s="385" t="s">
        <v>44</v>
      </c>
      <c r="J4" s="386"/>
      <c r="K4" s="386"/>
      <c r="L4" s="386"/>
      <c r="M4" s="387"/>
      <c r="N4" s="323" t="s">
        <v>45</v>
      </c>
      <c r="O4" s="324"/>
      <c r="P4" s="324"/>
      <c r="Q4" s="324"/>
      <c r="R4" s="324"/>
      <c r="S4" s="324"/>
      <c r="T4" s="324"/>
      <c r="U4" s="324"/>
      <c r="V4" s="324"/>
      <c r="W4" s="325"/>
    </row>
    <row r="5" spans="2:23" ht="59.25" customHeight="1" thickBot="1" x14ac:dyDescent="0.3">
      <c r="B5" s="397" t="s">
        <v>3</v>
      </c>
      <c r="C5" s="398"/>
      <c r="D5" s="399"/>
      <c r="E5" s="323" t="e">
        <f>#REF!</f>
        <v>#REF!</v>
      </c>
      <c r="F5" s="324"/>
      <c r="G5" s="324"/>
      <c r="H5" s="400"/>
      <c r="I5" s="3" t="e">
        <f>#REF!</f>
        <v>#REF!</v>
      </c>
      <c r="J5" s="70" t="e">
        <f>#REF!</f>
        <v>#REF!</v>
      </c>
      <c r="K5" s="70" t="e">
        <f>#REF!</f>
        <v>#REF!</v>
      </c>
      <c r="L5" s="71" t="s">
        <v>9</v>
      </c>
      <c r="M5" s="72" t="s">
        <v>10</v>
      </c>
      <c r="N5" s="332" t="s">
        <v>11</v>
      </c>
      <c r="O5" s="333"/>
      <c r="P5" s="333"/>
      <c r="Q5" s="333"/>
      <c r="R5" s="333"/>
      <c r="S5" s="333"/>
      <c r="T5" s="333"/>
      <c r="U5" s="333"/>
      <c r="V5" s="333"/>
      <c r="W5" s="334"/>
    </row>
    <row r="6" spans="2:23" ht="50.25" customHeight="1" thickBot="1" x14ac:dyDescent="0.3">
      <c r="B6" s="73"/>
      <c r="C6" s="74"/>
      <c r="D6" s="75" t="s">
        <v>12</v>
      </c>
      <c r="E6" s="401">
        <v>30</v>
      </c>
      <c r="F6" s="402"/>
      <c r="G6" s="403"/>
      <c r="H6" s="404" t="s">
        <v>46</v>
      </c>
      <c r="I6" s="76">
        <v>20</v>
      </c>
      <c r="J6" s="77">
        <v>10</v>
      </c>
      <c r="K6" s="78">
        <v>40</v>
      </c>
      <c r="L6" s="79">
        <f>E6+I6+J6+K6</f>
        <v>100</v>
      </c>
      <c r="M6" s="406"/>
      <c r="N6" s="80" t="s">
        <v>13</v>
      </c>
      <c r="O6" s="81">
        <v>1</v>
      </c>
      <c r="P6" s="82">
        <v>2</v>
      </c>
      <c r="Q6" s="82">
        <v>3</v>
      </c>
      <c r="R6" s="409"/>
      <c r="S6" s="410"/>
      <c r="T6" s="411"/>
      <c r="U6" s="409"/>
      <c r="V6" s="410"/>
      <c r="W6" s="418"/>
    </row>
    <row r="7" spans="2:23" ht="45" customHeight="1" thickBot="1" x14ac:dyDescent="0.3">
      <c r="B7" s="83"/>
      <c r="C7" s="84"/>
      <c r="D7" s="85" t="s">
        <v>14</v>
      </c>
      <c r="E7" s="86" t="s">
        <v>47</v>
      </c>
      <c r="F7" s="87" t="s">
        <v>48</v>
      </c>
      <c r="G7" s="87" t="s">
        <v>49</v>
      </c>
      <c r="H7" s="405"/>
      <c r="I7" s="88" t="s">
        <v>16</v>
      </c>
      <c r="J7" s="15" t="s">
        <v>16</v>
      </c>
      <c r="K7" s="15" t="s">
        <v>16</v>
      </c>
      <c r="L7" s="421">
        <f>E8+F8+G8+I8+J8+K8</f>
        <v>100</v>
      </c>
      <c r="M7" s="407"/>
      <c r="N7" s="80" t="s">
        <v>19</v>
      </c>
      <c r="O7" s="81">
        <v>2</v>
      </c>
      <c r="P7" s="82">
        <v>3</v>
      </c>
      <c r="Q7" s="82">
        <v>7</v>
      </c>
      <c r="R7" s="412"/>
      <c r="S7" s="413"/>
      <c r="T7" s="414"/>
      <c r="U7" s="412"/>
      <c r="V7" s="413"/>
      <c r="W7" s="419"/>
    </row>
    <row r="8" spans="2:23" ht="46.5" customHeight="1" thickBot="1" x14ac:dyDescent="0.3">
      <c r="B8" s="83"/>
      <c r="C8" s="84"/>
      <c r="D8" s="85" t="s">
        <v>20</v>
      </c>
      <c r="E8" s="86">
        <v>10</v>
      </c>
      <c r="F8" s="87">
        <v>10</v>
      </c>
      <c r="G8" s="87">
        <v>10</v>
      </c>
      <c r="H8" s="87">
        <v>30</v>
      </c>
      <c r="I8" s="88">
        <v>20</v>
      </c>
      <c r="J8" s="89">
        <v>10</v>
      </c>
      <c r="K8" s="18">
        <v>40</v>
      </c>
      <c r="L8" s="422"/>
      <c r="M8" s="407"/>
      <c r="N8" s="423"/>
      <c r="O8" s="90">
        <f>E8+J8</f>
        <v>20</v>
      </c>
      <c r="P8" s="82">
        <f>K8</f>
        <v>40</v>
      </c>
      <c r="Q8" s="82">
        <f>F8+G8+I8</f>
        <v>40</v>
      </c>
      <c r="R8" s="415"/>
      <c r="S8" s="416"/>
      <c r="T8" s="417"/>
      <c r="U8" s="415"/>
      <c r="V8" s="416"/>
      <c r="W8" s="420"/>
    </row>
    <row r="9" spans="2:23" ht="69" customHeight="1" thickBot="1" x14ac:dyDescent="0.3">
      <c r="B9" s="83"/>
      <c r="C9" s="84"/>
      <c r="D9" s="85" t="s">
        <v>21</v>
      </c>
      <c r="E9" s="91">
        <f t="shared" ref="E9:K9" si="0">E8*0.5</f>
        <v>5</v>
      </c>
      <c r="F9" s="92">
        <f t="shared" si="0"/>
        <v>5</v>
      </c>
      <c r="G9" s="22">
        <f t="shared" si="0"/>
        <v>5</v>
      </c>
      <c r="H9" s="22">
        <f t="shared" si="0"/>
        <v>15</v>
      </c>
      <c r="I9" s="93">
        <f t="shared" si="0"/>
        <v>10</v>
      </c>
      <c r="J9" s="22">
        <f t="shared" si="0"/>
        <v>5</v>
      </c>
      <c r="K9" s="22">
        <f t="shared" si="0"/>
        <v>20</v>
      </c>
      <c r="L9" s="22">
        <f>L7*0.5</f>
        <v>50</v>
      </c>
      <c r="M9" s="407"/>
      <c r="N9" s="424"/>
      <c r="O9" s="391" t="s">
        <v>22</v>
      </c>
      <c r="P9" s="426"/>
      <c r="Q9" s="426"/>
      <c r="R9" s="392" t="s">
        <v>50</v>
      </c>
      <c r="S9" s="392"/>
      <c r="T9" s="392"/>
      <c r="U9" s="427" t="s">
        <v>23</v>
      </c>
      <c r="V9" s="333"/>
      <c r="W9" s="334"/>
    </row>
    <row r="10" spans="2:23" ht="42.75" customHeight="1" thickBot="1" x14ac:dyDescent="0.3">
      <c r="B10" s="94"/>
      <c r="C10" s="95"/>
      <c r="D10" s="96" t="s">
        <v>24</v>
      </c>
      <c r="E10" s="97">
        <v>1</v>
      </c>
      <c r="F10" s="98">
        <v>3</v>
      </c>
      <c r="G10" s="99">
        <v>3</v>
      </c>
      <c r="H10" s="100"/>
      <c r="I10" s="98">
        <v>3</v>
      </c>
      <c r="J10" s="101">
        <v>1</v>
      </c>
      <c r="K10" s="101">
        <v>2</v>
      </c>
      <c r="L10" s="102"/>
      <c r="M10" s="408"/>
      <c r="N10" s="424"/>
      <c r="O10" s="81">
        <f>O6</f>
        <v>1</v>
      </c>
      <c r="P10" s="82">
        <f>P6</f>
        <v>2</v>
      </c>
      <c r="Q10" s="82">
        <v>3</v>
      </c>
      <c r="R10" s="82">
        <v>1</v>
      </c>
      <c r="S10" s="82">
        <v>2</v>
      </c>
      <c r="T10" s="103">
        <v>3</v>
      </c>
      <c r="U10" s="104">
        <f>O7</f>
        <v>2</v>
      </c>
      <c r="V10" s="82">
        <f>P7</f>
        <v>3</v>
      </c>
      <c r="W10" s="105">
        <f>Q7</f>
        <v>7</v>
      </c>
    </row>
    <row r="11" spans="2:23" ht="43.5" customHeight="1" thickBot="1" x14ac:dyDescent="0.3">
      <c r="B11" s="106" t="s">
        <v>25</v>
      </c>
      <c r="C11" s="107" t="s">
        <v>26</v>
      </c>
      <c r="D11" s="108" t="s">
        <v>26</v>
      </c>
      <c r="E11" s="109"/>
      <c r="F11" s="109"/>
      <c r="G11" s="109"/>
      <c r="H11" s="109"/>
      <c r="I11" s="371"/>
      <c r="J11" s="371"/>
      <c r="K11" s="371"/>
      <c r="L11" s="371"/>
      <c r="M11" s="372"/>
      <c r="N11" s="425"/>
      <c r="O11" s="110"/>
      <c r="P11" s="111"/>
      <c r="Q11" s="111"/>
      <c r="R11" s="409"/>
      <c r="S11" s="410"/>
      <c r="T11" s="410"/>
      <c r="U11" s="112" t="s">
        <v>28</v>
      </c>
      <c r="V11" s="112" t="s">
        <v>29</v>
      </c>
      <c r="W11" s="113"/>
    </row>
    <row r="12" spans="2:23" ht="29.1" customHeight="1" thickBot="1" x14ac:dyDescent="0.45">
      <c r="B12" s="114">
        <v>1</v>
      </c>
      <c r="C12" s="115" t="s">
        <v>51</v>
      </c>
      <c r="D12" s="116" t="s">
        <v>52</v>
      </c>
      <c r="E12" s="117">
        <v>6</v>
      </c>
      <c r="F12" s="117">
        <v>5</v>
      </c>
      <c r="G12" s="117">
        <v>6</v>
      </c>
      <c r="H12" s="117">
        <f>SUM(E12:G12)</f>
        <v>17</v>
      </c>
      <c r="I12" s="118">
        <v>11</v>
      </c>
      <c r="J12" s="119">
        <v>6</v>
      </c>
      <c r="K12" s="119">
        <v>21</v>
      </c>
      <c r="L12" s="120">
        <f>H12+I12+J12+K12</f>
        <v>55</v>
      </c>
      <c r="M12" s="121" t="s">
        <v>53</v>
      </c>
      <c r="N12" s="122"/>
      <c r="O12" s="123">
        <f t="shared" ref="O12:O55" si="1">E12+J12</f>
        <v>12</v>
      </c>
      <c r="P12" s="124">
        <f>K12</f>
        <v>21</v>
      </c>
      <c r="Q12" s="124">
        <f t="shared" ref="Q12:Q55" si="2">F12+G12+I12</f>
        <v>22</v>
      </c>
      <c r="R12" s="125">
        <f>((O12/$O$8)*100)</f>
        <v>60</v>
      </c>
      <c r="S12" s="126">
        <f>((P12/$P$8)*100)</f>
        <v>52.5</v>
      </c>
      <c r="T12" s="127">
        <f>((Q12/$Q$8)*100)</f>
        <v>55.000000000000007</v>
      </c>
      <c r="U12" s="128" t="str">
        <f>IF(R12&gt;=50,"Y","N")</f>
        <v>Y</v>
      </c>
      <c r="V12" s="129" t="str">
        <f>IF(S12&gt;50,"Y","N")</f>
        <v>Y</v>
      </c>
      <c r="W12" s="130" t="str">
        <f>IF(T12&gt;50,"Y","N")</f>
        <v>Y</v>
      </c>
    </row>
    <row r="13" spans="2:23" ht="29.1" customHeight="1" thickBot="1" x14ac:dyDescent="0.45">
      <c r="B13" s="114">
        <v>2</v>
      </c>
      <c r="C13" s="115" t="s">
        <v>54</v>
      </c>
      <c r="D13" s="116" t="s">
        <v>55</v>
      </c>
      <c r="E13" s="117">
        <v>5</v>
      </c>
      <c r="F13" s="117">
        <v>6</v>
      </c>
      <c r="G13" s="117">
        <v>5</v>
      </c>
      <c r="H13" s="117">
        <f t="shared" ref="H13:H55" si="3">SUM(E13:G13)</f>
        <v>16</v>
      </c>
      <c r="I13" s="118">
        <v>11</v>
      </c>
      <c r="J13" s="119">
        <v>5</v>
      </c>
      <c r="K13" s="119">
        <v>15</v>
      </c>
      <c r="L13" s="120">
        <f t="shared" ref="L13:L55" si="4">H13+I13+J13+K13</f>
        <v>47</v>
      </c>
      <c r="M13" s="121" t="s">
        <v>56</v>
      </c>
      <c r="N13" s="131"/>
      <c r="O13" s="123">
        <f t="shared" si="1"/>
        <v>10</v>
      </c>
      <c r="P13" s="124">
        <f t="shared" ref="P13:P55" si="5">K13</f>
        <v>15</v>
      </c>
      <c r="Q13" s="124">
        <f t="shared" si="2"/>
        <v>22</v>
      </c>
      <c r="R13" s="125">
        <f t="shared" ref="R13:R54" si="6">((O13/$O$8)*100)</f>
        <v>50</v>
      </c>
      <c r="S13" s="126">
        <f t="shared" ref="S13:S54" si="7">((P13/$P$8)*100)</f>
        <v>37.5</v>
      </c>
      <c r="T13" s="127">
        <f t="shared" ref="T13:T54" si="8">((Q13/$Q$8)*100)</f>
        <v>55.000000000000007</v>
      </c>
      <c r="U13" s="128" t="str">
        <f t="shared" ref="U13:U54" si="9">IF(R13&gt;=50,"Y","N")</f>
        <v>Y</v>
      </c>
      <c r="V13" s="129" t="str">
        <f>IF(S13&gt;50,"Y","N")</f>
        <v>N</v>
      </c>
      <c r="W13" s="130" t="str">
        <f t="shared" ref="W13:W55" si="10">IF(T13&gt;50,"Y","N")</f>
        <v>Y</v>
      </c>
    </row>
    <row r="14" spans="2:23" ht="29.1" customHeight="1" thickBot="1" x14ac:dyDescent="0.45">
      <c r="B14" s="114">
        <v>3</v>
      </c>
      <c r="C14" s="115" t="s">
        <v>57</v>
      </c>
      <c r="D14" s="116" t="s">
        <v>58</v>
      </c>
      <c r="E14" s="117">
        <v>5</v>
      </c>
      <c r="F14" s="117">
        <v>5</v>
      </c>
      <c r="G14" s="117">
        <v>8</v>
      </c>
      <c r="H14" s="117">
        <f t="shared" si="3"/>
        <v>18</v>
      </c>
      <c r="I14" s="118">
        <v>11</v>
      </c>
      <c r="J14" s="119">
        <v>6</v>
      </c>
      <c r="K14" s="119">
        <v>22</v>
      </c>
      <c r="L14" s="120">
        <f t="shared" si="4"/>
        <v>57</v>
      </c>
      <c r="M14" s="121" t="s">
        <v>53</v>
      </c>
      <c r="N14" s="131"/>
      <c r="O14" s="123">
        <f t="shared" si="1"/>
        <v>11</v>
      </c>
      <c r="P14" s="124">
        <f t="shared" si="5"/>
        <v>22</v>
      </c>
      <c r="Q14" s="124">
        <f t="shared" si="2"/>
        <v>24</v>
      </c>
      <c r="R14" s="125">
        <f t="shared" si="6"/>
        <v>55.000000000000007</v>
      </c>
      <c r="S14" s="126">
        <f t="shared" si="7"/>
        <v>55.000000000000007</v>
      </c>
      <c r="T14" s="127">
        <f t="shared" si="8"/>
        <v>60</v>
      </c>
      <c r="U14" s="128" t="str">
        <f t="shared" si="9"/>
        <v>Y</v>
      </c>
      <c r="V14" s="129" t="str">
        <f t="shared" ref="V14:V55" si="11">IF(S14&gt;50,"Y","N")</f>
        <v>Y</v>
      </c>
      <c r="W14" s="130" t="str">
        <f t="shared" si="10"/>
        <v>Y</v>
      </c>
    </row>
    <row r="15" spans="2:23" ht="29.1" customHeight="1" thickBot="1" x14ac:dyDescent="0.45">
      <c r="B15" s="114">
        <v>4</v>
      </c>
      <c r="C15" s="115" t="s">
        <v>59</v>
      </c>
      <c r="D15" s="116" t="s">
        <v>60</v>
      </c>
      <c r="E15" s="117">
        <v>8</v>
      </c>
      <c r="F15" s="117">
        <v>7</v>
      </c>
      <c r="G15" s="117">
        <v>7</v>
      </c>
      <c r="H15" s="117">
        <f t="shared" si="3"/>
        <v>22</v>
      </c>
      <c r="I15" s="118">
        <v>12</v>
      </c>
      <c r="J15" s="119">
        <v>6</v>
      </c>
      <c r="K15" s="119">
        <v>21</v>
      </c>
      <c r="L15" s="120">
        <f t="shared" si="4"/>
        <v>61</v>
      </c>
      <c r="M15" s="121" t="s">
        <v>61</v>
      </c>
      <c r="N15" s="131"/>
      <c r="O15" s="123">
        <f t="shared" si="1"/>
        <v>14</v>
      </c>
      <c r="P15" s="124">
        <f t="shared" si="5"/>
        <v>21</v>
      </c>
      <c r="Q15" s="124">
        <f t="shared" si="2"/>
        <v>26</v>
      </c>
      <c r="R15" s="125">
        <f t="shared" si="6"/>
        <v>70</v>
      </c>
      <c r="S15" s="126">
        <f t="shared" si="7"/>
        <v>52.5</v>
      </c>
      <c r="T15" s="127">
        <f t="shared" si="8"/>
        <v>65</v>
      </c>
      <c r="U15" s="128" t="str">
        <f t="shared" si="9"/>
        <v>Y</v>
      </c>
      <c r="V15" s="129" t="str">
        <f t="shared" si="11"/>
        <v>Y</v>
      </c>
      <c r="W15" s="130" t="str">
        <f t="shared" si="10"/>
        <v>Y</v>
      </c>
    </row>
    <row r="16" spans="2:23" ht="29.1" customHeight="1" thickBot="1" x14ac:dyDescent="0.45">
      <c r="B16" s="114">
        <v>5</v>
      </c>
      <c r="C16" s="115" t="s">
        <v>62</v>
      </c>
      <c r="D16" s="116" t="s">
        <v>63</v>
      </c>
      <c r="E16" s="117">
        <v>6</v>
      </c>
      <c r="F16" s="117">
        <v>5</v>
      </c>
      <c r="G16" s="117">
        <v>5</v>
      </c>
      <c r="H16" s="117">
        <f t="shared" si="3"/>
        <v>16</v>
      </c>
      <c r="I16" s="118">
        <v>11</v>
      </c>
      <c r="J16" s="119">
        <v>5</v>
      </c>
      <c r="K16" s="119">
        <v>22</v>
      </c>
      <c r="L16" s="120">
        <f t="shared" si="4"/>
        <v>54</v>
      </c>
      <c r="M16" s="121" t="s">
        <v>64</v>
      </c>
      <c r="N16" s="131"/>
      <c r="O16" s="123">
        <f t="shared" si="1"/>
        <v>11</v>
      </c>
      <c r="P16" s="124">
        <f t="shared" si="5"/>
        <v>22</v>
      </c>
      <c r="Q16" s="124">
        <f t="shared" si="2"/>
        <v>21</v>
      </c>
      <c r="R16" s="125">
        <f t="shared" si="6"/>
        <v>55.000000000000007</v>
      </c>
      <c r="S16" s="126">
        <f t="shared" si="7"/>
        <v>55.000000000000007</v>
      </c>
      <c r="T16" s="127">
        <f t="shared" si="8"/>
        <v>52.5</v>
      </c>
      <c r="U16" s="128" t="str">
        <f t="shared" si="9"/>
        <v>Y</v>
      </c>
      <c r="V16" s="129" t="str">
        <f t="shared" si="11"/>
        <v>Y</v>
      </c>
      <c r="W16" s="130" t="str">
        <f t="shared" si="10"/>
        <v>Y</v>
      </c>
    </row>
    <row r="17" spans="2:23" ht="29.1" customHeight="1" thickBot="1" x14ac:dyDescent="0.45">
      <c r="B17" s="114">
        <v>6</v>
      </c>
      <c r="C17" s="115" t="s">
        <v>65</v>
      </c>
      <c r="D17" s="116" t="s">
        <v>66</v>
      </c>
      <c r="E17" s="117">
        <v>8</v>
      </c>
      <c r="F17" s="117">
        <v>9</v>
      </c>
      <c r="G17" s="117">
        <v>8</v>
      </c>
      <c r="H17" s="117">
        <f t="shared" si="3"/>
        <v>25</v>
      </c>
      <c r="I17" s="118">
        <v>15</v>
      </c>
      <c r="J17" s="119">
        <v>7</v>
      </c>
      <c r="K17" s="119">
        <v>21</v>
      </c>
      <c r="L17" s="120">
        <f t="shared" si="4"/>
        <v>68</v>
      </c>
      <c r="M17" s="121" t="s">
        <v>67</v>
      </c>
      <c r="N17" s="131"/>
      <c r="O17" s="123">
        <f t="shared" si="1"/>
        <v>15</v>
      </c>
      <c r="P17" s="124">
        <f t="shared" si="5"/>
        <v>21</v>
      </c>
      <c r="Q17" s="124">
        <f t="shared" si="2"/>
        <v>32</v>
      </c>
      <c r="R17" s="125">
        <f t="shared" si="6"/>
        <v>75</v>
      </c>
      <c r="S17" s="126">
        <f t="shared" si="7"/>
        <v>52.5</v>
      </c>
      <c r="T17" s="127">
        <f t="shared" si="8"/>
        <v>80</v>
      </c>
      <c r="U17" s="128" t="str">
        <f t="shared" si="9"/>
        <v>Y</v>
      </c>
      <c r="V17" s="129" t="str">
        <f t="shared" si="11"/>
        <v>Y</v>
      </c>
      <c r="W17" s="130" t="str">
        <f t="shared" si="10"/>
        <v>Y</v>
      </c>
    </row>
    <row r="18" spans="2:23" ht="29.1" customHeight="1" thickBot="1" x14ac:dyDescent="0.45">
      <c r="B18" s="114">
        <v>7</v>
      </c>
      <c r="C18" s="115" t="s">
        <v>68</v>
      </c>
      <c r="D18" s="116" t="s">
        <v>69</v>
      </c>
      <c r="E18" s="117">
        <v>5</v>
      </c>
      <c r="F18" s="117">
        <v>7</v>
      </c>
      <c r="G18" s="117">
        <v>9</v>
      </c>
      <c r="H18" s="117">
        <f t="shared" si="3"/>
        <v>21</v>
      </c>
      <c r="I18" s="118">
        <v>15</v>
      </c>
      <c r="J18" s="119">
        <v>8</v>
      </c>
      <c r="K18" s="119">
        <v>23</v>
      </c>
      <c r="L18" s="120">
        <f t="shared" si="4"/>
        <v>67</v>
      </c>
      <c r="M18" s="121" t="s">
        <v>67</v>
      </c>
      <c r="N18" s="131"/>
      <c r="O18" s="123">
        <f t="shared" si="1"/>
        <v>13</v>
      </c>
      <c r="P18" s="124">
        <f t="shared" si="5"/>
        <v>23</v>
      </c>
      <c r="Q18" s="124">
        <f t="shared" si="2"/>
        <v>31</v>
      </c>
      <c r="R18" s="125">
        <f t="shared" si="6"/>
        <v>65</v>
      </c>
      <c r="S18" s="126">
        <f t="shared" si="7"/>
        <v>57.499999999999993</v>
      </c>
      <c r="T18" s="127">
        <f t="shared" si="8"/>
        <v>77.5</v>
      </c>
      <c r="U18" s="128" t="str">
        <f t="shared" si="9"/>
        <v>Y</v>
      </c>
      <c r="V18" s="129" t="str">
        <f t="shared" si="11"/>
        <v>Y</v>
      </c>
      <c r="W18" s="130" t="str">
        <f t="shared" si="10"/>
        <v>Y</v>
      </c>
    </row>
    <row r="19" spans="2:23" ht="29.1" customHeight="1" thickBot="1" x14ac:dyDescent="0.45">
      <c r="B19" s="114">
        <v>8</v>
      </c>
      <c r="C19" s="115" t="s">
        <v>70</v>
      </c>
      <c r="D19" s="116" t="s">
        <v>71</v>
      </c>
      <c r="E19" s="117">
        <v>0</v>
      </c>
      <c r="F19" s="117">
        <v>0</v>
      </c>
      <c r="G19" s="117">
        <v>0</v>
      </c>
      <c r="H19" s="117">
        <f t="shared" si="3"/>
        <v>0</v>
      </c>
      <c r="I19" s="118">
        <v>0</v>
      </c>
      <c r="J19" s="119">
        <v>0</v>
      </c>
      <c r="K19" s="119">
        <v>0</v>
      </c>
      <c r="L19" s="120">
        <f t="shared" si="4"/>
        <v>0</v>
      </c>
      <c r="M19" s="121" t="s">
        <v>72</v>
      </c>
      <c r="N19" s="131"/>
      <c r="O19" s="123">
        <f t="shared" si="1"/>
        <v>0</v>
      </c>
      <c r="P19" s="124">
        <f t="shared" si="5"/>
        <v>0</v>
      </c>
      <c r="Q19" s="124">
        <f t="shared" si="2"/>
        <v>0</v>
      </c>
      <c r="R19" s="125">
        <f t="shared" si="6"/>
        <v>0</v>
      </c>
      <c r="S19" s="126">
        <f t="shared" si="7"/>
        <v>0</v>
      </c>
      <c r="T19" s="127">
        <f t="shared" si="8"/>
        <v>0</v>
      </c>
      <c r="U19" s="128" t="str">
        <f t="shared" si="9"/>
        <v>N</v>
      </c>
      <c r="V19" s="129" t="str">
        <f t="shared" si="11"/>
        <v>N</v>
      </c>
      <c r="W19" s="130" t="str">
        <f t="shared" si="10"/>
        <v>N</v>
      </c>
    </row>
    <row r="20" spans="2:23" ht="29.1" customHeight="1" thickBot="1" x14ac:dyDescent="0.45">
      <c r="B20" s="114">
        <v>9</v>
      </c>
      <c r="C20" s="115" t="s">
        <v>73</v>
      </c>
      <c r="D20" s="116" t="s">
        <v>74</v>
      </c>
      <c r="E20" s="117">
        <v>8</v>
      </c>
      <c r="F20" s="117">
        <v>7</v>
      </c>
      <c r="G20" s="117">
        <v>6</v>
      </c>
      <c r="H20" s="117">
        <f t="shared" si="3"/>
        <v>21</v>
      </c>
      <c r="I20" s="118">
        <v>13</v>
      </c>
      <c r="J20" s="119">
        <v>7</v>
      </c>
      <c r="K20" s="119">
        <v>20</v>
      </c>
      <c r="L20" s="120">
        <f t="shared" si="4"/>
        <v>61</v>
      </c>
      <c r="M20" s="121" t="s">
        <v>61</v>
      </c>
      <c r="N20" s="131"/>
      <c r="O20" s="123">
        <f t="shared" si="1"/>
        <v>15</v>
      </c>
      <c r="P20" s="124">
        <f t="shared" si="5"/>
        <v>20</v>
      </c>
      <c r="Q20" s="124">
        <f t="shared" si="2"/>
        <v>26</v>
      </c>
      <c r="R20" s="125">
        <f t="shared" si="6"/>
        <v>75</v>
      </c>
      <c r="S20" s="126">
        <f t="shared" si="7"/>
        <v>50</v>
      </c>
      <c r="T20" s="127">
        <f t="shared" si="8"/>
        <v>65</v>
      </c>
      <c r="U20" s="128" t="str">
        <f t="shared" si="9"/>
        <v>Y</v>
      </c>
      <c r="V20" s="129" t="str">
        <f t="shared" si="11"/>
        <v>N</v>
      </c>
      <c r="W20" s="130" t="str">
        <f t="shared" si="10"/>
        <v>Y</v>
      </c>
    </row>
    <row r="21" spans="2:23" ht="29.1" customHeight="1" thickBot="1" x14ac:dyDescent="0.45">
      <c r="B21" s="114">
        <v>10</v>
      </c>
      <c r="C21" s="115" t="s">
        <v>75</v>
      </c>
      <c r="D21" s="116" t="s">
        <v>76</v>
      </c>
      <c r="E21" s="117">
        <v>7</v>
      </c>
      <c r="F21" s="117">
        <v>6</v>
      </c>
      <c r="G21" s="117">
        <v>5</v>
      </c>
      <c r="H21" s="117">
        <f t="shared" si="3"/>
        <v>18</v>
      </c>
      <c r="I21" s="118">
        <v>13</v>
      </c>
      <c r="J21" s="119">
        <v>7</v>
      </c>
      <c r="K21" s="119">
        <v>20</v>
      </c>
      <c r="L21" s="120">
        <f t="shared" si="4"/>
        <v>58</v>
      </c>
      <c r="M21" s="121" t="s">
        <v>53</v>
      </c>
      <c r="N21" s="131"/>
      <c r="O21" s="123">
        <f t="shared" si="1"/>
        <v>14</v>
      </c>
      <c r="P21" s="124">
        <f t="shared" si="5"/>
        <v>20</v>
      </c>
      <c r="Q21" s="124">
        <f t="shared" si="2"/>
        <v>24</v>
      </c>
      <c r="R21" s="125">
        <f t="shared" si="6"/>
        <v>70</v>
      </c>
      <c r="S21" s="126">
        <f t="shared" si="7"/>
        <v>50</v>
      </c>
      <c r="T21" s="127">
        <f t="shared" si="8"/>
        <v>60</v>
      </c>
      <c r="U21" s="128" t="str">
        <f t="shared" si="9"/>
        <v>Y</v>
      </c>
      <c r="V21" s="129" t="str">
        <f t="shared" si="11"/>
        <v>N</v>
      </c>
      <c r="W21" s="130" t="str">
        <f t="shared" si="10"/>
        <v>Y</v>
      </c>
    </row>
    <row r="22" spans="2:23" ht="29.1" customHeight="1" thickBot="1" x14ac:dyDescent="0.45">
      <c r="B22" s="114">
        <v>11</v>
      </c>
      <c r="C22" s="115" t="s">
        <v>77</v>
      </c>
      <c r="D22" s="116" t="s">
        <v>78</v>
      </c>
      <c r="E22" s="117">
        <v>5</v>
      </c>
      <c r="F22" s="117">
        <v>5</v>
      </c>
      <c r="G22" s="117">
        <v>8</v>
      </c>
      <c r="H22" s="117">
        <f t="shared" si="3"/>
        <v>18</v>
      </c>
      <c r="I22" s="118">
        <v>11</v>
      </c>
      <c r="J22" s="119">
        <v>5</v>
      </c>
      <c r="K22" s="119">
        <v>21</v>
      </c>
      <c r="L22" s="120">
        <f t="shared" si="4"/>
        <v>55</v>
      </c>
      <c r="M22" s="121" t="s">
        <v>53</v>
      </c>
      <c r="N22" s="131"/>
      <c r="O22" s="123">
        <f t="shared" si="1"/>
        <v>10</v>
      </c>
      <c r="P22" s="124">
        <f t="shared" si="5"/>
        <v>21</v>
      </c>
      <c r="Q22" s="124">
        <f t="shared" si="2"/>
        <v>24</v>
      </c>
      <c r="R22" s="125">
        <f t="shared" si="6"/>
        <v>50</v>
      </c>
      <c r="S22" s="126">
        <f t="shared" si="7"/>
        <v>52.5</v>
      </c>
      <c r="T22" s="127">
        <f t="shared" si="8"/>
        <v>60</v>
      </c>
      <c r="U22" s="128" t="str">
        <f t="shared" si="9"/>
        <v>Y</v>
      </c>
      <c r="V22" s="129" t="str">
        <f t="shared" si="11"/>
        <v>Y</v>
      </c>
      <c r="W22" s="130" t="str">
        <f t="shared" si="10"/>
        <v>Y</v>
      </c>
    </row>
    <row r="23" spans="2:23" ht="29.1" customHeight="1" thickBot="1" x14ac:dyDescent="0.45">
      <c r="B23" s="114">
        <v>12</v>
      </c>
      <c r="C23" s="115" t="s">
        <v>79</v>
      </c>
      <c r="D23" s="116" t="s">
        <v>80</v>
      </c>
      <c r="E23" s="117">
        <v>5</v>
      </c>
      <c r="F23" s="117">
        <v>5</v>
      </c>
      <c r="G23" s="117">
        <v>5</v>
      </c>
      <c r="H23" s="117">
        <f t="shared" si="3"/>
        <v>15</v>
      </c>
      <c r="I23" s="118">
        <v>10</v>
      </c>
      <c r="J23" s="119">
        <v>5</v>
      </c>
      <c r="K23" s="119">
        <v>20</v>
      </c>
      <c r="L23" s="120">
        <f t="shared" si="4"/>
        <v>50</v>
      </c>
      <c r="M23" s="121" t="s">
        <v>64</v>
      </c>
      <c r="N23" s="131"/>
      <c r="O23" s="123">
        <f t="shared" si="1"/>
        <v>10</v>
      </c>
      <c r="P23" s="124">
        <f t="shared" si="5"/>
        <v>20</v>
      </c>
      <c r="Q23" s="124">
        <f t="shared" si="2"/>
        <v>20</v>
      </c>
      <c r="R23" s="125">
        <f t="shared" si="6"/>
        <v>50</v>
      </c>
      <c r="S23" s="126">
        <f t="shared" si="7"/>
        <v>50</v>
      </c>
      <c r="T23" s="127">
        <f t="shared" si="8"/>
        <v>50</v>
      </c>
      <c r="U23" s="128" t="str">
        <f t="shared" si="9"/>
        <v>Y</v>
      </c>
      <c r="V23" s="129" t="str">
        <f t="shared" si="11"/>
        <v>N</v>
      </c>
      <c r="W23" s="130" t="str">
        <f t="shared" si="10"/>
        <v>N</v>
      </c>
    </row>
    <row r="24" spans="2:23" ht="29.1" customHeight="1" thickBot="1" x14ac:dyDescent="0.45">
      <c r="B24" s="114">
        <v>13</v>
      </c>
      <c r="C24" s="115" t="s">
        <v>81</v>
      </c>
      <c r="D24" s="116" t="s">
        <v>82</v>
      </c>
      <c r="E24" s="117">
        <v>8</v>
      </c>
      <c r="F24" s="117">
        <v>5</v>
      </c>
      <c r="G24" s="117">
        <v>6</v>
      </c>
      <c r="H24" s="117">
        <f t="shared" si="3"/>
        <v>19</v>
      </c>
      <c r="I24" s="118">
        <v>11</v>
      </c>
      <c r="J24" s="119">
        <v>6</v>
      </c>
      <c r="K24" s="119">
        <v>25</v>
      </c>
      <c r="L24" s="120">
        <f t="shared" si="4"/>
        <v>61</v>
      </c>
      <c r="M24" s="121" t="s">
        <v>61</v>
      </c>
      <c r="N24" s="131"/>
      <c r="O24" s="123">
        <f t="shared" si="1"/>
        <v>14</v>
      </c>
      <c r="P24" s="124">
        <f t="shared" si="5"/>
        <v>25</v>
      </c>
      <c r="Q24" s="124">
        <f t="shared" si="2"/>
        <v>22</v>
      </c>
      <c r="R24" s="125">
        <f t="shared" si="6"/>
        <v>70</v>
      </c>
      <c r="S24" s="126">
        <f t="shared" si="7"/>
        <v>62.5</v>
      </c>
      <c r="T24" s="127">
        <f t="shared" si="8"/>
        <v>55.000000000000007</v>
      </c>
      <c r="U24" s="128" t="str">
        <f t="shared" si="9"/>
        <v>Y</v>
      </c>
      <c r="V24" s="129" t="str">
        <f t="shared" si="11"/>
        <v>Y</v>
      </c>
      <c r="W24" s="130" t="str">
        <f t="shared" si="10"/>
        <v>Y</v>
      </c>
    </row>
    <row r="25" spans="2:23" ht="29.1" customHeight="1" thickBot="1" x14ac:dyDescent="0.45">
      <c r="B25" s="114">
        <v>14</v>
      </c>
      <c r="C25" s="115" t="s">
        <v>83</v>
      </c>
      <c r="D25" s="116" t="s">
        <v>84</v>
      </c>
      <c r="E25" s="117">
        <v>0</v>
      </c>
      <c r="F25" s="117">
        <v>0</v>
      </c>
      <c r="G25" s="117">
        <v>0</v>
      </c>
      <c r="H25" s="117">
        <f t="shared" si="3"/>
        <v>0</v>
      </c>
      <c r="I25" s="118">
        <v>0</v>
      </c>
      <c r="J25" s="119">
        <v>0</v>
      </c>
      <c r="K25" s="119">
        <v>0</v>
      </c>
      <c r="L25" s="120">
        <f t="shared" si="4"/>
        <v>0</v>
      </c>
      <c r="M25" s="121" t="s">
        <v>72</v>
      </c>
      <c r="N25" s="131"/>
      <c r="O25" s="123">
        <f t="shared" si="1"/>
        <v>0</v>
      </c>
      <c r="P25" s="124">
        <f t="shared" si="5"/>
        <v>0</v>
      </c>
      <c r="Q25" s="124">
        <f t="shared" si="2"/>
        <v>0</v>
      </c>
      <c r="R25" s="125">
        <f t="shared" si="6"/>
        <v>0</v>
      </c>
      <c r="S25" s="126">
        <f t="shared" si="7"/>
        <v>0</v>
      </c>
      <c r="T25" s="127">
        <f t="shared" si="8"/>
        <v>0</v>
      </c>
      <c r="U25" s="128" t="str">
        <f t="shared" si="9"/>
        <v>N</v>
      </c>
      <c r="V25" s="129" t="str">
        <f t="shared" si="11"/>
        <v>N</v>
      </c>
      <c r="W25" s="130" t="str">
        <f t="shared" si="10"/>
        <v>N</v>
      </c>
    </row>
    <row r="26" spans="2:23" ht="29.1" customHeight="1" thickBot="1" x14ac:dyDescent="0.45">
      <c r="B26" s="114">
        <v>15</v>
      </c>
      <c r="C26" s="115" t="s">
        <v>85</v>
      </c>
      <c r="D26" s="116" t="s">
        <v>86</v>
      </c>
      <c r="E26" s="117">
        <v>6</v>
      </c>
      <c r="F26" s="117">
        <v>6</v>
      </c>
      <c r="G26" s="117">
        <v>5</v>
      </c>
      <c r="H26" s="117">
        <f t="shared" si="3"/>
        <v>17</v>
      </c>
      <c r="I26" s="118">
        <v>12</v>
      </c>
      <c r="J26" s="119">
        <v>6</v>
      </c>
      <c r="K26" s="119">
        <v>21</v>
      </c>
      <c r="L26" s="120">
        <f t="shared" si="4"/>
        <v>56</v>
      </c>
      <c r="M26" s="121" t="s">
        <v>53</v>
      </c>
      <c r="N26" s="131"/>
      <c r="O26" s="123">
        <f t="shared" si="1"/>
        <v>12</v>
      </c>
      <c r="P26" s="124">
        <f t="shared" si="5"/>
        <v>21</v>
      </c>
      <c r="Q26" s="124">
        <f t="shared" si="2"/>
        <v>23</v>
      </c>
      <c r="R26" s="125">
        <f t="shared" si="6"/>
        <v>60</v>
      </c>
      <c r="S26" s="126">
        <f t="shared" si="7"/>
        <v>52.5</v>
      </c>
      <c r="T26" s="127">
        <f t="shared" si="8"/>
        <v>57.499999999999993</v>
      </c>
      <c r="U26" s="128" t="str">
        <f t="shared" si="9"/>
        <v>Y</v>
      </c>
      <c r="V26" s="129" t="str">
        <f t="shared" si="11"/>
        <v>Y</v>
      </c>
      <c r="W26" s="130" t="str">
        <f t="shared" si="10"/>
        <v>Y</v>
      </c>
    </row>
    <row r="27" spans="2:23" ht="29.1" customHeight="1" thickBot="1" x14ac:dyDescent="0.45">
      <c r="B27" s="114">
        <v>16</v>
      </c>
      <c r="C27" s="115" t="s">
        <v>87</v>
      </c>
      <c r="D27" s="116" t="s">
        <v>88</v>
      </c>
      <c r="E27" s="117">
        <v>7</v>
      </c>
      <c r="F27" s="117">
        <v>8</v>
      </c>
      <c r="G27" s="117">
        <v>5</v>
      </c>
      <c r="H27" s="117">
        <f t="shared" si="3"/>
        <v>20</v>
      </c>
      <c r="I27" s="118">
        <v>10</v>
      </c>
      <c r="J27" s="119">
        <v>6</v>
      </c>
      <c r="K27" s="119">
        <v>23</v>
      </c>
      <c r="L27" s="120">
        <f t="shared" si="4"/>
        <v>59</v>
      </c>
      <c r="M27" s="121" t="s">
        <v>53</v>
      </c>
      <c r="N27" s="131"/>
      <c r="O27" s="123">
        <f t="shared" si="1"/>
        <v>13</v>
      </c>
      <c r="P27" s="124">
        <f t="shared" si="5"/>
        <v>23</v>
      </c>
      <c r="Q27" s="124">
        <f t="shared" si="2"/>
        <v>23</v>
      </c>
      <c r="R27" s="125">
        <f t="shared" si="6"/>
        <v>65</v>
      </c>
      <c r="S27" s="126">
        <f t="shared" si="7"/>
        <v>57.499999999999993</v>
      </c>
      <c r="T27" s="127">
        <f t="shared" si="8"/>
        <v>57.499999999999993</v>
      </c>
      <c r="U27" s="128" t="str">
        <f t="shared" si="9"/>
        <v>Y</v>
      </c>
      <c r="V27" s="129" t="str">
        <f t="shared" si="11"/>
        <v>Y</v>
      </c>
      <c r="W27" s="130" t="str">
        <f t="shared" si="10"/>
        <v>Y</v>
      </c>
    </row>
    <row r="28" spans="2:23" ht="29.1" customHeight="1" thickBot="1" x14ac:dyDescent="0.45">
      <c r="B28" s="114">
        <v>17</v>
      </c>
      <c r="C28" s="115" t="s">
        <v>89</v>
      </c>
      <c r="D28" s="116" t="s">
        <v>90</v>
      </c>
      <c r="E28" s="117">
        <v>5</v>
      </c>
      <c r="F28" s="117">
        <v>6</v>
      </c>
      <c r="G28" s="117">
        <v>8</v>
      </c>
      <c r="H28" s="117">
        <f t="shared" si="3"/>
        <v>19</v>
      </c>
      <c r="I28" s="118">
        <v>11</v>
      </c>
      <c r="J28" s="119">
        <v>5</v>
      </c>
      <c r="K28" s="119">
        <v>20</v>
      </c>
      <c r="L28" s="120">
        <f t="shared" si="4"/>
        <v>55</v>
      </c>
      <c r="M28" s="121" t="s">
        <v>53</v>
      </c>
      <c r="N28" s="131"/>
      <c r="O28" s="123">
        <f t="shared" si="1"/>
        <v>10</v>
      </c>
      <c r="P28" s="124">
        <f t="shared" si="5"/>
        <v>20</v>
      </c>
      <c r="Q28" s="124">
        <f t="shared" si="2"/>
        <v>25</v>
      </c>
      <c r="R28" s="125">
        <f t="shared" si="6"/>
        <v>50</v>
      </c>
      <c r="S28" s="126">
        <f t="shared" si="7"/>
        <v>50</v>
      </c>
      <c r="T28" s="127">
        <f t="shared" si="8"/>
        <v>62.5</v>
      </c>
      <c r="U28" s="128" t="str">
        <f t="shared" si="9"/>
        <v>Y</v>
      </c>
      <c r="V28" s="129" t="str">
        <f t="shared" si="11"/>
        <v>N</v>
      </c>
      <c r="W28" s="130" t="str">
        <f t="shared" si="10"/>
        <v>Y</v>
      </c>
    </row>
    <row r="29" spans="2:23" ht="29.1" customHeight="1" thickBot="1" x14ac:dyDescent="0.45">
      <c r="B29" s="114">
        <v>18</v>
      </c>
      <c r="C29" s="115" t="s">
        <v>91</v>
      </c>
      <c r="D29" s="116" t="s">
        <v>92</v>
      </c>
      <c r="E29" s="117">
        <v>8</v>
      </c>
      <c r="F29" s="117">
        <v>5</v>
      </c>
      <c r="G29" s="117">
        <v>9</v>
      </c>
      <c r="H29" s="117">
        <f t="shared" si="3"/>
        <v>22</v>
      </c>
      <c r="I29" s="118">
        <v>12</v>
      </c>
      <c r="J29" s="119">
        <v>7</v>
      </c>
      <c r="K29" s="119">
        <v>20</v>
      </c>
      <c r="L29" s="120">
        <f t="shared" si="4"/>
        <v>61</v>
      </c>
      <c r="M29" s="121" t="s">
        <v>61</v>
      </c>
      <c r="N29" s="131"/>
      <c r="O29" s="123">
        <f t="shared" si="1"/>
        <v>15</v>
      </c>
      <c r="P29" s="124">
        <f t="shared" si="5"/>
        <v>20</v>
      </c>
      <c r="Q29" s="124">
        <f t="shared" si="2"/>
        <v>26</v>
      </c>
      <c r="R29" s="125">
        <f t="shared" si="6"/>
        <v>75</v>
      </c>
      <c r="S29" s="126">
        <f t="shared" si="7"/>
        <v>50</v>
      </c>
      <c r="T29" s="127">
        <f t="shared" si="8"/>
        <v>65</v>
      </c>
      <c r="U29" s="128" t="str">
        <f t="shared" si="9"/>
        <v>Y</v>
      </c>
      <c r="V29" s="129" t="str">
        <f t="shared" si="11"/>
        <v>N</v>
      </c>
      <c r="W29" s="130" t="str">
        <f t="shared" si="10"/>
        <v>Y</v>
      </c>
    </row>
    <row r="30" spans="2:23" ht="29.1" customHeight="1" thickBot="1" x14ac:dyDescent="0.45">
      <c r="B30" s="114">
        <v>19</v>
      </c>
      <c r="C30" s="115" t="s">
        <v>93</v>
      </c>
      <c r="D30" s="116" t="s">
        <v>94</v>
      </c>
      <c r="E30" s="117">
        <v>0</v>
      </c>
      <c r="F30" s="117">
        <v>0</v>
      </c>
      <c r="G30" s="117">
        <v>0</v>
      </c>
      <c r="H30" s="117">
        <f t="shared" si="3"/>
        <v>0</v>
      </c>
      <c r="I30" s="118">
        <v>0</v>
      </c>
      <c r="J30" s="119">
        <v>0</v>
      </c>
      <c r="K30" s="119">
        <v>0</v>
      </c>
      <c r="L30" s="120">
        <f t="shared" si="4"/>
        <v>0</v>
      </c>
      <c r="M30" s="121" t="s">
        <v>72</v>
      </c>
      <c r="N30" s="131"/>
      <c r="O30" s="123">
        <f t="shared" si="1"/>
        <v>0</v>
      </c>
      <c r="P30" s="124">
        <f t="shared" si="5"/>
        <v>0</v>
      </c>
      <c r="Q30" s="124">
        <f t="shared" si="2"/>
        <v>0</v>
      </c>
      <c r="R30" s="125">
        <f t="shared" si="6"/>
        <v>0</v>
      </c>
      <c r="S30" s="126">
        <f t="shared" si="7"/>
        <v>0</v>
      </c>
      <c r="T30" s="127">
        <f t="shared" si="8"/>
        <v>0</v>
      </c>
      <c r="U30" s="128" t="str">
        <f t="shared" si="9"/>
        <v>N</v>
      </c>
      <c r="V30" s="129" t="str">
        <f t="shared" si="11"/>
        <v>N</v>
      </c>
      <c r="W30" s="130" t="str">
        <f t="shared" si="10"/>
        <v>N</v>
      </c>
    </row>
    <row r="31" spans="2:23" ht="29.1" customHeight="1" thickBot="1" x14ac:dyDescent="0.45">
      <c r="B31" s="114">
        <v>20</v>
      </c>
      <c r="C31" s="115" t="s">
        <v>95</v>
      </c>
      <c r="D31" s="116" t="s">
        <v>96</v>
      </c>
      <c r="E31" s="117">
        <v>5</v>
      </c>
      <c r="F31" s="117">
        <v>6</v>
      </c>
      <c r="G31" s="117">
        <v>5</v>
      </c>
      <c r="H31" s="117">
        <f t="shared" si="3"/>
        <v>16</v>
      </c>
      <c r="I31" s="118">
        <v>11</v>
      </c>
      <c r="J31" s="119">
        <v>5</v>
      </c>
      <c r="K31" s="119">
        <v>23</v>
      </c>
      <c r="L31" s="120">
        <f t="shared" si="4"/>
        <v>55</v>
      </c>
      <c r="M31" s="121" t="s">
        <v>53</v>
      </c>
      <c r="N31" s="131"/>
      <c r="O31" s="123">
        <f t="shared" si="1"/>
        <v>10</v>
      </c>
      <c r="P31" s="124">
        <f t="shared" si="5"/>
        <v>23</v>
      </c>
      <c r="Q31" s="124">
        <f t="shared" si="2"/>
        <v>22</v>
      </c>
      <c r="R31" s="125">
        <f t="shared" si="6"/>
        <v>50</v>
      </c>
      <c r="S31" s="126">
        <f t="shared" si="7"/>
        <v>57.499999999999993</v>
      </c>
      <c r="T31" s="127">
        <f t="shared" si="8"/>
        <v>55.000000000000007</v>
      </c>
      <c r="U31" s="128" t="str">
        <f t="shared" si="9"/>
        <v>Y</v>
      </c>
      <c r="V31" s="129" t="str">
        <f t="shared" si="11"/>
        <v>Y</v>
      </c>
      <c r="W31" s="130" t="str">
        <f t="shared" si="10"/>
        <v>Y</v>
      </c>
    </row>
    <row r="32" spans="2:23" ht="29.1" customHeight="1" thickBot="1" x14ac:dyDescent="0.45">
      <c r="B32" s="114">
        <v>21</v>
      </c>
      <c r="C32" s="115" t="s">
        <v>97</v>
      </c>
      <c r="D32" s="116" t="s">
        <v>98</v>
      </c>
      <c r="E32" s="117">
        <v>6</v>
      </c>
      <c r="F32" s="117">
        <v>5</v>
      </c>
      <c r="G32" s="117">
        <v>6</v>
      </c>
      <c r="H32" s="117">
        <f t="shared" si="3"/>
        <v>17</v>
      </c>
      <c r="I32" s="118">
        <v>12</v>
      </c>
      <c r="J32" s="119">
        <v>6</v>
      </c>
      <c r="K32" s="119">
        <v>21</v>
      </c>
      <c r="L32" s="120">
        <f t="shared" si="4"/>
        <v>56</v>
      </c>
      <c r="M32" s="121" t="s">
        <v>53</v>
      </c>
      <c r="N32" s="131"/>
      <c r="O32" s="123">
        <f t="shared" si="1"/>
        <v>12</v>
      </c>
      <c r="P32" s="124">
        <f t="shared" si="5"/>
        <v>21</v>
      </c>
      <c r="Q32" s="124">
        <f t="shared" si="2"/>
        <v>23</v>
      </c>
      <c r="R32" s="125">
        <f t="shared" si="6"/>
        <v>60</v>
      </c>
      <c r="S32" s="126">
        <f t="shared" si="7"/>
        <v>52.5</v>
      </c>
      <c r="T32" s="127">
        <f t="shared" si="8"/>
        <v>57.499999999999993</v>
      </c>
      <c r="U32" s="128" t="str">
        <f t="shared" si="9"/>
        <v>Y</v>
      </c>
      <c r="V32" s="129" t="str">
        <f t="shared" si="11"/>
        <v>Y</v>
      </c>
      <c r="W32" s="130" t="str">
        <f t="shared" si="10"/>
        <v>Y</v>
      </c>
    </row>
    <row r="33" spans="2:23" ht="29.1" customHeight="1" thickBot="1" x14ac:dyDescent="0.45">
      <c r="B33" s="114">
        <v>22</v>
      </c>
      <c r="C33" s="115" t="s">
        <v>99</v>
      </c>
      <c r="D33" s="116" t="s">
        <v>100</v>
      </c>
      <c r="E33" s="117">
        <v>5</v>
      </c>
      <c r="F33" s="117">
        <v>5</v>
      </c>
      <c r="G33" s="117">
        <v>5</v>
      </c>
      <c r="H33" s="117">
        <f t="shared" si="3"/>
        <v>15</v>
      </c>
      <c r="I33" s="118">
        <v>10</v>
      </c>
      <c r="J33" s="119">
        <v>5</v>
      </c>
      <c r="K33" s="119">
        <v>20</v>
      </c>
      <c r="L33" s="120">
        <f t="shared" si="4"/>
        <v>50</v>
      </c>
      <c r="M33" s="121" t="s">
        <v>64</v>
      </c>
      <c r="N33" s="131"/>
      <c r="O33" s="123">
        <f t="shared" si="1"/>
        <v>10</v>
      </c>
      <c r="P33" s="124">
        <f t="shared" si="5"/>
        <v>20</v>
      </c>
      <c r="Q33" s="124">
        <f t="shared" si="2"/>
        <v>20</v>
      </c>
      <c r="R33" s="125">
        <f t="shared" si="6"/>
        <v>50</v>
      </c>
      <c r="S33" s="126">
        <f t="shared" si="7"/>
        <v>50</v>
      </c>
      <c r="T33" s="127">
        <f t="shared" si="8"/>
        <v>50</v>
      </c>
      <c r="U33" s="128" t="str">
        <f t="shared" si="9"/>
        <v>Y</v>
      </c>
      <c r="V33" s="129" t="str">
        <f t="shared" si="11"/>
        <v>N</v>
      </c>
      <c r="W33" s="130" t="str">
        <f t="shared" si="10"/>
        <v>N</v>
      </c>
    </row>
    <row r="34" spans="2:23" ht="29.1" customHeight="1" thickBot="1" x14ac:dyDescent="0.45">
      <c r="B34" s="114">
        <v>23</v>
      </c>
      <c r="C34" s="115" t="s">
        <v>101</v>
      </c>
      <c r="D34" s="116" t="s">
        <v>102</v>
      </c>
      <c r="E34" s="117">
        <v>6</v>
      </c>
      <c r="F34" s="117">
        <v>7</v>
      </c>
      <c r="G34" s="117">
        <v>5</v>
      </c>
      <c r="H34" s="117">
        <f t="shared" si="3"/>
        <v>18</v>
      </c>
      <c r="I34" s="118">
        <v>12</v>
      </c>
      <c r="J34" s="119">
        <v>7</v>
      </c>
      <c r="K34" s="119">
        <v>21</v>
      </c>
      <c r="L34" s="120">
        <f t="shared" si="4"/>
        <v>58</v>
      </c>
      <c r="M34" s="121" t="s">
        <v>53</v>
      </c>
      <c r="N34" s="131"/>
      <c r="O34" s="123">
        <f t="shared" si="1"/>
        <v>13</v>
      </c>
      <c r="P34" s="124">
        <f t="shared" si="5"/>
        <v>21</v>
      </c>
      <c r="Q34" s="124">
        <f t="shared" si="2"/>
        <v>24</v>
      </c>
      <c r="R34" s="125">
        <f t="shared" si="6"/>
        <v>65</v>
      </c>
      <c r="S34" s="126">
        <f t="shared" si="7"/>
        <v>52.5</v>
      </c>
      <c r="T34" s="127">
        <f t="shared" si="8"/>
        <v>60</v>
      </c>
      <c r="U34" s="128" t="str">
        <f t="shared" si="9"/>
        <v>Y</v>
      </c>
      <c r="V34" s="129" t="str">
        <f t="shared" si="11"/>
        <v>Y</v>
      </c>
      <c r="W34" s="130" t="str">
        <f t="shared" si="10"/>
        <v>Y</v>
      </c>
    </row>
    <row r="35" spans="2:23" ht="29.1" customHeight="1" thickBot="1" x14ac:dyDescent="0.45">
      <c r="B35" s="114">
        <v>24</v>
      </c>
      <c r="C35" s="115" t="s">
        <v>103</v>
      </c>
      <c r="D35" s="116" t="s">
        <v>104</v>
      </c>
      <c r="E35" s="117">
        <v>5</v>
      </c>
      <c r="F35" s="117">
        <v>5</v>
      </c>
      <c r="G35" s="117">
        <v>6</v>
      </c>
      <c r="H35" s="117">
        <f t="shared" si="3"/>
        <v>16</v>
      </c>
      <c r="I35" s="118">
        <v>10</v>
      </c>
      <c r="J35" s="119">
        <v>5</v>
      </c>
      <c r="K35" s="119">
        <v>22</v>
      </c>
      <c r="L35" s="120">
        <f t="shared" si="4"/>
        <v>53</v>
      </c>
      <c r="M35" s="121" t="s">
        <v>64</v>
      </c>
      <c r="N35" s="131"/>
      <c r="O35" s="123">
        <f t="shared" si="1"/>
        <v>10</v>
      </c>
      <c r="P35" s="124">
        <f t="shared" si="5"/>
        <v>22</v>
      </c>
      <c r="Q35" s="124">
        <f t="shared" si="2"/>
        <v>21</v>
      </c>
      <c r="R35" s="125">
        <f t="shared" si="6"/>
        <v>50</v>
      </c>
      <c r="S35" s="126">
        <f t="shared" si="7"/>
        <v>55.000000000000007</v>
      </c>
      <c r="T35" s="127">
        <f t="shared" si="8"/>
        <v>52.5</v>
      </c>
      <c r="U35" s="128" t="str">
        <f t="shared" si="9"/>
        <v>Y</v>
      </c>
      <c r="V35" s="129" t="str">
        <f t="shared" si="11"/>
        <v>Y</v>
      </c>
      <c r="W35" s="130" t="str">
        <f t="shared" si="10"/>
        <v>Y</v>
      </c>
    </row>
    <row r="36" spans="2:23" ht="29.1" customHeight="1" thickBot="1" x14ac:dyDescent="0.45">
      <c r="B36" s="114">
        <v>25</v>
      </c>
      <c r="C36" s="115" t="s">
        <v>105</v>
      </c>
      <c r="D36" s="116" t="s">
        <v>106</v>
      </c>
      <c r="E36" s="117">
        <v>0</v>
      </c>
      <c r="F36" s="117">
        <v>7</v>
      </c>
      <c r="G36" s="117">
        <v>0</v>
      </c>
      <c r="H36" s="117">
        <f t="shared" si="3"/>
        <v>7</v>
      </c>
      <c r="I36" s="118">
        <v>0</v>
      </c>
      <c r="J36" s="119">
        <v>0</v>
      </c>
      <c r="K36" s="119">
        <v>0</v>
      </c>
      <c r="L36" s="120">
        <f t="shared" si="4"/>
        <v>7</v>
      </c>
      <c r="M36" s="121" t="s">
        <v>72</v>
      </c>
      <c r="N36" s="131"/>
      <c r="O36" s="123">
        <f t="shared" si="1"/>
        <v>0</v>
      </c>
      <c r="P36" s="124">
        <f t="shared" si="5"/>
        <v>0</v>
      </c>
      <c r="Q36" s="124">
        <f t="shared" si="2"/>
        <v>7</v>
      </c>
      <c r="R36" s="125">
        <f t="shared" si="6"/>
        <v>0</v>
      </c>
      <c r="S36" s="126">
        <f t="shared" si="7"/>
        <v>0</v>
      </c>
      <c r="T36" s="127">
        <f t="shared" si="8"/>
        <v>17.5</v>
      </c>
      <c r="U36" s="128" t="str">
        <f t="shared" si="9"/>
        <v>N</v>
      </c>
      <c r="V36" s="129" t="str">
        <f t="shared" si="11"/>
        <v>N</v>
      </c>
      <c r="W36" s="130" t="str">
        <f t="shared" si="10"/>
        <v>N</v>
      </c>
    </row>
    <row r="37" spans="2:23" ht="29.1" customHeight="1" thickBot="1" x14ac:dyDescent="0.45">
      <c r="B37" s="114">
        <v>26</v>
      </c>
      <c r="C37" s="115" t="s">
        <v>107</v>
      </c>
      <c r="D37" s="116" t="s">
        <v>108</v>
      </c>
      <c r="E37" s="117">
        <v>5</v>
      </c>
      <c r="F37" s="117">
        <v>6</v>
      </c>
      <c r="G37" s="117">
        <v>7</v>
      </c>
      <c r="H37" s="117">
        <f t="shared" si="3"/>
        <v>18</v>
      </c>
      <c r="I37" s="118">
        <v>11</v>
      </c>
      <c r="J37" s="119">
        <v>5</v>
      </c>
      <c r="K37" s="119">
        <v>20</v>
      </c>
      <c r="L37" s="120">
        <f t="shared" si="4"/>
        <v>54</v>
      </c>
      <c r="M37" s="121" t="s">
        <v>64</v>
      </c>
      <c r="N37" s="131"/>
      <c r="O37" s="123">
        <f t="shared" si="1"/>
        <v>10</v>
      </c>
      <c r="P37" s="124">
        <f t="shared" si="5"/>
        <v>20</v>
      </c>
      <c r="Q37" s="124">
        <f t="shared" si="2"/>
        <v>24</v>
      </c>
      <c r="R37" s="125">
        <f t="shared" si="6"/>
        <v>50</v>
      </c>
      <c r="S37" s="126">
        <f t="shared" si="7"/>
        <v>50</v>
      </c>
      <c r="T37" s="127">
        <f t="shared" si="8"/>
        <v>60</v>
      </c>
      <c r="U37" s="128" t="str">
        <f t="shared" si="9"/>
        <v>Y</v>
      </c>
      <c r="V37" s="129" t="str">
        <f t="shared" si="11"/>
        <v>N</v>
      </c>
      <c r="W37" s="130" t="str">
        <f t="shared" si="10"/>
        <v>Y</v>
      </c>
    </row>
    <row r="38" spans="2:23" ht="29.1" customHeight="1" thickBot="1" x14ac:dyDescent="0.45">
      <c r="B38" s="114">
        <v>27</v>
      </c>
      <c r="C38" s="115" t="s">
        <v>109</v>
      </c>
      <c r="D38" s="116" t="s">
        <v>110</v>
      </c>
      <c r="E38" s="117">
        <v>6</v>
      </c>
      <c r="F38" s="117">
        <v>5</v>
      </c>
      <c r="G38" s="117">
        <v>5</v>
      </c>
      <c r="H38" s="117">
        <f t="shared" si="3"/>
        <v>16</v>
      </c>
      <c r="I38" s="118">
        <v>10</v>
      </c>
      <c r="J38" s="119">
        <v>5</v>
      </c>
      <c r="K38" s="119">
        <v>20</v>
      </c>
      <c r="L38" s="120">
        <f t="shared" si="4"/>
        <v>51</v>
      </c>
      <c r="M38" s="121" t="s">
        <v>64</v>
      </c>
      <c r="N38" s="131"/>
      <c r="O38" s="123">
        <f t="shared" si="1"/>
        <v>11</v>
      </c>
      <c r="P38" s="124">
        <f t="shared" si="5"/>
        <v>20</v>
      </c>
      <c r="Q38" s="124">
        <f t="shared" si="2"/>
        <v>20</v>
      </c>
      <c r="R38" s="125">
        <f t="shared" si="6"/>
        <v>55.000000000000007</v>
      </c>
      <c r="S38" s="126">
        <f t="shared" si="7"/>
        <v>50</v>
      </c>
      <c r="T38" s="127">
        <f t="shared" si="8"/>
        <v>50</v>
      </c>
      <c r="U38" s="128" t="str">
        <f t="shared" si="9"/>
        <v>Y</v>
      </c>
      <c r="V38" s="129" t="str">
        <f t="shared" si="11"/>
        <v>N</v>
      </c>
      <c r="W38" s="130" t="str">
        <f t="shared" si="10"/>
        <v>N</v>
      </c>
    </row>
    <row r="39" spans="2:23" ht="29.1" customHeight="1" thickBot="1" x14ac:dyDescent="0.45">
      <c r="B39" s="114">
        <v>28</v>
      </c>
      <c r="C39" s="115" t="s">
        <v>111</v>
      </c>
      <c r="D39" s="116" t="s">
        <v>112</v>
      </c>
      <c r="E39" s="117">
        <v>9</v>
      </c>
      <c r="F39" s="117">
        <v>8</v>
      </c>
      <c r="G39" s="117">
        <v>9</v>
      </c>
      <c r="H39" s="117">
        <f t="shared" si="3"/>
        <v>26</v>
      </c>
      <c r="I39" s="118">
        <v>17</v>
      </c>
      <c r="J39" s="119">
        <v>8</v>
      </c>
      <c r="K39" s="119">
        <v>25</v>
      </c>
      <c r="L39" s="120">
        <f t="shared" si="4"/>
        <v>76</v>
      </c>
      <c r="M39" s="121" t="s">
        <v>113</v>
      </c>
      <c r="N39" s="131"/>
      <c r="O39" s="123">
        <f t="shared" si="1"/>
        <v>17</v>
      </c>
      <c r="P39" s="124">
        <f t="shared" si="5"/>
        <v>25</v>
      </c>
      <c r="Q39" s="124">
        <f t="shared" si="2"/>
        <v>34</v>
      </c>
      <c r="R39" s="125">
        <f t="shared" si="6"/>
        <v>85</v>
      </c>
      <c r="S39" s="126">
        <f t="shared" si="7"/>
        <v>62.5</v>
      </c>
      <c r="T39" s="127">
        <f t="shared" si="8"/>
        <v>85</v>
      </c>
      <c r="U39" s="128" t="str">
        <f t="shared" si="9"/>
        <v>Y</v>
      </c>
      <c r="V39" s="129" t="str">
        <f t="shared" si="11"/>
        <v>Y</v>
      </c>
      <c r="W39" s="130" t="str">
        <f t="shared" si="10"/>
        <v>Y</v>
      </c>
    </row>
    <row r="40" spans="2:23" ht="29.1" customHeight="1" thickBot="1" x14ac:dyDescent="0.45">
      <c r="B40" s="114">
        <v>28</v>
      </c>
      <c r="C40" s="115" t="s">
        <v>114</v>
      </c>
      <c r="D40" s="116" t="s">
        <v>115</v>
      </c>
      <c r="E40" s="117">
        <v>6</v>
      </c>
      <c r="F40" s="117">
        <v>5</v>
      </c>
      <c r="G40" s="117">
        <v>7</v>
      </c>
      <c r="H40" s="117">
        <f t="shared" si="3"/>
        <v>18</v>
      </c>
      <c r="I40" s="118">
        <v>11</v>
      </c>
      <c r="J40" s="119">
        <v>5</v>
      </c>
      <c r="K40" s="119">
        <v>21</v>
      </c>
      <c r="L40" s="120">
        <f t="shared" si="4"/>
        <v>55</v>
      </c>
      <c r="M40" s="121" t="s">
        <v>53</v>
      </c>
      <c r="N40" s="131"/>
      <c r="O40" s="123">
        <f t="shared" si="1"/>
        <v>11</v>
      </c>
      <c r="P40" s="124">
        <f t="shared" si="5"/>
        <v>21</v>
      </c>
      <c r="Q40" s="124">
        <f t="shared" si="2"/>
        <v>23</v>
      </c>
      <c r="R40" s="125">
        <f t="shared" si="6"/>
        <v>55.000000000000007</v>
      </c>
      <c r="S40" s="126">
        <f t="shared" si="7"/>
        <v>52.5</v>
      </c>
      <c r="T40" s="127">
        <f t="shared" si="8"/>
        <v>57.499999999999993</v>
      </c>
      <c r="U40" s="128" t="str">
        <f t="shared" si="9"/>
        <v>Y</v>
      </c>
      <c r="V40" s="129" t="str">
        <f t="shared" si="11"/>
        <v>Y</v>
      </c>
      <c r="W40" s="130" t="str">
        <f t="shared" si="10"/>
        <v>Y</v>
      </c>
    </row>
    <row r="41" spans="2:23" ht="29.1" customHeight="1" thickBot="1" x14ac:dyDescent="0.45">
      <c r="B41" s="114">
        <v>28</v>
      </c>
      <c r="C41" s="132" t="s">
        <v>116</v>
      </c>
      <c r="D41" s="116" t="s">
        <v>117</v>
      </c>
      <c r="E41" s="117">
        <v>5</v>
      </c>
      <c r="F41" s="117">
        <v>5</v>
      </c>
      <c r="G41" s="117">
        <v>6</v>
      </c>
      <c r="H41" s="117">
        <f t="shared" si="3"/>
        <v>16</v>
      </c>
      <c r="I41" s="118">
        <v>11</v>
      </c>
      <c r="J41" s="119">
        <v>5</v>
      </c>
      <c r="K41" s="119">
        <v>21</v>
      </c>
      <c r="L41" s="120">
        <f t="shared" si="4"/>
        <v>53</v>
      </c>
      <c r="M41" s="121" t="s">
        <v>64</v>
      </c>
      <c r="N41" s="131"/>
      <c r="O41" s="123">
        <f t="shared" si="1"/>
        <v>10</v>
      </c>
      <c r="P41" s="124">
        <f t="shared" si="5"/>
        <v>21</v>
      </c>
      <c r="Q41" s="124">
        <f t="shared" si="2"/>
        <v>22</v>
      </c>
      <c r="R41" s="125">
        <f t="shared" si="6"/>
        <v>50</v>
      </c>
      <c r="S41" s="126">
        <f t="shared" si="7"/>
        <v>52.5</v>
      </c>
      <c r="T41" s="127">
        <f t="shared" si="8"/>
        <v>55.000000000000007</v>
      </c>
      <c r="U41" s="128" t="str">
        <f t="shared" si="9"/>
        <v>Y</v>
      </c>
      <c r="V41" s="129" t="str">
        <f t="shared" si="11"/>
        <v>Y</v>
      </c>
      <c r="W41" s="130" t="str">
        <f t="shared" si="10"/>
        <v>Y</v>
      </c>
    </row>
    <row r="42" spans="2:23" ht="29.1" customHeight="1" thickBot="1" x14ac:dyDescent="0.45">
      <c r="B42" s="114">
        <v>28</v>
      </c>
      <c r="C42" s="132" t="s">
        <v>118</v>
      </c>
      <c r="D42" s="116" t="s">
        <v>119</v>
      </c>
      <c r="E42" s="117">
        <v>8</v>
      </c>
      <c r="F42" s="117">
        <v>7</v>
      </c>
      <c r="G42" s="117">
        <v>6</v>
      </c>
      <c r="H42" s="117">
        <f t="shared" si="3"/>
        <v>21</v>
      </c>
      <c r="I42" s="118">
        <v>12</v>
      </c>
      <c r="J42" s="119">
        <v>5</v>
      </c>
      <c r="K42" s="119">
        <v>20</v>
      </c>
      <c r="L42" s="120">
        <f t="shared" si="4"/>
        <v>58</v>
      </c>
      <c r="M42" s="121" t="s">
        <v>53</v>
      </c>
      <c r="N42" s="131"/>
      <c r="O42" s="123">
        <f t="shared" si="1"/>
        <v>13</v>
      </c>
      <c r="P42" s="124">
        <f t="shared" si="5"/>
        <v>20</v>
      </c>
      <c r="Q42" s="124">
        <f t="shared" si="2"/>
        <v>25</v>
      </c>
      <c r="R42" s="125">
        <f t="shared" si="6"/>
        <v>65</v>
      </c>
      <c r="S42" s="126">
        <f t="shared" si="7"/>
        <v>50</v>
      </c>
      <c r="T42" s="127">
        <f t="shared" si="8"/>
        <v>62.5</v>
      </c>
      <c r="U42" s="128" t="str">
        <f t="shared" si="9"/>
        <v>Y</v>
      </c>
      <c r="V42" s="129" t="str">
        <f t="shared" si="11"/>
        <v>N</v>
      </c>
      <c r="W42" s="130" t="str">
        <f t="shared" si="10"/>
        <v>Y</v>
      </c>
    </row>
    <row r="43" spans="2:23" ht="29.1" customHeight="1" thickBot="1" x14ac:dyDescent="0.45">
      <c r="B43" s="114">
        <v>28</v>
      </c>
      <c r="C43" s="132" t="s">
        <v>120</v>
      </c>
      <c r="D43" s="116" t="s">
        <v>121</v>
      </c>
      <c r="E43" s="117">
        <v>7</v>
      </c>
      <c r="F43" s="117">
        <v>5</v>
      </c>
      <c r="G43" s="117">
        <v>7</v>
      </c>
      <c r="H43" s="117">
        <f t="shared" si="3"/>
        <v>19</v>
      </c>
      <c r="I43" s="118">
        <v>11</v>
      </c>
      <c r="J43" s="119">
        <v>6</v>
      </c>
      <c r="K43" s="119">
        <v>20</v>
      </c>
      <c r="L43" s="120">
        <f t="shared" si="4"/>
        <v>56</v>
      </c>
      <c r="M43" s="121" t="s">
        <v>53</v>
      </c>
      <c r="N43" s="131"/>
      <c r="O43" s="123">
        <f t="shared" si="1"/>
        <v>13</v>
      </c>
      <c r="P43" s="124">
        <f t="shared" si="5"/>
        <v>20</v>
      </c>
      <c r="Q43" s="124">
        <f t="shared" si="2"/>
        <v>23</v>
      </c>
      <c r="R43" s="125">
        <f t="shared" si="6"/>
        <v>65</v>
      </c>
      <c r="S43" s="126">
        <f t="shared" si="7"/>
        <v>50</v>
      </c>
      <c r="T43" s="127">
        <f t="shared" si="8"/>
        <v>57.499999999999993</v>
      </c>
      <c r="U43" s="128" t="str">
        <f t="shared" si="9"/>
        <v>Y</v>
      </c>
      <c r="V43" s="129" t="str">
        <f t="shared" si="11"/>
        <v>N</v>
      </c>
      <c r="W43" s="130" t="str">
        <f t="shared" si="10"/>
        <v>Y</v>
      </c>
    </row>
    <row r="44" spans="2:23" ht="29.1" customHeight="1" thickBot="1" x14ac:dyDescent="0.45">
      <c r="B44" s="114">
        <v>28</v>
      </c>
      <c r="C44" s="132" t="s">
        <v>122</v>
      </c>
      <c r="D44" s="133" t="s">
        <v>123</v>
      </c>
      <c r="E44" s="117">
        <v>5</v>
      </c>
      <c r="F44" s="117">
        <v>6</v>
      </c>
      <c r="G44" s="117">
        <v>6</v>
      </c>
      <c r="H44" s="117">
        <f t="shared" si="3"/>
        <v>17</v>
      </c>
      <c r="I44" s="118">
        <v>10</v>
      </c>
      <c r="J44" s="119">
        <v>5</v>
      </c>
      <c r="K44" s="119">
        <v>23</v>
      </c>
      <c r="L44" s="120">
        <f t="shared" si="4"/>
        <v>55</v>
      </c>
      <c r="M44" s="121" t="s">
        <v>53</v>
      </c>
      <c r="N44" s="131"/>
      <c r="O44" s="123">
        <f t="shared" si="1"/>
        <v>10</v>
      </c>
      <c r="P44" s="124">
        <f t="shared" si="5"/>
        <v>23</v>
      </c>
      <c r="Q44" s="124">
        <f t="shared" si="2"/>
        <v>22</v>
      </c>
      <c r="R44" s="125">
        <f t="shared" si="6"/>
        <v>50</v>
      </c>
      <c r="S44" s="126">
        <f t="shared" si="7"/>
        <v>57.499999999999993</v>
      </c>
      <c r="T44" s="127">
        <f t="shared" si="8"/>
        <v>55.000000000000007</v>
      </c>
      <c r="U44" s="128" t="str">
        <f t="shared" si="9"/>
        <v>Y</v>
      </c>
      <c r="V44" s="129" t="str">
        <f t="shared" si="11"/>
        <v>Y</v>
      </c>
      <c r="W44" s="130" t="str">
        <f t="shared" si="10"/>
        <v>Y</v>
      </c>
    </row>
    <row r="45" spans="2:23" ht="29.1" customHeight="1" thickBot="1" x14ac:dyDescent="0.45">
      <c r="B45" s="114">
        <v>28</v>
      </c>
      <c r="C45" s="132" t="s">
        <v>124</v>
      </c>
      <c r="D45" s="133" t="s">
        <v>125</v>
      </c>
      <c r="E45" s="117">
        <v>8</v>
      </c>
      <c r="F45" s="117">
        <v>7</v>
      </c>
      <c r="G45" s="117">
        <v>9</v>
      </c>
      <c r="H45" s="117">
        <f t="shared" si="3"/>
        <v>24</v>
      </c>
      <c r="I45" s="118">
        <v>10</v>
      </c>
      <c r="J45" s="119">
        <v>5</v>
      </c>
      <c r="K45" s="119">
        <v>21</v>
      </c>
      <c r="L45" s="120">
        <f t="shared" si="4"/>
        <v>60</v>
      </c>
      <c r="M45" s="121" t="s">
        <v>61</v>
      </c>
      <c r="N45" s="131"/>
      <c r="O45" s="123">
        <f t="shared" si="1"/>
        <v>13</v>
      </c>
      <c r="P45" s="124">
        <f t="shared" si="5"/>
        <v>21</v>
      </c>
      <c r="Q45" s="124">
        <f t="shared" si="2"/>
        <v>26</v>
      </c>
      <c r="R45" s="125">
        <f t="shared" si="6"/>
        <v>65</v>
      </c>
      <c r="S45" s="126">
        <f t="shared" si="7"/>
        <v>52.5</v>
      </c>
      <c r="T45" s="127">
        <f t="shared" si="8"/>
        <v>65</v>
      </c>
      <c r="U45" s="128" t="str">
        <f t="shared" si="9"/>
        <v>Y</v>
      </c>
      <c r="V45" s="129" t="str">
        <f t="shared" si="11"/>
        <v>Y</v>
      </c>
      <c r="W45" s="130" t="str">
        <f t="shared" si="10"/>
        <v>Y</v>
      </c>
    </row>
    <row r="46" spans="2:23" ht="29.1" customHeight="1" thickBot="1" x14ac:dyDescent="0.45">
      <c r="B46" s="114">
        <v>28</v>
      </c>
      <c r="C46" s="132" t="s">
        <v>126</v>
      </c>
      <c r="D46" s="116" t="s">
        <v>94</v>
      </c>
      <c r="E46" s="117">
        <v>0</v>
      </c>
      <c r="F46" s="117">
        <v>0</v>
      </c>
      <c r="G46" s="117">
        <v>0</v>
      </c>
      <c r="H46" s="117">
        <f t="shared" si="3"/>
        <v>0</v>
      </c>
      <c r="I46" s="118">
        <v>0</v>
      </c>
      <c r="J46" s="119">
        <v>0</v>
      </c>
      <c r="K46" s="119">
        <v>0</v>
      </c>
      <c r="L46" s="120">
        <f t="shared" si="4"/>
        <v>0</v>
      </c>
      <c r="M46" s="121" t="s">
        <v>72</v>
      </c>
      <c r="N46" s="131"/>
      <c r="O46" s="123">
        <f t="shared" si="1"/>
        <v>0</v>
      </c>
      <c r="P46" s="124">
        <f t="shared" si="5"/>
        <v>0</v>
      </c>
      <c r="Q46" s="124">
        <f t="shared" si="2"/>
        <v>0</v>
      </c>
      <c r="R46" s="125">
        <f t="shared" si="6"/>
        <v>0</v>
      </c>
      <c r="S46" s="126">
        <f t="shared" si="7"/>
        <v>0</v>
      </c>
      <c r="T46" s="127">
        <f t="shared" si="8"/>
        <v>0</v>
      </c>
      <c r="U46" s="128" t="str">
        <f t="shared" si="9"/>
        <v>N</v>
      </c>
      <c r="V46" s="129" t="str">
        <f t="shared" si="11"/>
        <v>N</v>
      </c>
      <c r="W46" s="130" t="str">
        <f t="shared" si="10"/>
        <v>N</v>
      </c>
    </row>
    <row r="47" spans="2:23" ht="29.1" customHeight="1" thickBot="1" x14ac:dyDescent="0.45">
      <c r="B47" s="114">
        <v>27</v>
      </c>
      <c r="C47" s="115" t="s">
        <v>127</v>
      </c>
      <c r="D47" s="116" t="s">
        <v>128</v>
      </c>
      <c r="E47" s="117">
        <v>5</v>
      </c>
      <c r="F47" s="117">
        <v>6</v>
      </c>
      <c r="G47" s="117">
        <v>6</v>
      </c>
      <c r="H47" s="117">
        <f t="shared" si="3"/>
        <v>17</v>
      </c>
      <c r="I47" s="118">
        <v>11</v>
      </c>
      <c r="J47" s="119">
        <v>5</v>
      </c>
      <c r="K47" s="119">
        <v>22</v>
      </c>
      <c r="L47" s="120">
        <f t="shared" si="4"/>
        <v>55</v>
      </c>
      <c r="M47" s="121" t="s">
        <v>53</v>
      </c>
      <c r="N47" s="131"/>
      <c r="O47" s="123">
        <f t="shared" si="1"/>
        <v>10</v>
      </c>
      <c r="P47" s="124">
        <f t="shared" si="5"/>
        <v>22</v>
      </c>
      <c r="Q47" s="124">
        <f t="shared" si="2"/>
        <v>23</v>
      </c>
      <c r="R47" s="125">
        <f t="shared" si="6"/>
        <v>50</v>
      </c>
      <c r="S47" s="126">
        <f t="shared" si="7"/>
        <v>55.000000000000007</v>
      </c>
      <c r="T47" s="127">
        <f t="shared" si="8"/>
        <v>57.499999999999993</v>
      </c>
      <c r="U47" s="128" t="str">
        <f t="shared" si="9"/>
        <v>Y</v>
      </c>
      <c r="V47" s="129" t="str">
        <f t="shared" si="11"/>
        <v>Y</v>
      </c>
      <c r="W47" s="130" t="str">
        <f t="shared" si="10"/>
        <v>Y</v>
      </c>
    </row>
    <row r="48" spans="2:23" ht="28.5" customHeight="1" thickBot="1" x14ac:dyDescent="0.45">
      <c r="B48" s="114">
        <v>28</v>
      </c>
      <c r="C48" s="115" t="s">
        <v>129</v>
      </c>
      <c r="D48" s="116" t="s">
        <v>130</v>
      </c>
      <c r="E48" s="117">
        <v>6</v>
      </c>
      <c r="F48" s="117">
        <v>8</v>
      </c>
      <c r="G48" s="117">
        <v>8</v>
      </c>
      <c r="H48" s="117">
        <f t="shared" si="3"/>
        <v>22</v>
      </c>
      <c r="I48" s="118">
        <v>17</v>
      </c>
      <c r="J48" s="119">
        <v>7</v>
      </c>
      <c r="K48" s="119">
        <v>24</v>
      </c>
      <c r="L48" s="120">
        <f t="shared" si="4"/>
        <v>70</v>
      </c>
      <c r="M48" s="121" t="s">
        <v>131</v>
      </c>
      <c r="N48" s="131"/>
      <c r="O48" s="123">
        <f t="shared" si="1"/>
        <v>13</v>
      </c>
      <c r="P48" s="124">
        <f t="shared" si="5"/>
        <v>24</v>
      </c>
      <c r="Q48" s="124">
        <f t="shared" si="2"/>
        <v>33</v>
      </c>
      <c r="R48" s="125">
        <f t="shared" si="6"/>
        <v>65</v>
      </c>
      <c r="S48" s="126">
        <f t="shared" si="7"/>
        <v>60</v>
      </c>
      <c r="T48" s="127">
        <f t="shared" si="8"/>
        <v>82.5</v>
      </c>
      <c r="U48" s="128" t="str">
        <f t="shared" si="9"/>
        <v>Y</v>
      </c>
      <c r="V48" s="129" t="str">
        <f t="shared" si="11"/>
        <v>Y</v>
      </c>
      <c r="W48" s="130" t="str">
        <f t="shared" si="10"/>
        <v>Y</v>
      </c>
    </row>
    <row r="49" spans="1:23" ht="29.1" customHeight="1" thickBot="1" x14ac:dyDescent="0.45">
      <c r="B49" s="114">
        <v>28</v>
      </c>
      <c r="C49" s="115" t="s">
        <v>132</v>
      </c>
      <c r="D49" s="116" t="s">
        <v>133</v>
      </c>
      <c r="E49" s="117">
        <v>0</v>
      </c>
      <c r="F49" s="117">
        <v>0</v>
      </c>
      <c r="G49" s="117">
        <v>0</v>
      </c>
      <c r="H49" s="117">
        <f t="shared" si="3"/>
        <v>0</v>
      </c>
      <c r="I49" s="118">
        <v>0</v>
      </c>
      <c r="J49" s="119">
        <v>0</v>
      </c>
      <c r="K49" s="119">
        <v>0</v>
      </c>
      <c r="L49" s="120">
        <f t="shared" si="4"/>
        <v>0</v>
      </c>
      <c r="M49" s="134" t="s">
        <v>72</v>
      </c>
      <c r="N49" s="135"/>
      <c r="O49" s="123">
        <f t="shared" si="1"/>
        <v>0</v>
      </c>
      <c r="P49" s="136">
        <f t="shared" si="5"/>
        <v>0</v>
      </c>
      <c r="Q49" s="124">
        <f t="shared" si="2"/>
        <v>0</v>
      </c>
      <c r="R49" s="137">
        <f t="shared" si="6"/>
        <v>0</v>
      </c>
      <c r="S49" s="138">
        <f t="shared" si="7"/>
        <v>0</v>
      </c>
      <c r="T49" s="139">
        <f t="shared" si="8"/>
        <v>0</v>
      </c>
      <c r="U49" s="128" t="str">
        <f t="shared" si="9"/>
        <v>N</v>
      </c>
      <c r="V49" s="129" t="str">
        <f t="shared" si="11"/>
        <v>N</v>
      </c>
      <c r="W49" s="130" t="str">
        <f t="shared" si="10"/>
        <v>N</v>
      </c>
    </row>
    <row r="50" spans="1:23" ht="29.1" customHeight="1" thickBot="1" x14ac:dyDescent="0.45">
      <c r="B50" s="114">
        <v>28</v>
      </c>
      <c r="C50" s="132" t="s">
        <v>134</v>
      </c>
      <c r="D50" s="116" t="s">
        <v>135</v>
      </c>
      <c r="E50" s="117">
        <v>7</v>
      </c>
      <c r="F50" s="117">
        <v>6</v>
      </c>
      <c r="G50" s="117">
        <v>8</v>
      </c>
      <c r="H50" s="117">
        <f t="shared" si="3"/>
        <v>21</v>
      </c>
      <c r="I50" s="118">
        <v>15</v>
      </c>
      <c r="J50" s="119">
        <v>7</v>
      </c>
      <c r="K50" s="119">
        <v>25</v>
      </c>
      <c r="L50" s="120">
        <f t="shared" si="4"/>
        <v>68</v>
      </c>
      <c r="M50" s="134" t="s">
        <v>67</v>
      </c>
      <c r="N50" s="135"/>
      <c r="O50" s="123">
        <f t="shared" si="1"/>
        <v>14</v>
      </c>
      <c r="P50" s="136">
        <f t="shared" si="5"/>
        <v>25</v>
      </c>
      <c r="Q50" s="124">
        <f t="shared" si="2"/>
        <v>29</v>
      </c>
      <c r="R50" s="125">
        <f t="shared" si="6"/>
        <v>70</v>
      </c>
      <c r="S50" s="126">
        <f t="shared" si="7"/>
        <v>62.5</v>
      </c>
      <c r="T50" s="127">
        <f t="shared" si="8"/>
        <v>72.5</v>
      </c>
      <c r="U50" s="128" t="str">
        <f t="shared" si="9"/>
        <v>Y</v>
      </c>
      <c r="V50" s="129" t="str">
        <f t="shared" si="11"/>
        <v>Y</v>
      </c>
      <c r="W50" s="130" t="str">
        <f t="shared" si="10"/>
        <v>Y</v>
      </c>
    </row>
    <row r="51" spans="1:23" ht="29.1" customHeight="1" thickBot="1" x14ac:dyDescent="0.45">
      <c r="B51" s="114">
        <v>28</v>
      </c>
      <c r="C51" s="132" t="s">
        <v>136</v>
      </c>
      <c r="D51" s="116" t="s">
        <v>137</v>
      </c>
      <c r="E51" s="117">
        <v>5</v>
      </c>
      <c r="F51" s="117">
        <v>8</v>
      </c>
      <c r="G51" s="117">
        <v>5</v>
      </c>
      <c r="H51" s="117">
        <f t="shared" si="3"/>
        <v>18</v>
      </c>
      <c r="I51" s="118">
        <v>13</v>
      </c>
      <c r="J51" s="119">
        <v>6</v>
      </c>
      <c r="K51" s="119">
        <v>24</v>
      </c>
      <c r="L51" s="120">
        <f t="shared" si="4"/>
        <v>61</v>
      </c>
      <c r="M51" s="134" t="s">
        <v>61</v>
      </c>
      <c r="N51" s="135"/>
      <c r="O51" s="123">
        <f t="shared" si="1"/>
        <v>11</v>
      </c>
      <c r="P51" s="136">
        <f t="shared" si="5"/>
        <v>24</v>
      </c>
      <c r="Q51" s="124">
        <f t="shared" si="2"/>
        <v>26</v>
      </c>
      <c r="R51" s="140">
        <f t="shared" si="6"/>
        <v>55.000000000000007</v>
      </c>
      <c r="S51" s="136">
        <f t="shared" si="7"/>
        <v>60</v>
      </c>
      <c r="T51" s="141">
        <f t="shared" si="8"/>
        <v>65</v>
      </c>
      <c r="U51" s="128" t="str">
        <f t="shared" si="9"/>
        <v>Y</v>
      </c>
      <c r="V51" s="129" t="str">
        <f t="shared" si="11"/>
        <v>Y</v>
      </c>
      <c r="W51" s="130" t="str">
        <f t="shared" si="10"/>
        <v>Y</v>
      </c>
    </row>
    <row r="52" spans="1:23" ht="29.1" customHeight="1" thickBot="1" x14ac:dyDescent="0.45">
      <c r="B52" s="114">
        <v>28</v>
      </c>
      <c r="C52" s="132" t="s">
        <v>138</v>
      </c>
      <c r="D52" s="116" t="s">
        <v>139</v>
      </c>
      <c r="E52" s="117">
        <v>6</v>
      </c>
      <c r="F52" s="117">
        <v>5</v>
      </c>
      <c r="G52" s="117">
        <v>6</v>
      </c>
      <c r="H52" s="117">
        <f t="shared" si="3"/>
        <v>17</v>
      </c>
      <c r="I52" s="118">
        <v>11</v>
      </c>
      <c r="J52" s="119">
        <v>5</v>
      </c>
      <c r="K52" s="119">
        <v>23</v>
      </c>
      <c r="L52" s="120">
        <f t="shared" si="4"/>
        <v>56</v>
      </c>
      <c r="M52" s="134" t="s">
        <v>53</v>
      </c>
      <c r="N52" s="135"/>
      <c r="O52" s="123">
        <f t="shared" si="1"/>
        <v>11</v>
      </c>
      <c r="P52" s="136">
        <f t="shared" si="5"/>
        <v>23</v>
      </c>
      <c r="Q52" s="124">
        <f t="shared" si="2"/>
        <v>22</v>
      </c>
      <c r="R52" s="142">
        <f t="shared" si="6"/>
        <v>55.000000000000007</v>
      </c>
      <c r="S52" s="143">
        <f t="shared" si="7"/>
        <v>57.499999999999993</v>
      </c>
      <c r="T52" s="144">
        <f t="shared" si="8"/>
        <v>55.000000000000007</v>
      </c>
      <c r="U52" s="128" t="str">
        <f t="shared" si="9"/>
        <v>Y</v>
      </c>
      <c r="V52" s="129" t="str">
        <f t="shared" si="11"/>
        <v>Y</v>
      </c>
      <c r="W52" s="130" t="str">
        <f t="shared" si="10"/>
        <v>Y</v>
      </c>
    </row>
    <row r="53" spans="1:23" ht="29.1" customHeight="1" thickBot="1" x14ac:dyDescent="0.45">
      <c r="B53" s="114">
        <v>28</v>
      </c>
      <c r="C53" s="132" t="s">
        <v>140</v>
      </c>
      <c r="D53" s="133" t="s">
        <v>141</v>
      </c>
      <c r="E53" s="117">
        <v>8</v>
      </c>
      <c r="F53" s="117">
        <v>5</v>
      </c>
      <c r="G53" s="117">
        <v>6</v>
      </c>
      <c r="H53" s="117">
        <f t="shared" si="3"/>
        <v>19</v>
      </c>
      <c r="I53" s="118">
        <v>10</v>
      </c>
      <c r="J53" s="119">
        <v>5</v>
      </c>
      <c r="K53" s="119">
        <v>23</v>
      </c>
      <c r="L53" s="120">
        <f t="shared" si="4"/>
        <v>57</v>
      </c>
      <c r="M53" s="134" t="s">
        <v>53</v>
      </c>
      <c r="N53" s="135"/>
      <c r="O53" s="123">
        <f t="shared" si="1"/>
        <v>13</v>
      </c>
      <c r="P53" s="136">
        <f t="shared" si="5"/>
        <v>23</v>
      </c>
      <c r="Q53" s="124">
        <f t="shared" si="2"/>
        <v>21</v>
      </c>
      <c r="R53" s="125">
        <f t="shared" si="6"/>
        <v>65</v>
      </c>
      <c r="S53" s="126">
        <f t="shared" si="7"/>
        <v>57.499999999999993</v>
      </c>
      <c r="T53" s="127">
        <f t="shared" si="8"/>
        <v>52.5</v>
      </c>
      <c r="U53" s="128" t="str">
        <f t="shared" si="9"/>
        <v>Y</v>
      </c>
      <c r="V53" s="129" t="str">
        <f t="shared" si="11"/>
        <v>Y</v>
      </c>
      <c r="W53" s="130" t="str">
        <f t="shared" si="10"/>
        <v>Y</v>
      </c>
    </row>
    <row r="54" spans="1:23" ht="27" thickBot="1" x14ac:dyDescent="0.45">
      <c r="B54" s="114">
        <v>28</v>
      </c>
      <c r="C54" s="132" t="s">
        <v>142</v>
      </c>
      <c r="D54" s="133" t="s">
        <v>143</v>
      </c>
      <c r="E54" s="117">
        <v>5</v>
      </c>
      <c r="F54" s="117">
        <v>5</v>
      </c>
      <c r="G54" s="117">
        <v>6</v>
      </c>
      <c r="H54" s="117">
        <f t="shared" si="3"/>
        <v>16</v>
      </c>
      <c r="I54" s="118">
        <v>5</v>
      </c>
      <c r="J54" s="119">
        <v>6</v>
      </c>
      <c r="K54" s="119">
        <v>20</v>
      </c>
      <c r="L54" s="120">
        <f t="shared" si="4"/>
        <v>47</v>
      </c>
      <c r="M54" s="134" t="s">
        <v>56</v>
      </c>
      <c r="N54" s="135"/>
      <c r="O54" s="123">
        <f t="shared" si="1"/>
        <v>11</v>
      </c>
      <c r="P54" s="136">
        <f t="shared" si="5"/>
        <v>20</v>
      </c>
      <c r="Q54" s="124">
        <f t="shared" si="2"/>
        <v>16</v>
      </c>
      <c r="R54" s="145">
        <f t="shared" si="6"/>
        <v>55.000000000000007</v>
      </c>
      <c r="S54" s="146">
        <f t="shared" si="7"/>
        <v>50</v>
      </c>
      <c r="T54" s="141">
        <f t="shared" si="8"/>
        <v>40</v>
      </c>
      <c r="U54" s="128" t="str">
        <f t="shared" si="9"/>
        <v>Y</v>
      </c>
      <c r="V54" s="129" t="str">
        <f t="shared" si="11"/>
        <v>N</v>
      </c>
      <c r="W54" s="130" t="str">
        <f t="shared" si="10"/>
        <v>N</v>
      </c>
    </row>
    <row r="55" spans="1:23" ht="27" thickBot="1" x14ac:dyDescent="0.45">
      <c r="B55" s="114">
        <v>28</v>
      </c>
      <c r="C55" s="132" t="s">
        <v>144</v>
      </c>
      <c r="D55" s="116" t="s">
        <v>145</v>
      </c>
      <c r="E55" s="117">
        <v>6</v>
      </c>
      <c r="F55" s="117">
        <v>6</v>
      </c>
      <c r="G55" s="117">
        <v>5</v>
      </c>
      <c r="H55" s="117">
        <f t="shared" si="3"/>
        <v>17</v>
      </c>
      <c r="I55" s="118">
        <v>6</v>
      </c>
      <c r="J55" s="119">
        <v>5</v>
      </c>
      <c r="K55" s="119">
        <v>28</v>
      </c>
      <c r="L55" s="120">
        <f t="shared" si="4"/>
        <v>56</v>
      </c>
      <c r="M55" s="121" t="s">
        <v>53</v>
      </c>
      <c r="N55" s="135"/>
      <c r="O55" s="123">
        <f t="shared" si="1"/>
        <v>11</v>
      </c>
      <c r="P55" s="136">
        <f t="shared" si="5"/>
        <v>28</v>
      </c>
      <c r="Q55" s="124">
        <f t="shared" si="2"/>
        <v>17</v>
      </c>
      <c r="R55" s="147">
        <f>((O55/$O$8)*100)</f>
        <v>55.000000000000007</v>
      </c>
      <c r="S55" s="136">
        <f>((P55/$P$8)*100)</f>
        <v>70</v>
      </c>
      <c r="T55" s="148">
        <f>((Q55/$Q$8)*100)</f>
        <v>42.5</v>
      </c>
      <c r="U55" s="128" t="str">
        <f>IF(R55&gt;=50,"Y","N")</f>
        <v>Y</v>
      </c>
      <c r="V55" s="129" t="str">
        <f t="shared" si="11"/>
        <v>Y</v>
      </c>
      <c r="W55" s="130" t="str">
        <f t="shared" si="10"/>
        <v>N</v>
      </c>
    </row>
    <row r="56" spans="1:23" ht="26.25" x14ac:dyDescent="0.4">
      <c r="B56" s="149"/>
      <c r="C56" s="150"/>
      <c r="D56" s="151"/>
      <c r="E56" s="151"/>
      <c r="F56" s="151"/>
      <c r="G56" s="151"/>
      <c r="H56" s="151"/>
      <c r="I56" s="118"/>
      <c r="J56" s="152"/>
      <c r="K56" s="153"/>
      <c r="L56" s="154"/>
      <c r="M56" s="155"/>
      <c r="N56" s="156"/>
      <c r="O56" s="146"/>
      <c r="P56" s="146"/>
      <c r="Q56" s="157"/>
      <c r="R56" s="157"/>
      <c r="S56" s="157"/>
      <c r="T56" s="136"/>
      <c r="U56" s="158"/>
      <c r="V56" s="159"/>
      <c r="W56" s="158"/>
    </row>
    <row r="57" spans="1:23" ht="26.25" x14ac:dyDescent="0.35">
      <c r="B57" s="160"/>
      <c r="C57" s="161"/>
      <c r="D57" s="162"/>
      <c r="E57" s="162"/>
      <c r="F57" s="162"/>
      <c r="G57" s="162"/>
      <c r="H57" s="162"/>
      <c r="I57" s="47"/>
      <c r="J57" s="119"/>
      <c r="K57" s="119"/>
      <c r="L57" s="163"/>
      <c r="M57" s="164"/>
      <c r="N57" s="165"/>
      <c r="O57" s="157"/>
      <c r="P57" s="157"/>
      <c r="Q57" s="157"/>
      <c r="R57" s="157"/>
      <c r="S57" s="157"/>
      <c r="T57" s="157"/>
      <c r="U57" s="159"/>
      <c r="V57" s="159"/>
      <c r="W57" s="159"/>
    </row>
    <row r="58" spans="1:23" ht="30" customHeight="1" x14ac:dyDescent="0.25">
      <c r="B58" s="166"/>
      <c r="C58" s="166"/>
      <c r="D58" s="167"/>
      <c r="E58" s="167"/>
      <c r="F58" s="167"/>
      <c r="G58" s="167"/>
      <c r="H58" s="167"/>
      <c r="I58" s="168"/>
      <c r="J58" s="169"/>
      <c r="K58" s="170"/>
      <c r="L58" s="171"/>
      <c r="M58" s="164"/>
      <c r="N58" s="165"/>
      <c r="O58" s="157"/>
      <c r="P58" s="157"/>
      <c r="Q58" s="157"/>
      <c r="R58" s="157"/>
      <c r="S58" s="157"/>
      <c r="T58" s="157"/>
      <c r="U58" s="159"/>
      <c r="V58" s="159"/>
      <c r="W58" s="159"/>
    </row>
    <row r="59" spans="1:23" ht="30" customHeight="1" x14ac:dyDescent="0.25">
      <c r="B59" s="166"/>
      <c r="C59" s="166"/>
      <c r="D59" s="167"/>
      <c r="E59" s="172"/>
      <c r="F59" s="168"/>
      <c r="G59" s="168"/>
      <c r="H59" s="168"/>
      <c r="I59" s="169"/>
      <c r="J59" s="168"/>
      <c r="K59" s="168"/>
      <c r="L59" s="168"/>
      <c r="M59" s="173"/>
      <c r="N59" s="165"/>
      <c r="O59" s="157"/>
      <c r="P59" s="157"/>
      <c r="Q59" s="157"/>
      <c r="R59" s="157"/>
      <c r="S59" s="157"/>
      <c r="T59" s="157"/>
      <c r="U59" s="159"/>
      <c r="V59" s="159"/>
      <c r="W59" s="159"/>
    </row>
    <row r="60" spans="1:23" ht="30" customHeight="1" x14ac:dyDescent="0.25">
      <c r="A60" s="174"/>
      <c r="B60" s="68"/>
      <c r="C60" s="394" t="s">
        <v>30</v>
      </c>
      <c r="D60" s="395"/>
      <c r="E60" s="396" t="s">
        <v>31</v>
      </c>
      <c r="F60" s="396"/>
      <c r="G60" s="396"/>
      <c r="H60" s="396"/>
      <c r="I60" s="395"/>
      <c r="J60" s="175"/>
      <c r="K60" s="175"/>
      <c r="L60" s="175"/>
      <c r="M60" s="176"/>
      <c r="N60" s="176"/>
      <c r="O60" s="176"/>
      <c r="P60" s="176"/>
      <c r="Q60" s="176"/>
      <c r="R60" s="176"/>
      <c r="S60" s="176"/>
      <c r="T60" s="176"/>
      <c r="U60" s="177"/>
      <c r="V60" s="177"/>
      <c r="W60" s="177"/>
    </row>
    <row r="61" spans="1:23" ht="30" customHeight="1" x14ac:dyDescent="0.25">
      <c r="A61" s="174"/>
      <c r="B61" s="178"/>
      <c r="C61" s="428" t="s">
        <v>146</v>
      </c>
      <c r="D61" s="429"/>
      <c r="E61" s="430" t="s">
        <v>32</v>
      </c>
      <c r="F61" s="430"/>
      <c r="G61" s="430"/>
      <c r="H61" s="430"/>
      <c r="I61" s="430"/>
      <c r="J61" s="179"/>
      <c r="K61" s="180"/>
      <c r="L61" s="4"/>
      <c r="M61" s="4"/>
      <c r="N61" s="4"/>
      <c r="O61" s="181"/>
      <c r="P61" s="181"/>
      <c r="Q61" s="181"/>
      <c r="R61" s="181"/>
      <c r="S61" s="181"/>
      <c r="T61" s="4"/>
      <c r="U61" s="4"/>
      <c r="V61" s="4"/>
      <c r="W61" s="4"/>
    </row>
    <row r="62" spans="1:23" ht="30" customHeight="1" thickBot="1" x14ac:dyDescent="0.3">
      <c r="B62" s="182"/>
      <c r="C62" s="183"/>
      <c r="D62" s="184"/>
      <c r="E62" s="185"/>
      <c r="F62" s="185"/>
      <c r="G62" s="185"/>
      <c r="H62" s="185"/>
      <c r="I62" s="185"/>
      <c r="J62" s="186"/>
      <c r="K62" s="187"/>
      <c r="L62" s="184"/>
      <c r="M62" s="188"/>
      <c r="N62" s="188"/>
      <c r="O62" s="189"/>
      <c r="P62" s="189"/>
      <c r="Q62" s="189"/>
      <c r="R62" s="189"/>
      <c r="S62" s="189"/>
      <c r="T62" s="188"/>
      <c r="U62" s="188"/>
      <c r="V62" s="188"/>
      <c r="W62" s="184"/>
    </row>
    <row r="63" spans="1:23" ht="30" customHeight="1" x14ac:dyDescent="0.25">
      <c r="B63" s="431" t="s">
        <v>147</v>
      </c>
      <c r="C63" s="433" t="s">
        <v>148</v>
      </c>
      <c r="D63" s="434"/>
      <c r="E63" s="434"/>
      <c r="F63" s="434"/>
      <c r="G63" s="434"/>
      <c r="H63" s="434"/>
      <c r="I63" s="434"/>
      <c r="J63" s="434"/>
      <c r="K63" s="434"/>
      <c r="L63" s="435"/>
      <c r="M63" s="190"/>
      <c r="O63" s="191"/>
      <c r="P63" s="191"/>
      <c r="Q63" s="191"/>
      <c r="R63" s="191"/>
      <c r="S63" s="191"/>
    </row>
    <row r="64" spans="1:23" ht="30" customHeight="1" x14ac:dyDescent="0.25">
      <c r="B64" s="432"/>
      <c r="C64" s="436"/>
      <c r="D64" s="437"/>
      <c r="E64" s="437"/>
      <c r="F64" s="437"/>
      <c r="G64" s="437"/>
      <c r="H64" s="437"/>
      <c r="I64" s="437"/>
      <c r="J64" s="437"/>
      <c r="K64" s="437"/>
      <c r="L64" s="438"/>
      <c r="M64" s="190"/>
      <c r="O64" s="191"/>
      <c r="P64" s="191"/>
      <c r="Q64" s="191"/>
      <c r="R64" s="191"/>
      <c r="S64" s="191"/>
    </row>
    <row r="65" spans="2:21" ht="30" customHeight="1" x14ac:dyDescent="0.25">
      <c r="B65" s="432" t="s">
        <v>149</v>
      </c>
      <c r="C65" s="439" t="s">
        <v>150</v>
      </c>
      <c r="D65" s="440"/>
      <c r="E65" s="440"/>
      <c r="F65" s="440"/>
      <c r="G65" s="440"/>
      <c r="H65" s="440"/>
      <c r="I65" s="440"/>
      <c r="J65" s="440"/>
      <c r="K65" s="440"/>
      <c r="L65" s="441"/>
      <c r="M65" s="190"/>
      <c r="O65" s="191"/>
      <c r="P65" s="191"/>
      <c r="Q65" s="191"/>
      <c r="R65" s="191"/>
      <c r="S65" s="191"/>
    </row>
    <row r="66" spans="2:21" ht="30" customHeight="1" x14ac:dyDescent="0.25">
      <c r="B66" s="432"/>
      <c r="C66" s="436"/>
      <c r="D66" s="437"/>
      <c r="E66" s="437"/>
      <c r="F66" s="437"/>
      <c r="G66" s="437"/>
      <c r="H66" s="437"/>
      <c r="I66" s="437"/>
      <c r="J66" s="437"/>
      <c r="K66" s="437"/>
      <c r="L66" s="438"/>
      <c r="M66" s="190"/>
      <c r="O66" s="191"/>
      <c r="P66" s="191"/>
      <c r="Q66" s="191"/>
      <c r="R66" s="191"/>
      <c r="S66" s="191"/>
    </row>
    <row r="67" spans="2:21" ht="30" customHeight="1" x14ac:dyDescent="0.25">
      <c r="B67" s="432" t="s">
        <v>151</v>
      </c>
      <c r="C67" s="439" t="s">
        <v>152</v>
      </c>
      <c r="D67" s="440"/>
      <c r="E67" s="440"/>
      <c r="F67" s="440"/>
      <c r="G67" s="440"/>
      <c r="H67" s="440"/>
      <c r="I67" s="440"/>
      <c r="J67" s="440"/>
      <c r="K67" s="440"/>
      <c r="L67" s="441"/>
      <c r="M67" s="190"/>
      <c r="O67" s="191"/>
      <c r="P67" s="191"/>
      <c r="Q67" s="191"/>
      <c r="R67" s="191"/>
      <c r="S67" s="191"/>
    </row>
    <row r="68" spans="2:21" ht="21" thickBot="1" x14ac:dyDescent="0.3">
      <c r="B68" s="442"/>
      <c r="C68" s="443"/>
      <c r="D68" s="444"/>
      <c r="E68" s="444"/>
      <c r="F68" s="444"/>
      <c r="G68" s="444"/>
      <c r="H68" s="444"/>
      <c r="I68" s="444"/>
      <c r="J68" s="444"/>
      <c r="K68" s="444"/>
      <c r="L68" s="445"/>
    </row>
    <row r="69" spans="2:21" ht="42" customHeight="1" x14ac:dyDescent="0.25"/>
    <row r="70" spans="2:21" ht="24.95" customHeight="1" x14ac:dyDescent="0.25">
      <c r="B70" s="317" t="str">
        <f>B2</f>
        <v>MNS - UNIVERSITY OF ENGINEERING AND TECHNOLOGY MULTAN</v>
      </c>
      <c r="C70" s="317"/>
      <c r="D70" s="317"/>
      <c r="E70" s="317"/>
      <c r="F70" s="317"/>
      <c r="G70" s="317"/>
      <c r="H70" s="317"/>
      <c r="I70" s="317"/>
    </row>
    <row r="71" spans="2:21" ht="24.95" customHeight="1" x14ac:dyDescent="0.25">
      <c r="B71" s="317" t="s">
        <v>153</v>
      </c>
      <c r="C71" s="317"/>
      <c r="D71" s="317"/>
      <c r="E71" s="317"/>
      <c r="F71" s="317"/>
      <c r="G71" s="317"/>
      <c r="H71" s="317"/>
      <c r="I71" s="317"/>
    </row>
    <row r="72" spans="2:21" ht="20.25" customHeight="1" x14ac:dyDescent="0.25">
      <c r="B72" s="446" t="str">
        <f>I4</f>
        <v>Title (Code):  Application of Information &amp; Communication Technologies (IT-112</v>
      </c>
      <c r="C72" s="447"/>
      <c r="D72" s="446" t="str">
        <f>N2</f>
        <v xml:space="preserve">Fall 2023 </v>
      </c>
      <c r="E72" s="447"/>
      <c r="F72" s="447"/>
      <c r="G72" s="447"/>
      <c r="H72" s="447"/>
      <c r="I72" s="448"/>
    </row>
    <row r="73" spans="2:21" x14ac:dyDescent="0.25">
      <c r="B73" s="449" t="s">
        <v>154</v>
      </c>
      <c r="C73" s="449"/>
      <c r="D73" s="446" t="str">
        <f>T2</f>
        <v>Evening (A)</v>
      </c>
      <c r="E73" s="447"/>
      <c r="F73" s="447"/>
      <c r="G73" s="447"/>
      <c r="H73" s="447"/>
      <c r="I73" s="448"/>
    </row>
    <row r="74" spans="2:21" x14ac:dyDescent="0.25">
      <c r="B74" s="449" t="s">
        <v>33</v>
      </c>
      <c r="C74" s="449"/>
      <c r="D74" s="449"/>
      <c r="E74" s="449"/>
      <c r="F74" s="449"/>
      <c r="G74" s="449"/>
      <c r="H74" s="449"/>
      <c r="I74" s="449"/>
    </row>
    <row r="75" spans="2:21" x14ac:dyDescent="0.25">
      <c r="B75" s="380"/>
      <c r="C75" s="380"/>
      <c r="D75" s="380"/>
      <c r="E75" s="380"/>
      <c r="F75" s="380"/>
      <c r="G75" s="380"/>
      <c r="H75" s="380"/>
      <c r="I75" s="380"/>
    </row>
    <row r="77" spans="2:21" x14ac:dyDescent="0.25">
      <c r="B77" s="1"/>
      <c r="C77" s="1"/>
      <c r="D77" s="381" t="s">
        <v>34</v>
      </c>
      <c r="E77" s="315"/>
      <c r="F77" s="315"/>
      <c r="G77" s="192"/>
      <c r="H77" s="193"/>
      <c r="I77" s="193"/>
    </row>
    <row r="78" spans="2:21" ht="40.5" x14ac:dyDescent="0.25">
      <c r="B78" s="1" t="s">
        <v>25</v>
      </c>
      <c r="C78" s="1" t="s">
        <v>35</v>
      </c>
      <c r="D78" s="1" t="s">
        <v>36</v>
      </c>
      <c r="E78" s="1" t="s">
        <v>37</v>
      </c>
      <c r="F78" s="66" t="s">
        <v>155</v>
      </c>
      <c r="G78" s="194"/>
      <c r="H78" s="65"/>
    </row>
    <row r="79" spans="2:21" x14ac:dyDescent="0.25">
      <c r="B79" s="58">
        <v>1</v>
      </c>
      <c r="C79" s="58">
        <f>O7</f>
        <v>2</v>
      </c>
      <c r="D79" s="58">
        <f>COUNTIF($U$12:$U$55,U12)</f>
        <v>38</v>
      </c>
      <c r="E79" s="58">
        <f>COUNTIF($U$12:$U$53,V11)</f>
        <v>6</v>
      </c>
      <c r="F79" s="195">
        <f>E79/39*100</f>
        <v>15.384615384615385</v>
      </c>
      <c r="G79" s="196"/>
      <c r="H79" s="64"/>
      <c r="U79" s="2" t="s">
        <v>156</v>
      </c>
    </row>
    <row r="80" spans="2:21" x14ac:dyDescent="0.25">
      <c r="B80" s="58">
        <v>2</v>
      </c>
      <c r="C80" s="58">
        <f>P7</f>
        <v>3</v>
      </c>
      <c r="D80" s="58">
        <f>COUNTIF($U$12:$U$55,U49)</f>
        <v>6</v>
      </c>
      <c r="E80" s="58">
        <f>COUNTIF($V$12:$V$53,V11)</f>
        <v>17</v>
      </c>
      <c r="F80" s="195">
        <f>E80/39*100</f>
        <v>43.589743589743591</v>
      </c>
      <c r="G80" s="196"/>
      <c r="H80" s="64"/>
    </row>
    <row r="81" spans="2:8" x14ac:dyDescent="0.25">
      <c r="B81" s="58">
        <v>3</v>
      </c>
      <c r="C81" s="58">
        <f>Q7</f>
        <v>7</v>
      </c>
      <c r="D81" s="58">
        <f>COUNTIF($U$12:$U$55,U50)</f>
        <v>38</v>
      </c>
      <c r="E81" s="58">
        <f>COUNTIF($W$12:$W$53,V11)</f>
        <v>9</v>
      </c>
      <c r="F81" s="195">
        <f>E81/39*100</f>
        <v>23.076923076923077</v>
      </c>
      <c r="G81" s="196"/>
      <c r="H81" s="64"/>
    </row>
    <row r="110" spans="3:3" x14ac:dyDescent="0.25">
      <c r="C110" s="2" t="s">
        <v>38</v>
      </c>
    </row>
  </sheetData>
  <mergeCells count="42">
    <mergeCell ref="B74:I74"/>
    <mergeCell ref="B75:I75"/>
    <mergeCell ref="D77:F77"/>
    <mergeCell ref="B71:I71"/>
    <mergeCell ref="B72:C72"/>
    <mergeCell ref="D72:I72"/>
    <mergeCell ref="B73:C73"/>
    <mergeCell ref="D73:I73"/>
    <mergeCell ref="B65:B66"/>
    <mergeCell ref="C65:L66"/>
    <mergeCell ref="B67:B68"/>
    <mergeCell ref="C67:L68"/>
    <mergeCell ref="B70:I70"/>
    <mergeCell ref="R11:T11"/>
    <mergeCell ref="C61:D61"/>
    <mergeCell ref="E61:I61"/>
    <mergeCell ref="B63:B64"/>
    <mergeCell ref="C63:L64"/>
    <mergeCell ref="C60:D60"/>
    <mergeCell ref="E60:I60"/>
    <mergeCell ref="B5:D5"/>
    <mergeCell ref="E5:H5"/>
    <mergeCell ref="N5:W5"/>
    <mergeCell ref="E6:G6"/>
    <mergeCell ref="H6:H7"/>
    <mergeCell ref="M6:M10"/>
    <mergeCell ref="R6:T8"/>
    <mergeCell ref="U6:W8"/>
    <mergeCell ref="L7:L8"/>
    <mergeCell ref="N8:N11"/>
    <mergeCell ref="O9:Q9"/>
    <mergeCell ref="R9:T9"/>
    <mergeCell ref="U9:W9"/>
    <mergeCell ref="I11:M11"/>
    <mergeCell ref="B4:D4"/>
    <mergeCell ref="I4:M4"/>
    <mergeCell ref="N4:W4"/>
    <mergeCell ref="B2:M2"/>
    <mergeCell ref="N2:S2"/>
    <mergeCell ref="T2:W2"/>
    <mergeCell ref="B3:M3"/>
    <mergeCell ref="N3:W3"/>
  </mergeCells>
  <conditionalFormatting sqref="K58">
    <cfRule type="cellIs" dxfId="2" priority="1" operator="between">
      <formula>10</formula>
      <formula>40</formula>
    </cfRule>
    <cfRule type="cellIs" dxfId="1" priority="2" operator="between">
      <formula>1</formula>
      <formula>40</formula>
    </cfRule>
    <cfRule type="cellIs" dxfId="0" priority="3" operator="between">
      <formula>1</formula>
      <formula>45</formula>
    </cfRule>
  </conditionalFormatting>
  <pageMargins left="0.23622047244094491" right="0.23622047244094491" top="0.74803149606299213" bottom="0.74803149606299213" header="0.31496062992125984" footer="0.31496062992125984"/>
  <pageSetup paperSize="9" scale="2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28A7-A7B4-4D57-9145-130874EA10F7}">
  <sheetPr>
    <pageSetUpPr fitToPage="1"/>
  </sheetPr>
  <dimension ref="B1:AA101"/>
  <sheetViews>
    <sheetView topLeftCell="C1" zoomScale="41" zoomScaleNormal="41" zoomScalePageLayoutView="22" workbookViewId="0">
      <selection activeCell="W16" sqref="W16"/>
    </sheetView>
  </sheetViews>
  <sheetFormatPr defaultColWidth="9.140625" defaultRowHeight="20.25" x14ac:dyDescent="0.25"/>
  <cols>
    <col min="1" max="1" width="7.7109375" style="2" customWidth="1"/>
    <col min="2" max="2" width="11.140625" style="64" customWidth="1"/>
    <col min="3" max="3" width="63.28515625" style="2" customWidth="1"/>
    <col min="4" max="4" width="49.140625" style="2" customWidth="1"/>
    <col min="5" max="5" width="21.7109375" style="2" customWidth="1"/>
    <col min="6" max="7" width="14.42578125" style="2" customWidth="1"/>
    <col min="8" max="8" width="15" style="2" customWidth="1"/>
    <col min="9" max="9" width="15.28515625" style="2" customWidth="1"/>
    <col min="10" max="10" width="22.85546875" style="2" customWidth="1"/>
    <col min="11" max="11" width="24.5703125" style="2" customWidth="1"/>
    <col min="12" max="13" width="18" style="2" customWidth="1"/>
    <col min="14" max="14" width="11.7109375" style="2" customWidth="1"/>
    <col min="15" max="15" width="19.85546875" style="2" customWidth="1"/>
    <col min="16" max="16" width="12.7109375" style="2" customWidth="1"/>
    <col min="17" max="17" width="18.28515625" style="2" customWidth="1"/>
    <col min="18" max="18" width="15.42578125" style="2" bestFit="1" customWidth="1"/>
    <col min="19" max="20" width="9.140625" style="2" customWidth="1"/>
    <col min="21" max="21" width="10.42578125" style="2" customWidth="1"/>
    <col min="22" max="22" width="9.140625" style="2" customWidth="1"/>
    <col min="23" max="23" width="11.140625" style="2" customWidth="1"/>
    <col min="24" max="24" width="11.85546875" style="2" customWidth="1"/>
    <col min="25" max="25" width="9.140625" style="2" customWidth="1"/>
    <col min="26" max="26" width="13.140625" style="2" customWidth="1"/>
    <col min="27" max="27" width="14.7109375" style="2" customWidth="1"/>
    <col min="28" max="16384" width="9.140625" style="2"/>
  </cols>
  <sheetData>
    <row r="1" spans="2:27" ht="51" customHeight="1" x14ac:dyDescent="0.25">
      <c r="B1" s="313" t="str">
        <f>[4]Theory!A1</f>
        <v>MNS - UNIVERSITY OF ENGINEERING AND TECHNOLOGY MULTAN</v>
      </c>
      <c r="C1" s="314"/>
      <c r="D1" s="314"/>
      <c r="E1" s="314"/>
      <c r="F1" s="314"/>
      <c r="G1" s="314"/>
      <c r="H1" s="314"/>
      <c r="I1" s="314"/>
      <c r="J1" s="314"/>
      <c r="K1" s="314"/>
      <c r="L1" s="315" t="str">
        <f>[4]Theory!B4</f>
        <v>Fall-2023-2027 (Evening-A)</v>
      </c>
      <c r="M1" s="315"/>
      <c r="N1" s="315"/>
      <c r="O1" s="316"/>
      <c r="P1" s="317" t="str">
        <f>[4]Theory!H3</f>
        <v>1st  Semester</v>
      </c>
      <c r="Q1" s="317"/>
      <c r="R1" s="317"/>
      <c r="S1" s="317" t="str">
        <f>[4]Theory!H4</f>
        <v>Fall 2023</v>
      </c>
      <c r="T1" s="317"/>
      <c r="U1" s="317"/>
      <c r="V1" s="317"/>
      <c r="W1" s="317"/>
      <c r="X1" s="317" t="str">
        <f>[4]Theory!H5</f>
        <v>Abdul Nasir Zamir</v>
      </c>
      <c r="Y1" s="317"/>
      <c r="Z1" s="317"/>
      <c r="AA1" s="317"/>
    </row>
    <row r="2" spans="2:27" ht="32.1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 t="str">
        <f>[4]Theory!B3</f>
        <v>BS Information Technology</v>
      </c>
      <c r="J2" s="308"/>
      <c r="K2" s="308"/>
      <c r="L2" s="308"/>
      <c r="M2" s="308"/>
      <c r="N2" s="308"/>
      <c r="O2" s="308"/>
      <c r="P2" s="308"/>
      <c r="Q2" s="309"/>
      <c r="R2" s="310" t="s">
        <v>1</v>
      </c>
      <c r="S2" s="311"/>
      <c r="T2" s="311"/>
      <c r="U2" s="311"/>
      <c r="V2" s="311"/>
      <c r="W2" s="311"/>
      <c r="X2" s="311"/>
      <c r="Y2" s="311"/>
      <c r="Z2" s="311"/>
      <c r="AA2" s="312"/>
    </row>
    <row r="3" spans="2:27" ht="32.1" customHeight="1" thickBot="1" x14ac:dyDescent="0.3">
      <c r="B3" s="318" t="s">
        <v>2</v>
      </c>
      <c r="C3" s="319"/>
      <c r="D3" s="319"/>
      <c r="E3" s="320" t="str">
        <f>[4]Theory!B5</f>
        <v>Title (Code):  Teaching of the Holy Quran-I (QS-110)</v>
      </c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2"/>
      <c r="R3" s="323"/>
      <c r="S3" s="324"/>
      <c r="T3" s="324"/>
      <c r="U3" s="324"/>
      <c r="V3" s="324"/>
      <c r="W3" s="324"/>
      <c r="X3" s="324"/>
      <c r="Y3" s="324"/>
      <c r="Z3" s="324"/>
      <c r="AA3" s="325"/>
    </row>
    <row r="4" spans="2:27" ht="59.25" customHeight="1" thickBot="1" x14ac:dyDescent="0.3">
      <c r="B4" s="326" t="s">
        <v>3</v>
      </c>
      <c r="C4" s="327"/>
      <c r="D4" s="328"/>
      <c r="E4" s="5" t="s">
        <v>4</v>
      </c>
      <c r="F4" s="329" t="s">
        <v>5</v>
      </c>
      <c r="G4" s="330"/>
      <c r="H4" s="330"/>
      <c r="I4" s="331"/>
      <c r="J4" s="5" t="s">
        <v>6</v>
      </c>
      <c r="K4" s="6" t="s">
        <v>7</v>
      </c>
      <c r="L4" s="329" t="s">
        <v>8</v>
      </c>
      <c r="M4" s="330"/>
      <c r="N4" s="330"/>
      <c r="O4" s="331"/>
      <c r="P4" s="7" t="s">
        <v>9</v>
      </c>
      <c r="Q4" s="8" t="s">
        <v>10</v>
      </c>
      <c r="R4" s="332" t="s">
        <v>11</v>
      </c>
      <c r="S4" s="333"/>
      <c r="T4" s="333"/>
      <c r="U4" s="333"/>
      <c r="V4" s="333"/>
      <c r="W4" s="333"/>
      <c r="X4" s="333"/>
      <c r="Y4" s="333"/>
      <c r="Z4" s="333"/>
      <c r="AA4" s="334"/>
    </row>
    <row r="5" spans="2:27" ht="50.25" customHeight="1" thickBot="1" x14ac:dyDescent="0.3">
      <c r="B5" s="364" t="s">
        <v>12</v>
      </c>
      <c r="C5" s="365"/>
      <c r="D5" s="366"/>
      <c r="E5" s="9">
        <v>10</v>
      </c>
      <c r="F5" s="367">
        <v>30</v>
      </c>
      <c r="G5" s="368"/>
      <c r="H5" s="369"/>
      <c r="I5" s="370"/>
      <c r="J5" s="9">
        <v>10</v>
      </c>
      <c r="K5" s="9">
        <v>10</v>
      </c>
      <c r="L5" s="10">
        <v>16</v>
      </c>
      <c r="M5" s="10">
        <v>14</v>
      </c>
      <c r="N5" s="10">
        <v>10</v>
      </c>
      <c r="O5" s="9">
        <v>40</v>
      </c>
      <c r="P5" s="9">
        <f>SUM(E5:N5)</f>
        <v>100</v>
      </c>
      <c r="Q5" s="11"/>
      <c r="R5" s="12" t="s">
        <v>13</v>
      </c>
      <c r="S5" s="13">
        <v>1</v>
      </c>
      <c r="T5" s="14">
        <v>2</v>
      </c>
      <c r="U5" s="14">
        <v>3</v>
      </c>
      <c r="V5" s="335"/>
      <c r="W5" s="336"/>
      <c r="X5" s="337"/>
      <c r="Y5" s="335"/>
      <c r="Z5" s="336"/>
      <c r="AA5" s="344"/>
    </row>
    <row r="6" spans="2:27" ht="56.25" customHeight="1" thickBot="1" x14ac:dyDescent="0.3">
      <c r="B6" s="347" t="s">
        <v>14</v>
      </c>
      <c r="C6" s="348"/>
      <c r="D6" s="349"/>
      <c r="E6" s="15" t="s">
        <v>15</v>
      </c>
      <c r="F6" s="15" t="s">
        <v>16</v>
      </c>
      <c r="G6" s="15" t="s">
        <v>17</v>
      </c>
      <c r="H6" s="15" t="s">
        <v>18</v>
      </c>
      <c r="I6" s="15" t="s">
        <v>9</v>
      </c>
      <c r="J6" s="15" t="s">
        <v>16</v>
      </c>
      <c r="K6" s="15" t="s">
        <v>16</v>
      </c>
      <c r="L6" s="15" t="s">
        <v>16</v>
      </c>
      <c r="M6" s="15" t="s">
        <v>17</v>
      </c>
      <c r="N6" s="15" t="s">
        <v>18</v>
      </c>
      <c r="O6" s="15" t="s">
        <v>9</v>
      </c>
      <c r="P6" s="16"/>
      <c r="Q6" s="17"/>
      <c r="R6" s="12" t="s">
        <v>19</v>
      </c>
      <c r="S6" s="13">
        <v>1</v>
      </c>
      <c r="T6" s="14"/>
      <c r="U6" s="14"/>
      <c r="V6" s="338"/>
      <c r="W6" s="339"/>
      <c r="X6" s="340"/>
      <c r="Y6" s="338"/>
      <c r="Z6" s="339"/>
      <c r="AA6" s="345"/>
    </row>
    <row r="7" spans="2:27" ht="32.1" customHeight="1" thickBot="1" x14ac:dyDescent="0.3">
      <c r="B7" s="347" t="s">
        <v>20</v>
      </c>
      <c r="C7" s="348"/>
      <c r="D7" s="349"/>
      <c r="E7" s="18">
        <v>10</v>
      </c>
      <c r="F7" s="15">
        <v>10</v>
      </c>
      <c r="G7" s="15">
        <v>10</v>
      </c>
      <c r="H7" s="15">
        <v>10</v>
      </c>
      <c r="I7" s="15">
        <f>F7+G7+H7</f>
        <v>30</v>
      </c>
      <c r="J7" s="15">
        <v>10</v>
      </c>
      <c r="K7" s="15">
        <v>10</v>
      </c>
      <c r="L7" s="15">
        <v>14</v>
      </c>
      <c r="M7" s="15">
        <v>10</v>
      </c>
      <c r="N7" s="15">
        <v>16</v>
      </c>
      <c r="O7" s="18">
        <v>40</v>
      </c>
      <c r="P7" s="15">
        <f>SUM(E7:H7,J7:N7)</f>
        <v>100</v>
      </c>
      <c r="Q7" s="17"/>
      <c r="R7" s="350"/>
      <c r="S7" s="13">
        <v>100</v>
      </c>
      <c r="T7" s="14"/>
      <c r="U7" s="14"/>
      <c r="V7" s="341"/>
      <c r="W7" s="342"/>
      <c r="X7" s="343"/>
      <c r="Y7" s="341"/>
      <c r="Z7" s="342"/>
      <c r="AA7" s="346"/>
    </row>
    <row r="8" spans="2:27" ht="69" customHeight="1" thickBot="1" x14ac:dyDescent="0.3">
      <c r="B8" s="19"/>
      <c r="C8" s="20"/>
      <c r="D8" s="21" t="s">
        <v>21</v>
      </c>
      <c r="E8" s="22">
        <f t="shared" ref="E8:O8" si="0">E7*0.5</f>
        <v>5</v>
      </c>
      <c r="F8" s="22">
        <f t="shared" si="0"/>
        <v>5</v>
      </c>
      <c r="G8" s="22">
        <f t="shared" si="0"/>
        <v>5</v>
      </c>
      <c r="H8" s="22">
        <f t="shared" si="0"/>
        <v>5</v>
      </c>
      <c r="I8" s="22">
        <f t="shared" si="0"/>
        <v>15</v>
      </c>
      <c r="J8" s="22">
        <f t="shared" si="0"/>
        <v>5</v>
      </c>
      <c r="K8" s="22">
        <f t="shared" si="0"/>
        <v>5</v>
      </c>
      <c r="L8" s="22">
        <f t="shared" si="0"/>
        <v>7</v>
      </c>
      <c r="M8" s="22">
        <f t="shared" si="0"/>
        <v>5</v>
      </c>
      <c r="N8" s="22">
        <f t="shared" si="0"/>
        <v>8</v>
      </c>
      <c r="O8" s="22">
        <f t="shared" si="0"/>
        <v>20</v>
      </c>
      <c r="P8" s="23">
        <f>SUM(E8:H8)+SUM(J8:J8)+SUM(K8:N8)</f>
        <v>50</v>
      </c>
      <c r="Q8" s="17"/>
      <c r="R8" s="351"/>
      <c r="S8" s="353" t="s">
        <v>22</v>
      </c>
      <c r="T8" s="354"/>
      <c r="U8" s="354"/>
      <c r="V8" s="355" t="s">
        <v>23</v>
      </c>
      <c r="W8" s="355"/>
      <c r="X8" s="355"/>
      <c r="Y8" s="356" t="s">
        <v>23</v>
      </c>
      <c r="Z8" s="357"/>
      <c r="AA8" s="358"/>
    </row>
    <row r="9" spans="2:27" ht="42.75" customHeight="1" thickBot="1" x14ac:dyDescent="0.3">
      <c r="B9" s="24"/>
      <c r="C9" s="25"/>
      <c r="D9" s="26" t="s">
        <v>24</v>
      </c>
      <c r="E9" s="27">
        <v>1</v>
      </c>
      <c r="F9" s="28">
        <v>1</v>
      </c>
      <c r="G9" s="28">
        <v>2</v>
      </c>
      <c r="H9" s="28">
        <v>2</v>
      </c>
      <c r="I9" s="22"/>
      <c r="J9" s="29">
        <v>3</v>
      </c>
      <c r="K9" s="29">
        <v>2</v>
      </c>
      <c r="L9" s="29">
        <v>1</v>
      </c>
      <c r="M9" s="29">
        <v>2</v>
      </c>
      <c r="N9" s="29">
        <v>3</v>
      </c>
      <c r="O9" s="27"/>
      <c r="P9" s="29"/>
      <c r="Q9" s="17"/>
      <c r="R9" s="351"/>
      <c r="S9" s="30">
        <f>S5</f>
        <v>1</v>
      </c>
      <c r="T9" s="14">
        <f>T5</f>
        <v>2</v>
      </c>
      <c r="U9" s="14">
        <v>3</v>
      </c>
      <c r="V9" s="14">
        <v>1</v>
      </c>
      <c r="W9" s="14">
        <v>1</v>
      </c>
      <c r="X9" s="31">
        <v>1</v>
      </c>
      <c r="Y9" s="31">
        <f>S6</f>
        <v>1</v>
      </c>
      <c r="Z9" s="14"/>
      <c r="AA9" s="32"/>
    </row>
    <row r="10" spans="2:27" ht="43.5" customHeight="1" thickBot="1" x14ac:dyDescent="0.3">
      <c r="B10" s="33" t="s">
        <v>25</v>
      </c>
      <c r="C10" s="34" t="s">
        <v>26</v>
      </c>
      <c r="D10" s="35" t="s">
        <v>27</v>
      </c>
      <c r="E10" s="36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2"/>
      <c r="R10" s="352"/>
      <c r="S10" s="37"/>
      <c r="T10" s="38"/>
      <c r="U10" s="38"/>
      <c r="V10" s="356"/>
      <c r="W10" s="357"/>
      <c r="X10" s="357"/>
      <c r="Y10" s="39" t="s">
        <v>28</v>
      </c>
      <c r="Z10" s="39"/>
      <c r="AA10" s="40"/>
    </row>
    <row r="11" spans="2:27" ht="29.1" customHeight="1" thickBot="1" x14ac:dyDescent="0.45">
      <c r="B11" s="41">
        <v>1</v>
      </c>
      <c r="C11" s="42" t="str">
        <f>[4]Theory!A25</f>
        <v>2023-IT-01</v>
      </c>
      <c r="D11" s="43" t="str">
        <f>[4]Theory!B25</f>
        <v>Rahma Noor</v>
      </c>
      <c r="E11" s="44">
        <f>[4]Theory!D25</f>
        <v>2</v>
      </c>
      <c r="F11" s="45">
        <v>8</v>
      </c>
      <c r="G11" s="45">
        <v>8</v>
      </c>
      <c r="H11" s="46">
        <v>8</v>
      </c>
      <c r="I11" s="47">
        <f>[4]Theory!E25</f>
        <v>24</v>
      </c>
      <c r="J11" s="48">
        <f>[4]Theory!H25</f>
        <v>9</v>
      </c>
      <c r="K11" s="44">
        <f>[4]Theory!F25</f>
        <v>8</v>
      </c>
      <c r="L11" s="49">
        <v>10</v>
      </c>
      <c r="M11" s="49">
        <v>10</v>
      </c>
      <c r="N11" s="49">
        <v>11</v>
      </c>
      <c r="O11" s="50">
        <f>[4]Theory!G25</f>
        <v>31</v>
      </c>
      <c r="P11" s="47">
        <f>E11+I11+J11+K11+O11</f>
        <v>74</v>
      </c>
      <c r="Q11" s="51" t="str">
        <f>[4]Theory!J25</f>
        <v>B+</v>
      </c>
      <c r="R11" s="52"/>
      <c r="S11" s="53">
        <f>E11+F11+L11</f>
        <v>20</v>
      </c>
      <c r="T11" s="54">
        <f>G11+H11+K11+M11</f>
        <v>34</v>
      </c>
      <c r="U11" s="54">
        <f>J11+N11</f>
        <v>20</v>
      </c>
      <c r="V11" s="54">
        <f>((SUM(S11:U11)/$S$7)*100)</f>
        <v>74</v>
      </c>
      <c r="W11" s="54"/>
      <c r="X11" s="54"/>
      <c r="Y11" s="55" t="str">
        <f>IF(V11&gt;=50,"Y","N")</f>
        <v>Y</v>
      </c>
      <c r="Z11" s="55"/>
      <c r="AA11" s="56"/>
    </row>
    <row r="12" spans="2:27" ht="29.1" customHeight="1" thickBot="1" x14ac:dyDescent="0.45">
      <c r="B12" s="41">
        <v>2</v>
      </c>
      <c r="C12" s="42" t="str">
        <f>[4]Theory!A26</f>
        <v>2023-IT-02</v>
      </c>
      <c r="D12" s="43" t="str">
        <f>[4]Theory!B26</f>
        <v>Alishba Manzoor</v>
      </c>
      <c r="E12" s="44">
        <f>[4]Theory!D26</f>
        <v>2</v>
      </c>
      <c r="F12" s="45">
        <v>8</v>
      </c>
      <c r="G12" s="45">
        <v>9</v>
      </c>
      <c r="H12" s="46">
        <v>9</v>
      </c>
      <c r="I12" s="47">
        <f>[4]Theory!E26</f>
        <v>25</v>
      </c>
      <c r="J12" s="48">
        <f>[4]Theory!H26</f>
        <v>8</v>
      </c>
      <c r="K12" s="44">
        <f>[4]Theory!F26</f>
        <v>9</v>
      </c>
      <c r="L12" s="49">
        <v>10</v>
      </c>
      <c r="M12" s="49">
        <v>5</v>
      </c>
      <c r="N12" s="49">
        <v>10</v>
      </c>
      <c r="O12" s="50">
        <f>[4]Theory!G26</f>
        <v>25</v>
      </c>
      <c r="P12" s="47">
        <f t="shared" ref="P12:P54" si="1">E12+I12+J12+K12+O12</f>
        <v>69</v>
      </c>
      <c r="Q12" s="51" t="str">
        <f>[4]Theory!J26</f>
        <v>B</v>
      </c>
      <c r="R12" s="57"/>
      <c r="S12" s="53">
        <f t="shared" ref="S12:S54" si="2">E12+F12+L12</f>
        <v>20</v>
      </c>
      <c r="T12" s="54">
        <f t="shared" ref="T12:T54" si="3">G12+H12+K12+M12</f>
        <v>32</v>
      </c>
      <c r="U12" s="54">
        <f t="shared" ref="U12:U54" si="4">J12+N12</f>
        <v>18</v>
      </c>
      <c r="V12" s="54">
        <f t="shared" ref="V12:V54" si="5">((SUM(S12:U12)/$S$7)*100)</f>
        <v>70</v>
      </c>
      <c r="W12" s="54"/>
      <c r="X12" s="54"/>
      <c r="Y12" s="55" t="str">
        <f t="shared" ref="Y12:Y54" si="6">IF(V12&gt;=50,"Y","N")</f>
        <v>Y</v>
      </c>
      <c r="Z12" s="55"/>
      <c r="AA12" s="56"/>
    </row>
    <row r="13" spans="2:27" ht="29.1" customHeight="1" thickBot="1" x14ac:dyDescent="0.45">
      <c r="B13" s="41">
        <v>3</v>
      </c>
      <c r="C13" s="42" t="str">
        <f>[4]Theory!A27</f>
        <v>2023-IT-03</v>
      </c>
      <c r="D13" s="43" t="str">
        <f>[4]Theory!B27</f>
        <v>Maheen Fatima</v>
      </c>
      <c r="E13" s="44">
        <f>[4]Theory!D27</f>
        <v>2</v>
      </c>
      <c r="F13" s="45">
        <v>7</v>
      </c>
      <c r="G13" s="45">
        <v>8</v>
      </c>
      <c r="H13" s="46">
        <v>8</v>
      </c>
      <c r="I13" s="47">
        <f>[4]Theory!E27</f>
        <v>23</v>
      </c>
      <c r="J13" s="48">
        <f>[4]Theory!H27</f>
        <v>7</v>
      </c>
      <c r="K13" s="44">
        <f>[4]Theory!F27</f>
        <v>10</v>
      </c>
      <c r="L13" s="49">
        <v>10</v>
      </c>
      <c r="M13" s="49">
        <v>10</v>
      </c>
      <c r="N13" s="49">
        <v>6</v>
      </c>
      <c r="O13" s="50">
        <f>[4]Theory!G27</f>
        <v>26</v>
      </c>
      <c r="P13" s="47">
        <f t="shared" si="1"/>
        <v>68</v>
      </c>
      <c r="Q13" s="51" t="str">
        <f>[4]Theory!J27</f>
        <v>B</v>
      </c>
      <c r="R13" s="57"/>
      <c r="S13" s="53">
        <f t="shared" si="2"/>
        <v>19</v>
      </c>
      <c r="T13" s="54">
        <f t="shared" si="3"/>
        <v>36</v>
      </c>
      <c r="U13" s="54">
        <f t="shared" si="4"/>
        <v>13</v>
      </c>
      <c r="V13" s="54">
        <f t="shared" si="5"/>
        <v>68</v>
      </c>
      <c r="W13" s="54"/>
      <c r="X13" s="54"/>
      <c r="Y13" s="55" t="str">
        <f t="shared" si="6"/>
        <v>Y</v>
      </c>
      <c r="Z13" s="55"/>
      <c r="AA13" s="56"/>
    </row>
    <row r="14" spans="2:27" ht="29.1" customHeight="1" thickBot="1" x14ac:dyDescent="0.45">
      <c r="B14" s="41">
        <v>4</v>
      </c>
      <c r="C14" s="42" t="str">
        <f>[4]Theory!A28</f>
        <v>2023-IT-04</v>
      </c>
      <c r="D14" s="43" t="str">
        <f>[4]Theory!B28</f>
        <v>Aneela</v>
      </c>
      <c r="E14" s="44">
        <f>[4]Theory!D28</f>
        <v>6</v>
      </c>
      <c r="F14" s="45">
        <v>7</v>
      </c>
      <c r="G14" s="45">
        <v>7</v>
      </c>
      <c r="H14" s="46">
        <v>9</v>
      </c>
      <c r="I14" s="47">
        <f>[4]Theory!E28</f>
        <v>23</v>
      </c>
      <c r="J14" s="48">
        <f>[4]Theory!H28</f>
        <v>8</v>
      </c>
      <c r="K14" s="44">
        <f>[4]Theory!F28</f>
        <v>10</v>
      </c>
      <c r="L14" s="49">
        <v>8</v>
      </c>
      <c r="M14" s="49">
        <v>7</v>
      </c>
      <c r="N14" s="49">
        <v>10</v>
      </c>
      <c r="O14" s="50">
        <f>[4]Theory!G28</f>
        <v>25</v>
      </c>
      <c r="P14" s="47">
        <f t="shared" si="1"/>
        <v>72</v>
      </c>
      <c r="Q14" s="51" t="str">
        <f>[4]Theory!J28</f>
        <v>B+</v>
      </c>
      <c r="R14" s="57"/>
      <c r="S14" s="53">
        <f t="shared" si="2"/>
        <v>21</v>
      </c>
      <c r="T14" s="54">
        <f t="shared" si="3"/>
        <v>33</v>
      </c>
      <c r="U14" s="54">
        <f t="shared" si="4"/>
        <v>18</v>
      </c>
      <c r="V14" s="54">
        <f t="shared" si="5"/>
        <v>72</v>
      </c>
      <c r="W14" s="54"/>
      <c r="X14" s="54"/>
      <c r="Y14" s="55" t="str">
        <f t="shared" si="6"/>
        <v>Y</v>
      </c>
      <c r="Z14" s="55"/>
      <c r="AA14" s="56"/>
    </row>
    <row r="15" spans="2:27" ht="29.1" customHeight="1" thickBot="1" x14ac:dyDescent="0.45">
      <c r="B15" s="41">
        <v>5</v>
      </c>
      <c r="C15" s="42" t="str">
        <f>[4]Theory!A29</f>
        <v>2023-IT-05</v>
      </c>
      <c r="D15" s="43" t="str">
        <f>[4]Theory!B29</f>
        <v>Alishba Saleem</v>
      </c>
      <c r="E15" s="44">
        <f>[4]Theory!D29</f>
        <v>4</v>
      </c>
      <c r="F15" s="45">
        <v>9</v>
      </c>
      <c r="G15" s="45">
        <v>4</v>
      </c>
      <c r="H15" s="46">
        <v>10</v>
      </c>
      <c r="I15" s="47">
        <f>[4]Theory!E29</f>
        <v>25</v>
      </c>
      <c r="J15" s="48">
        <f>[4]Theory!H29</f>
        <v>8</v>
      </c>
      <c r="K15" s="44">
        <f>[4]Theory!F29</f>
        <v>7</v>
      </c>
      <c r="L15" s="49">
        <v>8</v>
      </c>
      <c r="M15" s="49">
        <v>8</v>
      </c>
      <c r="N15" s="49">
        <v>6</v>
      </c>
      <c r="O15" s="50">
        <f>[4]Theory!G29</f>
        <v>22</v>
      </c>
      <c r="P15" s="47">
        <f t="shared" si="1"/>
        <v>66</v>
      </c>
      <c r="Q15" s="51" t="str">
        <f>[4]Theory!J29</f>
        <v>B</v>
      </c>
      <c r="R15" s="57"/>
      <c r="S15" s="53">
        <f t="shared" si="2"/>
        <v>21</v>
      </c>
      <c r="T15" s="54">
        <f t="shared" si="3"/>
        <v>29</v>
      </c>
      <c r="U15" s="54">
        <f t="shared" si="4"/>
        <v>14</v>
      </c>
      <c r="V15" s="54">
        <f t="shared" si="5"/>
        <v>64</v>
      </c>
      <c r="W15" s="54"/>
      <c r="X15" s="54"/>
      <c r="Y15" s="55" t="str">
        <f t="shared" si="6"/>
        <v>Y</v>
      </c>
      <c r="Z15" s="55"/>
      <c r="AA15" s="56"/>
    </row>
    <row r="16" spans="2:27" ht="29.1" customHeight="1" thickBot="1" x14ac:dyDescent="0.45">
      <c r="B16" s="41">
        <v>6</v>
      </c>
      <c r="C16" s="42" t="str">
        <f>[4]Theory!A30</f>
        <v>2023-IT-06</v>
      </c>
      <c r="D16" s="43" t="str">
        <f>[4]Theory!B30</f>
        <v>Mehak Asghar</v>
      </c>
      <c r="E16" s="44">
        <f>[4]Theory!D30</f>
        <v>7</v>
      </c>
      <c r="F16" s="45">
        <v>8</v>
      </c>
      <c r="G16" s="45">
        <v>7</v>
      </c>
      <c r="H16" s="46">
        <v>9</v>
      </c>
      <c r="I16" s="47">
        <f>[4]Theory!E30</f>
        <v>24</v>
      </c>
      <c r="J16" s="48">
        <f>[4]Theory!H30</f>
        <v>7</v>
      </c>
      <c r="K16" s="44">
        <f>[4]Theory!F30</f>
        <v>10</v>
      </c>
      <c r="L16" s="49">
        <v>8</v>
      </c>
      <c r="M16" s="49">
        <v>10</v>
      </c>
      <c r="N16" s="49">
        <v>7</v>
      </c>
      <c r="O16" s="50">
        <f>[4]Theory!G30</f>
        <v>25</v>
      </c>
      <c r="P16" s="47">
        <f t="shared" si="1"/>
        <v>73</v>
      </c>
      <c r="Q16" s="51" t="str">
        <f>[4]Theory!J30</f>
        <v>B+</v>
      </c>
      <c r="R16" s="57"/>
      <c r="S16" s="53">
        <f t="shared" si="2"/>
        <v>23</v>
      </c>
      <c r="T16" s="54">
        <f t="shared" si="3"/>
        <v>36</v>
      </c>
      <c r="U16" s="54">
        <f t="shared" si="4"/>
        <v>14</v>
      </c>
      <c r="V16" s="54">
        <f t="shared" si="5"/>
        <v>73</v>
      </c>
      <c r="W16" s="54"/>
      <c r="X16" s="54"/>
      <c r="Y16" s="55" t="str">
        <f t="shared" si="6"/>
        <v>Y</v>
      </c>
      <c r="Z16" s="55"/>
      <c r="AA16" s="56"/>
    </row>
    <row r="17" spans="2:27" ht="29.1" customHeight="1" thickBot="1" x14ac:dyDescent="0.45">
      <c r="B17" s="41">
        <v>7</v>
      </c>
      <c r="C17" s="42" t="str">
        <f>[4]Theory!A31</f>
        <v>2023-IT-07</v>
      </c>
      <c r="D17" s="43" t="str">
        <f>[4]Theory!B31</f>
        <v>Humaira Afzal</v>
      </c>
      <c r="E17" s="44">
        <f>[4]Theory!D31</f>
        <v>8</v>
      </c>
      <c r="F17" s="45">
        <v>7</v>
      </c>
      <c r="G17" s="45">
        <v>8</v>
      </c>
      <c r="H17" s="46">
        <v>9</v>
      </c>
      <c r="I17" s="47">
        <f>[4]Theory!E31</f>
        <v>24</v>
      </c>
      <c r="J17" s="48">
        <f>[4]Theory!H31</f>
        <v>8</v>
      </c>
      <c r="K17" s="44">
        <f>[4]Theory!F31</f>
        <v>9</v>
      </c>
      <c r="L17" s="49">
        <v>12</v>
      </c>
      <c r="M17" s="49">
        <v>10</v>
      </c>
      <c r="N17" s="49">
        <v>11</v>
      </c>
      <c r="O17" s="50">
        <f>[4]Theory!G31</f>
        <v>33</v>
      </c>
      <c r="P17" s="47">
        <f t="shared" si="1"/>
        <v>82</v>
      </c>
      <c r="Q17" s="51" t="str">
        <f>[4]Theory!J31</f>
        <v>A-</v>
      </c>
      <c r="R17" s="57"/>
      <c r="S17" s="53">
        <f t="shared" si="2"/>
        <v>27</v>
      </c>
      <c r="T17" s="54">
        <f t="shared" si="3"/>
        <v>36</v>
      </c>
      <c r="U17" s="54">
        <f t="shared" si="4"/>
        <v>19</v>
      </c>
      <c r="V17" s="54">
        <f t="shared" si="5"/>
        <v>82</v>
      </c>
      <c r="W17" s="54"/>
      <c r="X17" s="54"/>
      <c r="Y17" s="55" t="str">
        <f t="shared" si="6"/>
        <v>Y</v>
      </c>
      <c r="Z17" s="55"/>
      <c r="AA17" s="56"/>
    </row>
    <row r="18" spans="2:27" ht="29.1" customHeight="1" thickBot="1" x14ac:dyDescent="0.45">
      <c r="B18" s="41">
        <v>8</v>
      </c>
      <c r="C18" s="42" t="str">
        <f>[4]Theory!A32</f>
        <v>2023-IT-08</v>
      </c>
      <c r="D18" s="43" t="str">
        <f>[4]Theory!B32</f>
        <v>Saleena Khan</v>
      </c>
      <c r="E18" s="44">
        <f>[4]Theory!D32</f>
        <v>0</v>
      </c>
      <c r="F18" s="45">
        <v>0</v>
      </c>
      <c r="G18" s="45">
        <v>0</v>
      </c>
      <c r="H18" s="46">
        <v>0</v>
      </c>
      <c r="I18" s="47">
        <f>[4]Theory!E32</f>
        <v>0</v>
      </c>
      <c r="J18" s="48">
        <f>[4]Theory!H32</f>
        <v>0</v>
      </c>
      <c r="K18" s="44">
        <f>[4]Theory!F32</f>
        <v>0</v>
      </c>
      <c r="L18" s="49">
        <v>0</v>
      </c>
      <c r="M18" s="49">
        <v>0</v>
      </c>
      <c r="N18" s="49">
        <v>0</v>
      </c>
      <c r="O18" s="50">
        <f>[4]Theory!G32</f>
        <v>0</v>
      </c>
      <c r="P18" s="47">
        <f t="shared" si="1"/>
        <v>0</v>
      </c>
      <c r="Q18" s="51" t="str">
        <f>[4]Theory!J32</f>
        <v>F</v>
      </c>
      <c r="R18" s="57"/>
      <c r="S18" s="53">
        <f t="shared" si="2"/>
        <v>0</v>
      </c>
      <c r="T18" s="54">
        <f t="shared" si="3"/>
        <v>0</v>
      </c>
      <c r="U18" s="54">
        <f t="shared" si="4"/>
        <v>0</v>
      </c>
      <c r="V18" s="54">
        <f t="shared" si="5"/>
        <v>0</v>
      </c>
      <c r="W18" s="54"/>
      <c r="X18" s="54"/>
      <c r="Y18" s="55" t="str">
        <f t="shared" si="6"/>
        <v>N</v>
      </c>
      <c r="Z18" s="55"/>
      <c r="AA18" s="56"/>
    </row>
    <row r="19" spans="2:27" ht="29.1" customHeight="1" thickBot="1" x14ac:dyDescent="0.45">
      <c r="B19" s="41">
        <v>9</v>
      </c>
      <c r="C19" s="42" t="str">
        <f>[4]Theory!A33</f>
        <v>2023-IT-10</v>
      </c>
      <c r="D19" s="43" t="str">
        <f>[4]Theory!B33</f>
        <v>Asad Ullah</v>
      </c>
      <c r="E19" s="44">
        <f>[4]Theory!D33</f>
        <v>5</v>
      </c>
      <c r="F19" s="45">
        <v>9</v>
      </c>
      <c r="G19" s="45">
        <v>6</v>
      </c>
      <c r="H19" s="46">
        <v>10</v>
      </c>
      <c r="I19" s="47">
        <f>[4]Theory!E33</f>
        <v>25</v>
      </c>
      <c r="J19" s="48">
        <f>[4]Theory!H33</f>
        <v>9</v>
      </c>
      <c r="K19" s="44">
        <f>[4]Theory!F33</f>
        <v>10</v>
      </c>
      <c r="L19" s="49">
        <v>11</v>
      </c>
      <c r="M19" s="49">
        <v>9</v>
      </c>
      <c r="N19" s="49">
        <v>7</v>
      </c>
      <c r="O19" s="50">
        <f>[4]Theory!G33</f>
        <v>27</v>
      </c>
      <c r="P19" s="47">
        <f t="shared" si="1"/>
        <v>76</v>
      </c>
      <c r="Q19" s="51" t="str">
        <f>[4]Theory!J33</f>
        <v>B+</v>
      </c>
      <c r="R19" s="57"/>
      <c r="S19" s="53">
        <f t="shared" si="2"/>
        <v>25</v>
      </c>
      <c r="T19" s="54">
        <f t="shared" si="3"/>
        <v>35</v>
      </c>
      <c r="U19" s="54">
        <f t="shared" si="4"/>
        <v>16</v>
      </c>
      <c r="V19" s="54">
        <f t="shared" si="5"/>
        <v>76</v>
      </c>
      <c r="W19" s="54"/>
      <c r="X19" s="54"/>
      <c r="Y19" s="55" t="str">
        <f t="shared" si="6"/>
        <v>Y</v>
      </c>
      <c r="Z19" s="55"/>
      <c r="AA19" s="56"/>
    </row>
    <row r="20" spans="2:27" ht="29.1" customHeight="1" thickBot="1" x14ac:dyDescent="0.45">
      <c r="B20" s="41">
        <v>10</v>
      </c>
      <c r="C20" s="42" t="str">
        <f>[4]Theory!A34</f>
        <v>2023-IT-11</v>
      </c>
      <c r="D20" s="43" t="str">
        <f>[4]Theory!B34</f>
        <v>Rana Talha dawood</v>
      </c>
      <c r="E20" s="44">
        <f>[4]Theory!D34</f>
        <v>5</v>
      </c>
      <c r="F20" s="45">
        <v>8</v>
      </c>
      <c r="G20" s="45">
        <v>7</v>
      </c>
      <c r="H20" s="46">
        <v>8</v>
      </c>
      <c r="I20" s="47">
        <f>[4]Theory!E34</f>
        <v>23</v>
      </c>
      <c r="J20" s="48">
        <f>[4]Theory!H34</f>
        <v>8</v>
      </c>
      <c r="K20" s="44">
        <f>[4]Theory!F34</f>
        <v>10</v>
      </c>
      <c r="L20" s="49">
        <v>9</v>
      </c>
      <c r="M20" s="49">
        <v>10</v>
      </c>
      <c r="N20" s="49">
        <v>10</v>
      </c>
      <c r="O20" s="50">
        <f>[4]Theory!G34</f>
        <v>29</v>
      </c>
      <c r="P20" s="47">
        <f t="shared" si="1"/>
        <v>75</v>
      </c>
      <c r="Q20" s="51" t="str">
        <f>[4]Theory!J34</f>
        <v>B+</v>
      </c>
      <c r="R20" s="57"/>
      <c r="S20" s="53">
        <f t="shared" si="2"/>
        <v>22</v>
      </c>
      <c r="T20" s="54">
        <f t="shared" si="3"/>
        <v>35</v>
      </c>
      <c r="U20" s="54">
        <f t="shared" si="4"/>
        <v>18</v>
      </c>
      <c r="V20" s="54">
        <f t="shared" si="5"/>
        <v>75</v>
      </c>
      <c r="W20" s="54"/>
      <c r="X20" s="54"/>
      <c r="Y20" s="55" t="str">
        <f t="shared" si="6"/>
        <v>Y</v>
      </c>
      <c r="Z20" s="55"/>
      <c r="AA20" s="56"/>
    </row>
    <row r="21" spans="2:27" ht="29.1" customHeight="1" thickBot="1" x14ac:dyDescent="0.45">
      <c r="B21" s="41">
        <v>11</v>
      </c>
      <c r="C21" s="42" t="str">
        <f>[4]Theory!A35</f>
        <v>2023-IT-12</v>
      </c>
      <c r="D21" s="43" t="str">
        <f>[4]Theory!B35</f>
        <v>Ali Ahmad</v>
      </c>
      <c r="E21" s="44">
        <f>[4]Theory!D35</f>
        <v>7</v>
      </c>
      <c r="F21" s="45">
        <v>8</v>
      </c>
      <c r="G21" s="45">
        <v>8</v>
      </c>
      <c r="H21" s="46">
        <v>8</v>
      </c>
      <c r="I21" s="47">
        <f>[4]Theory!E35</f>
        <v>24</v>
      </c>
      <c r="J21" s="48">
        <f>[4]Theory!H35</f>
        <v>7</v>
      </c>
      <c r="K21" s="44">
        <f>[4]Theory!F35</f>
        <v>9</v>
      </c>
      <c r="L21" s="49">
        <v>14</v>
      </c>
      <c r="M21" s="49">
        <v>10</v>
      </c>
      <c r="N21" s="49">
        <v>9</v>
      </c>
      <c r="O21" s="50">
        <f>[4]Theory!G35</f>
        <v>33</v>
      </c>
      <c r="P21" s="47">
        <f t="shared" si="1"/>
        <v>80</v>
      </c>
      <c r="Q21" s="51" t="str">
        <f>[4]Theory!J35</f>
        <v>A-</v>
      </c>
      <c r="R21" s="57"/>
      <c r="S21" s="53">
        <f t="shared" si="2"/>
        <v>29</v>
      </c>
      <c r="T21" s="54">
        <f t="shared" si="3"/>
        <v>35</v>
      </c>
      <c r="U21" s="54">
        <f t="shared" si="4"/>
        <v>16</v>
      </c>
      <c r="V21" s="54">
        <f t="shared" si="5"/>
        <v>80</v>
      </c>
      <c r="W21" s="54"/>
      <c r="X21" s="54"/>
      <c r="Y21" s="55" t="str">
        <f t="shared" si="6"/>
        <v>Y</v>
      </c>
      <c r="Z21" s="55"/>
      <c r="AA21" s="56"/>
    </row>
    <row r="22" spans="2:27" ht="29.1" customHeight="1" thickBot="1" x14ac:dyDescent="0.45">
      <c r="B22" s="41">
        <v>12</v>
      </c>
      <c r="C22" s="42" t="str">
        <f>[4]Theory!A36</f>
        <v>2023-IT-13</v>
      </c>
      <c r="D22" s="43" t="str">
        <f>[4]Theory!B36</f>
        <v>Muhammad Daud</v>
      </c>
      <c r="E22" s="44">
        <f>[4]Theory!D36</f>
        <v>5</v>
      </c>
      <c r="F22" s="45">
        <v>9</v>
      </c>
      <c r="G22" s="45">
        <v>7</v>
      </c>
      <c r="H22" s="46">
        <v>7</v>
      </c>
      <c r="I22" s="47">
        <f>[4]Theory!E36</f>
        <v>23</v>
      </c>
      <c r="J22" s="48">
        <f>[4]Theory!H36</f>
        <v>8</v>
      </c>
      <c r="K22" s="44">
        <f>[4]Theory!F36</f>
        <v>9</v>
      </c>
      <c r="L22" s="49">
        <v>10</v>
      </c>
      <c r="M22" s="49">
        <v>10</v>
      </c>
      <c r="N22" s="49">
        <v>12</v>
      </c>
      <c r="O22" s="50">
        <f>[4]Theory!G36</f>
        <v>32</v>
      </c>
      <c r="P22" s="47">
        <f t="shared" si="1"/>
        <v>77</v>
      </c>
      <c r="Q22" s="51" t="str">
        <f>[4]Theory!J36</f>
        <v>B+</v>
      </c>
      <c r="R22" s="57"/>
      <c r="S22" s="53">
        <f t="shared" si="2"/>
        <v>24</v>
      </c>
      <c r="T22" s="54">
        <f t="shared" si="3"/>
        <v>33</v>
      </c>
      <c r="U22" s="54">
        <f t="shared" si="4"/>
        <v>20</v>
      </c>
      <c r="V22" s="54">
        <f t="shared" si="5"/>
        <v>77</v>
      </c>
      <c r="W22" s="54"/>
      <c r="X22" s="54"/>
      <c r="Y22" s="55" t="str">
        <f t="shared" si="6"/>
        <v>Y</v>
      </c>
      <c r="Z22" s="55"/>
      <c r="AA22" s="56"/>
    </row>
    <row r="23" spans="2:27" ht="29.1" customHeight="1" thickBot="1" x14ac:dyDescent="0.45">
      <c r="B23" s="41">
        <v>13</v>
      </c>
      <c r="C23" s="42" t="str">
        <f>[4]Theory!A37</f>
        <v>2023-IT-14</v>
      </c>
      <c r="D23" s="43" t="str">
        <f>[4]Theory!B37</f>
        <v>Mursil Mateen</v>
      </c>
      <c r="E23" s="44">
        <f>[4]Theory!D37</f>
        <v>6</v>
      </c>
      <c r="F23" s="45">
        <v>7</v>
      </c>
      <c r="G23" s="45">
        <v>7</v>
      </c>
      <c r="H23" s="46">
        <v>9</v>
      </c>
      <c r="I23" s="47">
        <f>[4]Theory!E37</f>
        <v>23</v>
      </c>
      <c r="J23" s="48">
        <f>[4]Theory!H37</f>
        <v>8</v>
      </c>
      <c r="K23" s="44">
        <f>[4]Theory!F37</f>
        <v>9</v>
      </c>
      <c r="L23" s="49">
        <v>14</v>
      </c>
      <c r="M23" s="49">
        <v>9</v>
      </c>
      <c r="N23" s="49">
        <v>10</v>
      </c>
      <c r="O23" s="50">
        <f>[4]Theory!G37</f>
        <v>33</v>
      </c>
      <c r="P23" s="47">
        <f t="shared" si="1"/>
        <v>79</v>
      </c>
      <c r="Q23" s="51" t="str">
        <f>[4]Theory!J37</f>
        <v>B+</v>
      </c>
      <c r="R23" s="57"/>
      <c r="S23" s="53">
        <f t="shared" si="2"/>
        <v>27</v>
      </c>
      <c r="T23" s="54">
        <f t="shared" si="3"/>
        <v>34</v>
      </c>
      <c r="U23" s="54">
        <f t="shared" si="4"/>
        <v>18</v>
      </c>
      <c r="V23" s="54">
        <f t="shared" si="5"/>
        <v>79</v>
      </c>
      <c r="W23" s="54"/>
      <c r="X23" s="54"/>
      <c r="Y23" s="55" t="str">
        <f t="shared" si="6"/>
        <v>Y</v>
      </c>
      <c r="Z23" s="55"/>
      <c r="AA23" s="56"/>
    </row>
    <row r="24" spans="2:27" ht="29.1" customHeight="1" thickBot="1" x14ac:dyDescent="0.45">
      <c r="B24" s="41">
        <v>14</v>
      </c>
      <c r="C24" s="42" t="str">
        <f>[4]Theory!A38</f>
        <v>2023-IT-16</v>
      </c>
      <c r="D24" s="43" t="str">
        <f>[4]Theory!B38</f>
        <v>Muhammad Usman</v>
      </c>
      <c r="E24" s="44">
        <f>[4]Theory!D38</f>
        <v>0</v>
      </c>
      <c r="F24" s="45">
        <v>0</v>
      </c>
      <c r="G24" s="45">
        <v>0</v>
      </c>
      <c r="H24" s="46">
        <v>0</v>
      </c>
      <c r="I24" s="47">
        <f>[4]Theory!E38</f>
        <v>0</v>
      </c>
      <c r="J24" s="48">
        <f>[4]Theory!H38</f>
        <v>0</v>
      </c>
      <c r="K24" s="44">
        <f>[4]Theory!F38</f>
        <v>0</v>
      </c>
      <c r="L24" s="49">
        <v>0</v>
      </c>
      <c r="M24" s="49">
        <v>0</v>
      </c>
      <c r="N24" s="49">
        <v>0</v>
      </c>
      <c r="O24" s="50">
        <f>[4]Theory!G38</f>
        <v>0</v>
      </c>
      <c r="P24" s="47">
        <f t="shared" si="1"/>
        <v>0</v>
      </c>
      <c r="Q24" s="51" t="str">
        <f>[4]Theory!J38</f>
        <v>F</v>
      </c>
      <c r="R24" s="57"/>
      <c r="S24" s="53">
        <f t="shared" si="2"/>
        <v>0</v>
      </c>
      <c r="T24" s="54">
        <f t="shared" si="3"/>
        <v>0</v>
      </c>
      <c r="U24" s="54">
        <f t="shared" si="4"/>
        <v>0</v>
      </c>
      <c r="V24" s="54">
        <f t="shared" si="5"/>
        <v>0</v>
      </c>
      <c r="W24" s="54"/>
      <c r="X24" s="54"/>
      <c r="Y24" s="55" t="str">
        <f t="shared" si="6"/>
        <v>N</v>
      </c>
      <c r="Z24" s="55"/>
      <c r="AA24" s="56"/>
    </row>
    <row r="25" spans="2:27" ht="29.1" customHeight="1" thickBot="1" x14ac:dyDescent="0.45">
      <c r="B25" s="41">
        <v>15</v>
      </c>
      <c r="C25" s="42" t="str">
        <f>[4]Theory!A39</f>
        <v>2023-IT-18</v>
      </c>
      <c r="D25" s="43" t="str">
        <f>[4]Theory!B39</f>
        <v>Adeel Maqbool</v>
      </c>
      <c r="E25" s="44">
        <f>[4]Theory!D39</f>
        <v>6</v>
      </c>
      <c r="F25" s="45">
        <v>10</v>
      </c>
      <c r="G25" s="45">
        <v>3</v>
      </c>
      <c r="H25" s="46">
        <v>10</v>
      </c>
      <c r="I25" s="47">
        <f>[4]Theory!E39</f>
        <v>23</v>
      </c>
      <c r="J25" s="48">
        <f>[4]Theory!H39</f>
        <v>8</v>
      </c>
      <c r="K25" s="44">
        <f>[4]Theory!F39</f>
        <v>9</v>
      </c>
      <c r="L25" s="49">
        <v>8</v>
      </c>
      <c r="M25" s="49">
        <v>8</v>
      </c>
      <c r="N25" s="49">
        <v>10</v>
      </c>
      <c r="O25" s="50">
        <f>[4]Theory!G39</f>
        <v>26</v>
      </c>
      <c r="P25" s="47">
        <f t="shared" si="1"/>
        <v>72</v>
      </c>
      <c r="Q25" s="51" t="str">
        <f>[4]Theory!J39</f>
        <v>B+</v>
      </c>
      <c r="R25" s="57"/>
      <c r="S25" s="53">
        <f t="shared" si="2"/>
        <v>24</v>
      </c>
      <c r="T25" s="54">
        <f t="shared" si="3"/>
        <v>30</v>
      </c>
      <c r="U25" s="54">
        <f t="shared" si="4"/>
        <v>18</v>
      </c>
      <c r="V25" s="54">
        <f t="shared" si="5"/>
        <v>72</v>
      </c>
      <c r="W25" s="54"/>
      <c r="X25" s="54"/>
      <c r="Y25" s="55" t="str">
        <f t="shared" si="6"/>
        <v>Y</v>
      </c>
      <c r="Z25" s="55"/>
      <c r="AA25" s="56"/>
    </row>
    <row r="26" spans="2:27" ht="29.1" customHeight="1" thickBot="1" x14ac:dyDescent="0.45">
      <c r="B26" s="41">
        <v>16</v>
      </c>
      <c r="C26" s="42" t="str">
        <f>[4]Theory!A40</f>
        <v>2023-IT-20</v>
      </c>
      <c r="D26" s="43" t="str">
        <f>[4]Theory!B40</f>
        <v>Husnain Saleem</v>
      </c>
      <c r="E26" s="44">
        <f>[4]Theory!D40</f>
        <v>4</v>
      </c>
      <c r="F26" s="45">
        <v>9</v>
      </c>
      <c r="G26" s="45">
        <v>5</v>
      </c>
      <c r="H26" s="46">
        <v>10</v>
      </c>
      <c r="I26" s="47">
        <f>[4]Theory!E40</f>
        <v>24</v>
      </c>
      <c r="J26" s="48">
        <f>[4]Theory!H40</f>
        <v>8</v>
      </c>
      <c r="K26" s="44">
        <f>[4]Theory!F40</f>
        <v>9</v>
      </c>
      <c r="L26" s="49">
        <v>5</v>
      </c>
      <c r="M26" s="49">
        <v>10</v>
      </c>
      <c r="N26" s="49">
        <v>10</v>
      </c>
      <c r="O26" s="50">
        <f>[4]Theory!G40</f>
        <v>25</v>
      </c>
      <c r="P26" s="47">
        <f t="shared" si="1"/>
        <v>70</v>
      </c>
      <c r="Q26" s="51" t="str">
        <f>[4]Theory!J40</f>
        <v>B+</v>
      </c>
      <c r="R26" s="57"/>
      <c r="S26" s="53">
        <f t="shared" si="2"/>
        <v>18</v>
      </c>
      <c r="T26" s="54">
        <f t="shared" si="3"/>
        <v>34</v>
      </c>
      <c r="U26" s="54">
        <f t="shared" si="4"/>
        <v>18</v>
      </c>
      <c r="V26" s="54">
        <f t="shared" si="5"/>
        <v>70</v>
      </c>
      <c r="W26" s="54"/>
      <c r="X26" s="54"/>
      <c r="Y26" s="55" t="str">
        <f t="shared" si="6"/>
        <v>Y</v>
      </c>
      <c r="Z26" s="55"/>
      <c r="AA26" s="56"/>
    </row>
    <row r="27" spans="2:27" ht="29.1" customHeight="1" thickBot="1" x14ac:dyDescent="0.45">
      <c r="B27" s="41">
        <v>17</v>
      </c>
      <c r="C27" s="42" t="str">
        <f>[4]Theory!A41</f>
        <v>2023-IT-22</v>
      </c>
      <c r="D27" s="43" t="str">
        <f>[4]Theory!B41</f>
        <v>Muhammad Sameer</v>
      </c>
      <c r="E27" s="44">
        <f>[4]Theory!D41</f>
        <v>5</v>
      </c>
      <c r="F27" s="45">
        <v>8</v>
      </c>
      <c r="G27" s="45">
        <v>5</v>
      </c>
      <c r="H27" s="46">
        <v>10</v>
      </c>
      <c r="I27" s="47">
        <f>[4]Theory!E41</f>
        <v>23</v>
      </c>
      <c r="J27" s="48">
        <f>[4]Theory!H41</f>
        <v>7</v>
      </c>
      <c r="K27" s="44">
        <f>[4]Theory!F41</f>
        <v>9</v>
      </c>
      <c r="L27" s="49">
        <v>6</v>
      </c>
      <c r="M27" s="49">
        <v>10</v>
      </c>
      <c r="N27" s="49">
        <v>10</v>
      </c>
      <c r="O27" s="50">
        <f>[4]Theory!G41</f>
        <v>26</v>
      </c>
      <c r="P27" s="47">
        <f t="shared" si="1"/>
        <v>70</v>
      </c>
      <c r="Q27" s="51" t="str">
        <f>[4]Theory!J41</f>
        <v>B+</v>
      </c>
      <c r="R27" s="57"/>
      <c r="S27" s="53">
        <f t="shared" si="2"/>
        <v>19</v>
      </c>
      <c r="T27" s="54">
        <f t="shared" si="3"/>
        <v>34</v>
      </c>
      <c r="U27" s="54">
        <f t="shared" si="4"/>
        <v>17</v>
      </c>
      <c r="V27" s="54">
        <f t="shared" si="5"/>
        <v>70</v>
      </c>
      <c r="W27" s="54"/>
      <c r="X27" s="54"/>
      <c r="Y27" s="55" t="str">
        <f t="shared" si="6"/>
        <v>Y</v>
      </c>
      <c r="Z27" s="55"/>
      <c r="AA27" s="56"/>
    </row>
    <row r="28" spans="2:27" ht="29.1" customHeight="1" thickBot="1" x14ac:dyDescent="0.45">
      <c r="B28" s="41">
        <v>18</v>
      </c>
      <c r="C28" s="42" t="str">
        <f>[4]Theory!A42</f>
        <v>2023-IT-24</v>
      </c>
      <c r="D28" s="43" t="str">
        <f>[4]Theory!B42</f>
        <v>Sher Shah Hussain</v>
      </c>
      <c r="E28" s="44">
        <f>[4]Theory!D42</f>
        <v>6</v>
      </c>
      <c r="F28" s="45">
        <v>10</v>
      </c>
      <c r="G28" s="45">
        <v>5</v>
      </c>
      <c r="H28" s="46">
        <v>9</v>
      </c>
      <c r="I28" s="47">
        <f>[4]Theory!E42</f>
        <v>24</v>
      </c>
      <c r="J28" s="48">
        <f>[4]Theory!H42</f>
        <v>8</v>
      </c>
      <c r="K28" s="44">
        <f>[4]Theory!F42</f>
        <v>10</v>
      </c>
      <c r="L28" s="49">
        <v>8</v>
      </c>
      <c r="M28" s="49">
        <v>8</v>
      </c>
      <c r="N28" s="49">
        <v>8</v>
      </c>
      <c r="O28" s="50">
        <f>[4]Theory!G42</f>
        <v>24</v>
      </c>
      <c r="P28" s="47">
        <f t="shared" si="1"/>
        <v>72</v>
      </c>
      <c r="Q28" s="51" t="str">
        <f>[4]Theory!J42</f>
        <v>B+</v>
      </c>
      <c r="R28" s="57"/>
      <c r="S28" s="53">
        <f t="shared" si="2"/>
        <v>24</v>
      </c>
      <c r="T28" s="54">
        <f t="shared" si="3"/>
        <v>32</v>
      </c>
      <c r="U28" s="54">
        <f t="shared" si="4"/>
        <v>16</v>
      </c>
      <c r="V28" s="54">
        <f t="shared" si="5"/>
        <v>72</v>
      </c>
      <c r="W28" s="54"/>
      <c r="X28" s="54"/>
      <c r="Y28" s="55" t="str">
        <f t="shared" si="6"/>
        <v>Y</v>
      </c>
      <c r="Z28" s="55"/>
      <c r="AA28" s="56"/>
    </row>
    <row r="29" spans="2:27" ht="29.1" customHeight="1" thickBot="1" x14ac:dyDescent="0.45">
      <c r="B29" s="41">
        <v>19</v>
      </c>
      <c r="C29" s="42" t="str">
        <f>[4]Theory!A43</f>
        <v>2023-IT-26</v>
      </c>
      <c r="D29" s="43" t="str">
        <f>[4]Theory!B43</f>
        <v>Abdul Ahad</v>
      </c>
      <c r="E29" s="44">
        <f>[4]Theory!D43</f>
        <v>0</v>
      </c>
      <c r="F29" s="45">
        <v>0</v>
      </c>
      <c r="G29" s="45">
        <v>0</v>
      </c>
      <c r="H29" s="46">
        <v>0</v>
      </c>
      <c r="I29" s="47">
        <f>[4]Theory!E43</f>
        <v>0</v>
      </c>
      <c r="J29" s="48">
        <f>[4]Theory!H43</f>
        <v>0</v>
      </c>
      <c r="K29" s="44">
        <f>[4]Theory!F43</f>
        <v>0</v>
      </c>
      <c r="L29" s="49">
        <v>0</v>
      </c>
      <c r="M29" s="49">
        <v>0</v>
      </c>
      <c r="N29" s="49">
        <v>0</v>
      </c>
      <c r="O29" s="50">
        <f>[4]Theory!G43</f>
        <v>0</v>
      </c>
      <c r="P29" s="47">
        <f t="shared" si="1"/>
        <v>0</v>
      </c>
      <c r="Q29" s="51" t="str">
        <f>[4]Theory!J43</f>
        <v>F</v>
      </c>
      <c r="R29" s="57"/>
      <c r="S29" s="53">
        <f t="shared" si="2"/>
        <v>0</v>
      </c>
      <c r="T29" s="54">
        <f t="shared" si="3"/>
        <v>0</v>
      </c>
      <c r="U29" s="54">
        <f t="shared" si="4"/>
        <v>0</v>
      </c>
      <c r="V29" s="54">
        <f t="shared" si="5"/>
        <v>0</v>
      </c>
      <c r="W29" s="54"/>
      <c r="X29" s="54"/>
      <c r="Y29" s="55" t="str">
        <f t="shared" si="6"/>
        <v>N</v>
      </c>
      <c r="Z29" s="55"/>
      <c r="AA29" s="56"/>
    </row>
    <row r="30" spans="2:27" ht="29.1" customHeight="1" thickBot="1" x14ac:dyDescent="0.45">
      <c r="B30" s="41">
        <v>20</v>
      </c>
      <c r="C30" s="42" t="str">
        <f>[4]Theory!A44</f>
        <v>2023-IT-28</v>
      </c>
      <c r="D30" s="43" t="str">
        <f>[4]Theory!B44</f>
        <v>Ahmad Latif</v>
      </c>
      <c r="E30" s="44">
        <f>[4]Theory!D44</f>
        <v>6</v>
      </c>
      <c r="F30" s="45">
        <v>10</v>
      </c>
      <c r="G30" s="45">
        <v>5</v>
      </c>
      <c r="H30" s="46">
        <v>10</v>
      </c>
      <c r="I30" s="47">
        <f>[4]Theory!E44</f>
        <v>25</v>
      </c>
      <c r="J30" s="48">
        <f>[4]Theory!H44</f>
        <v>9</v>
      </c>
      <c r="K30" s="44">
        <f>[4]Theory!F44</f>
        <v>10</v>
      </c>
      <c r="L30" s="49">
        <v>11</v>
      </c>
      <c r="M30" s="49">
        <v>9</v>
      </c>
      <c r="N30" s="49">
        <v>11</v>
      </c>
      <c r="O30" s="50">
        <f>[4]Theory!G44</f>
        <v>31</v>
      </c>
      <c r="P30" s="47">
        <f t="shared" si="1"/>
        <v>81</v>
      </c>
      <c r="Q30" s="51" t="str">
        <f>[4]Theory!J44</f>
        <v>A-</v>
      </c>
      <c r="R30" s="57"/>
      <c r="S30" s="53">
        <f t="shared" si="2"/>
        <v>27</v>
      </c>
      <c r="T30" s="54">
        <f t="shared" si="3"/>
        <v>34</v>
      </c>
      <c r="U30" s="54">
        <f t="shared" si="4"/>
        <v>20</v>
      </c>
      <c r="V30" s="54">
        <f t="shared" si="5"/>
        <v>81</v>
      </c>
      <c r="W30" s="54"/>
      <c r="X30" s="54"/>
      <c r="Y30" s="55" t="str">
        <f t="shared" si="6"/>
        <v>Y</v>
      </c>
      <c r="Z30" s="55"/>
      <c r="AA30" s="56"/>
    </row>
    <row r="31" spans="2:27" ht="29.1" customHeight="1" thickBot="1" x14ac:dyDescent="0.45">
      <c r="B31" s="41">
        <v>21</v>
      </c>
      <c r="C31" s="42" t="str">
        <f>[4]Theory!A45</f>
        <v>2023-IT-32</v>
      </c>
      <c r="D31" s="43" t="str">
        <f>[4]Theory!B45</f>
        <v>Muhammad Faisal</v>
      </c>
      <c r="E31" s="44">
        <f>[4]Theory!D45</f>
        <v>8</v>
      </c>
      <c r="F31" s="45">
        <v>9</v>
      </c>
      <c r="G31" s="45">
        <v>7</v>
      </c>
      <c r="H31" s="46">
        <v>9</v>
      </c>
      <c r="I31" s="47">
        <f>[4]Theory!E45</f>
        <v>25</v>
      </c>
      <c r="J31" s="48">
        <f>[4]Theory!H45</f>
        <v>9</v>
      </c>
      <c r="K31" s="44">
        <f>[4]Theory!F45</f>
        <v>10</v>
      </c>
      <c r="L31" s="49">
        <v>12</v>
      </c>
      <c r="M31" s="49">
        <v>8</v>
      </c>
      <c r="N31" s="49">
        <v>12</v>
      </c>
      <c r="O31" s="50">
        <f>[4]Theory!G45</f>
        <v>32</v>
      </c>
      <c r="P31" s="47">
        <f t="shared" si="1"/>
        <v>84</v>
      </c>
      <c r="Q31" s="51" t="str">
        <f>[4]Theory!J45</f>
        <v>A-</v>
      </c>
      <c r="R31" s="57"/>
      <c r="S31" s="53">
        <f t="shared" si="2"/>
        <v>29</v>
      </c>
      <c r="T31" s="54">
        <f t="shared" si="3"/>
        <v>34</v>
      </c>
      <c r="U31" s="54">
        <f t="shared" si="4"/>
        <v>21</v>
      </c>
      <c r="V31" s="54">
        <f t="shared" si="5"/>
        <v>84</v>
      </c>
      <c r="W31" s="54"/>
      <c r="X31" s="54"/>
      <c r="Y31" s="55" t="str">
        <f t="shared" si="6"/>
        <v>Y</v>
      </c>
      <c r="Z31" s="55"/>
      <c r="AA31" s="56"/>
    </row>
    <row r="32" spans="2:27" ht="29.1" customHeight="1" thickBot="1" x14ac:dyDescent="0.45">
      <c r="B32" s="41">
        <v>22</v>
      </c>
      <c r="C32" s="42" t="str">
        <f>[4]Theory!A46</f>
        <v>2023-IT-34</v>
      </c>
      <c r="D32" s="43" t="str">
        <f>[4]Theory!B46</f>
        <v>Jamshaid Abbas</v>
      </c>
      <c r="E32" s="44">
        <f>[4]Theory!D46</f>
        <v>8</v>
      </c>
      <c r="F32" s="45">
        <v>9</v>
      </c>
      <c r="G32" s="45">
        <v>5</v>
      </c>
      <c r="H32" s="46">
        <v>8</v>
      </c>
      <c r="I32" s="47">
        <f>[4]Theory!E46</f>
        <v>22</v>
      </c>
      <c r="J32" s="48">
        <f>[4]Theory!H46</f>
        <v>8</v>
      </c>
      <c r="K32" s="44">
        <f>[4]Theory!F46</f>
        <v>9</v>
      </c>
      <c r="L32" s="49">
        <v>9</v>
      </c>
      <c r="M32" s="49">
        <v>5</v>
      </c>
      <c r="N32" s="49">
        <v>7</v>
      </c>
      <c r="O32" s="50">
        <f>[4]Theory!G46</f>
        <v>21</v>
      </c>
      <c r="P32" s="47">
        <f t="shared" si="1"/>
        <v>68</v>
      </c>
      <c r="Q32" s="51" t="str">
        <f>[4]Theory!J46</f>
        <v>B</v>
      </c>
      <c r="R32" s="57"/>
      <c r="S32" s="53">
        <f t="shared" si="2"/>
        <v>26</v>
      </c>
      <c r="T32" s="54">
        <f t="shared" si="3"/>
        <v>27</v>
      </c>
      <c r="U32" s="54">
        <f t="shared" si="4"/>
        <v>15</v>
      </c>
      <c r="V32" s="54">
        <f t="shared" si="5"/>
        <v>68</v>
      </c>
      <c r="W32" s="54"/>
      <c r="X32" s="54"/>
      <c r="Y32" s="55" t="str">
        <f t="shared" si="6"/>
        <v>Y</v>
      </c>
      <c r="Z32" s="55"/>
      <c r="AA32" s="56"/>
    </row>
    <row r="33" spans="2:27" ht="29.1" customHeight="1" thickBot="1" x14ac:dyDescent="0.45">
      <c r="B33" s="41">
        <v>23</v>
      </c>
      <c r="C33" s="42" t="str">
        <f>[4]Theory!A47</f>
        <v>2023-IT-38</v>
      </c>
      <c r="D33" s="43" t="str">
        <f>[4]Theory!B47</f>
        <v>Sherzaman Bukhari</v>
      </c>
      <c r="E33" s="44">
        <f>[4]Theory!D47</f>
        <v>8</v>
      </c>
      <c r="F33" s="45">
        <v>7</v>
      </c>
      <c r="G33" s="45">
        <v>7</v>
      </c>
      <c r="H33" s="46">
        <v>7</v>
      </c>
      <c r="I33" s="47">
        <f>[4]Theory!E47</f>
        <v>21</v>
      </c>
      <c r="J33" s="48">
        <f>[4]Theory!H47</f>
        <v>8</v>
      </c>
      <c r="K33" s="44">
        <f>[4]Theory!F47</f>
        <v>10</v>
      </c>
      <c r="L33" s="49">
        <v>11</v>
      </c>
      <c r="M33" s="49">
        <v>10</v>
      </c>
      <c r="N33" s="49">
        <v>10</v>
      </c>
      <c r="O33" s="50">
        <f>[4]Theory!G47</f>
        <v>31</v>
      </c>
      <c r="P33" s="47">
        <f t="shared" si="1"/>
        <v>78</v>
      </c>
      <c r="Q33" s="51" t="str">
        <f>[4]Theory!J47</f>
        <v>B+</v>
      </c>
      <c r="R33" s="57"/>
      <c r="S33" s="53">
        <f t="shared" si="2"/>
        <v>26</v>
      </c>
      <c r="T33" s="54">
        <f t="shared" si="3"/>
        <v>34</v>
      </c>
      <c r="U33" s="54">
        <f t="shared" si="4"/>
        <v>18</v>
      </c>
      <c r="V33" s="54">
        <f t="shared" si="5"/>
        <v>78</v>
      </c>
      <c r="W33" s="54"/>
      <c r="X33" s="54"/>
      <c r="Y33" s="55" t="str">
        <f t="shared" si="6"/>
        <v>Y</v>
      </c>
      <c r="Z33" s="55"/>
      <c r="AA33" s="56"/>
    </row>
    <row r="34" spans="2:27" ht="29.1" customHeight="1" thickBot="1" x14ac:dyDescent="0.45">
      <c r="B34" s="41">
        <v>24</v>
      </c>
      <c r="C34" s="42" t="str">
        <f>[4]Theory!A48</f>
        <v>2023-IT-40</v>
      </c>
      <c r="D34" s="43" t="str">
        <f>[4]Theory!B48</f>
        <v>Ahmad Raza Shareef</v>
      </c>
      <c r="E34" s="44">
        <f>[4]Theory!D48</f>
        <v>7</v>
      </c>
      <c r="F34" s="45">
        <v>8</v>
      </c>
      <c r="G34" s="45">
        <v>6</v>
      </c>
      <c r="H34" s="46">
        <v>8</v>
      </c>
      <c r="I34" s="47">
        <f>[4]Theory!E48</f>
        <v>22</v>
      </c>
      <c r="J34" s="48">
        <f>[4]Theory!H48</f>
        <v>7</v>
      </c>
      <c r="K34" s="44">
        <f>[4]Theory!F48</f>
        <v>9</v>
      </c>
      <c r="L34" s="49">
        <v>8</v>
      </c>
      <c r="M34" s="49">
        <v>7</v>
      </c>
      <c r="N34" s="49">
        <v>10</v>
      </c>
      <c r="O34" s="50">
        <f>[4]Theory!G48</f>
        <v>25</v>
      </c>
      <c r="P34" s="47">
        <f t="shared" si="1"/>
        <v>70</v>
      </c>
      <c r="Q34" s="51" t="str">
        <f>[4]Theory!J48</f>
        <v>B+</v>
      </c>
      <c r="R34" s="57"/>
      <c r="S34" s="53">
        <f t="shared" si="2"/>
        <v>23</v>
      </c>
      <c r="T34" s="54">
        <f t="shared" si="3"/>
        <v>30</v>
      </c>
      <c r="U34" s="54">
        <f t="shared" si="4"/>
        <v>17</v>
      </c>
      <c r="V34" s="54">
        <f t="shared" si="5"/>
        <v>70</v>
      </c>
      <c r="W34" s="54"/>
      <c r="X34" s="54"/>
      <c r="Y34" s="55" t="str">
        <f t="shared" si="6"/>
        <v>Y</v>
      </c>
      <c r="Z34" s="55"/>
      <c r="AA34" s="56"/>
    </row>
    <row r="35" spans="2:27" ht="29.1" customHeight="1" thickBot="1" x14ac:dyDescent="0.45">
      <c r="B35" s="41">
        <v>25</v>
      </c>
      <c r="C35" s="42" t="str">
        <f>[4]Theory!A49</f>
        <v>2023-IT-41</v>
      </c>
      <c r="D35" s="43" t="str">
        <f>[4]Theory!B49</f>
        <v>Anas Noor</v>
      </c>
      <c r="E35" s="44">
        <f>[4]Theory!D49</f>
        <v>3</v>
      </c>
      <c r="F35" s="45">
        <v>8</v>
      </c>
      <c r="G35" s="45">
        <v>4</v>
      </c>
      <c r="H35" s="46">
        <v>8</v>
      </c>
      <c r="I35" s="47">
        <f>[4]Theory!E49</f>
        <v>20</v>
      </c>
      <c r="J35" s="48">
        <f>[4]Theory!H49</f>
        <v>0</v>
      </c>
      <c r="K35" s="44">
        <f>[4]Theory!F49</f>
        <v>0</v>
      </c>
      <c r="L35" s="49">
        <v>0</v>
      </c>
      <c r="M35" s="49">
        <v>0</v>
      </c>
      <c r="N35" s="49">
        <v>0</v>
      </c>
      <c r="O35" s="50">
        <f>[4]Theory!G49</f>
        <v>0</v>
      </c>
      <c r="P35" s="47">
        <f t="shared" si="1"/>
        <v>23</v>
      </c>
      <c r="Q35" s="51" t="str">
        <f>[4]Theory!J49</f>
        <v>F</v>
      </c>
      <c r="R35" s="57"/>
      <c r="S35" s="53">
        <f t="shared" si="2"/>
        <v>11</v>
      </c>
      <c r="T35" s="54">
        <f t="shared" si="3"/>
        <v>12</v>
      </c>
      <c r="U35" s="54">
        <f t="shared" si="4"/>
        <v>0</v>
      </c>
      <c r="V35" s="54">
        <f t="shared" si="5"/>
        <v>23</v>
      </c>
      <c r="W35" s="54"/>
      <c r="X35" s="54"/>
      <c r="Y35" s="55" t="str">
        <f t="shared" si="6"/>
        <v>N</v>
      </c>
      <c r="Z35" s="55"/>
      <c r="AA35" s="56"/>
    </row>
    <row r="36" spans="2:27" ht="29.1" customHeight="1" thickBot="1" x14ac:dyDescent="0.45">
      <c r="B36" s="41">
        <v>26</v>
      </c>
      <c r="C36" s="42" t="str">
        <f>[4]Theory!A50</f>
        <v>2023-IT-42</v>
      </c>
      <c r="D36" s="43" t="str">
        <f>[4]Theory!B50</f>
        <v>Muhammad Moosa Bhatti</v>
      </c>
      <c r="E36" s="44">
        <f>[4]Theory!D50</f>
        <v>6</v>
      </c>
      <c r="F36" s="45">
        <v>9</v>
      </c>
      <c r="G36" s="45">
        <v>4</v>
      </c>
      <c r="H36" s="46">
        <v>10</v>
      </c>
      <c r="I36" s="47">
        <f>[4]Theory!E50</f>
        <v>23</v>
      </c>
      <c r="J36" s="48">
        <f>[4]Theory!H50</f>
        <v>8</v>
      </c>
      <c r="K36" s="44">
        <f>[4]Theory!F50</f>
        <v>9</v>
      </c>
      <c r="L36" s="49">
        <v>11</v>
      </c>
      <c r="M36" s="49">
        <v>9</v>
      </c>
      <c r="N36" s="49">
        <v>11</v>
      </c>
      <c r="O36" s="50">
        <f>[4]Theory!G50</f>
        <v>31</v>
      </c>
      <c r="P36" s="47">
        <f t="shared" si="1"/>
        <v>77</v>
      </c>
      <c r="Q36" s="51" t="str">
        <f>[4]Theory!J50</f>
        <v>B+</v>
      </c>
      <c r="R36" s="57"/>
      <c r="S36" s="53">
        <f t="shared" si="2"/>
        <v>26</v>
      </c>
      <c r="T36" s="54">
        <f t="shared" si="3"/>
        <v>32</v>
      </c>
      <c r="U36" s="54">
        <f t="shared" si="4"/>
        <v>19</v>
      </c>
      <c r="V36" s="54">
        <f t="shared" si="5"/>
        <v>77</v>
      </c>
      <c r="W36" s="54"/>
      <c r="X36" s="54"/>
      <c r="Y36" s="55" t="str">
        <f t="shared" si="6"/>
        <v>Y</v>
      </c>
      <c r="Z36" s="55"/>
      <c r="AA36" s="56"/>
    </row>
    <row r="37" spans="2:27" ht="29.1" customHeight="1" thickBot="1" x14ac:dyDescent="0.45">
      <c r="B37" s="41">
        <v>27</v>
      </c>
      <c r="C37" s="42" t="str">
        <f>[4]Theory!A51</f>
        <v>2023-IT-44</v>
      </c>
      <c r="D37" s="43" t="str">
        <f>[4]Theory!B51</f>
        <v>Muhammad Nouman Aslam</v>
      </c>
      <c r="E37" s="44">
        <f>[4]Theory!D51</f>
        <v>6</v>
      </c>
      <c r="F37" s="45">
        <v>9</v>
      </c>
      <c r="G37" s="45">
        <v>10</v>
      </c>
      <c r="H37" s="46">
        <v>6</v>
      </c>
      <c r="I37" s="47">
        <f>[4]Theory!E51</f>
        <v>25</v>
      </c>
      <c r="J37" s="48">
        <f>[4]Theory!H51</f>
        <v>7</v>
      </c>
      <c r="K37" s="44">
        <f>[4]Theory!F51</f>
        <v>10</v>
      </c>
      <c r="L37" s="49">
        <v>8</v>
      </c>
      <c r="M37" s="49">
        <v>8</v>
      </c>
      <c r="N37" s="49">
        <v>9</v>
      </c>
      <c r="O37" s="50">
        <f>[4]Theory!G51</f>
        <v>25</v>
      </c>
      <c r="P37" s="47">
        <f t="shared" si="1"/>
        <v>73</v>
      </c>
      <c r="Q37" s="51" t="str">
        <f>[4]Theory!J51</f>
        <v>B+</v>
      </c>
      <c r="R37" s="57"/>
      <c r="S37" s="53">
        <f t="shared" si="2"/>
        <v>23</v>
      </c>
      <c r="T37" s="54">
        <f t="shared" si="3"/>
        <v>34</v>
      </c>
      <c r="U37" s="54">
        <f t="shared" si="4"/>
        <v>16</v>
      </c>
      <c r="V37" s="54">
        <f t="shared" si="5"/>
        <v>73</v>
      </c>
      <c r="W37" s="54"/>
      <c r="X37" s="54"/>
      <c r="Y37" s="55" t="str">
        <f t="shared" si="6"/>
        <v>Y</v>
      </c>
      <c r="Z37" s="55"/>
      <c r="AA37" s="56"/>
    </row>
    <row r="38" spans="2:27" ht="29.1" customHeight="1" thickBot="1" x14ac:dyDescent="0.45">
      <c r="B38" s="41">
        <v>28</v>
      </c>
      <c r="C38" s="42" t="str">
        <f>[4]Theory!A52</f>
        <v>2023-IT-46</v>
      </c>
      <c r="D38" s="43" t="str">
        <f>[4]Theory!B52</f>
        <v>Muhammad Haseeb Anjum</v>
      </c>
      <c r="E38" s="44">
        <f>[4]Theory!D52</f>
        <v>6</v>
      </c>
      <c r="F38" s="45">
        <v>8</v>
      </c>
      <c r="G38" s="45">
        <v>6</v>
      </c>
      <c r="H38" s="46">
        <v>10</v>
      </c>
      <c r="I38" s="47">
        <f>[4]Theory!E52</f>
        <v>24</v>
      </c>
      <c r="J38" s="48">
        <f>[4]Theory!H52</f>
        <v>8</v>
      </c>
      <c r="K38" s="44">
        <f>[4]Theory!F52</f>
        <v>10</v>
      </c>
      <c r="L38" s="49">
        <v>12</v>
      </c>
      <c r="M38" s="49">
        <v>7</v>
      </c>
      <c r="N38" s="49">
        <v>11</v>
      </c>
      <c r="O38" s="50">
        <f>[4]Theory!G52</f>
        <v>30</v>
      </c>
      <c r="P38" s="47">
        <f t="shared" si="1"/>
        <v>78</v>
      </c>
      <c r="Q38" s="51" t="str">
        <f>[4]Theory!J52</f>
        <v>B+</v>
      </c>
      <c r="R38" s="57"/>
      <c r="S38" s="53">
        <f t="shared" si="2"/>
        <v>26</v>
      </c>
      <c r="T38" s="54">
        <f t="shared" si="3"/>
        <v>33</v>
      </c>
      <c r="U38" s="54">
        <f t="shared" si="4"/>
        <v>19</v>
      </c>
      <c r="V38" s="54">
        <f t="shared" si="5"/>
        <v>78</v>
      </c>
      <c r="W38" s="54"/>
      <c r="X38" s="54"/>
      <c r="Y38" s="55" t="str">
        <f t="shared" si="6"/>
        <v>Y</v>
      </c>
      <c r="Z38" s="55"/>
      <c r="AA38" s="56"/>
    </row>
    <row r="39" spans="2:27" ht="29.1" customHeight="1" thickBot="1" x14ac:dyDescent="0.45">
      <c r="B39" s="41">
        <v>29</v>
      </c>
      <c r="C39" s="42" t="str">
        <f>[4]Theory!A53</f>
        <v>2023-IT-48</v>
      </c>
      <c r="D39" s="43" t="str">
        <f>[4]Theory!B53</f>
        <v>Muhammad Arslan Waheed</v>
      </c>
      <c r="E39" s="44">
        <f>[4]Theory!D53</f>
        <v>6</v>
      </c>
      <c r="F39" s="45">
        <v>9</v>
      </c>
      <c r="G39" s="45">
        <v>7</v>
      </c>
      <c r="H39" s="46">
        <v>8</v>
      </c>
      <c r="I39" s="47">
        <f>[4]Theory!E53</f>
        <v>24</v>
      </c>
      <c r="J39" s="48">
        <f>[4]Theory!H53</f>
        <v>7</v>
      </c>
      <c r="K39" s="44">
        <f>[4]Theory!F53</f>
        <v>9</v>
      </c>
      <c r="L39" s="49">
        <v>7</v>
      </c>
      <c r="M39" s="49">
        <v>10</v>
      </c>
      <c r="N39" s="49">
        <v>8</v>
      </c>
      <c r="O39" s="50">
        <f>[4]Theory!G53</f>
        <v>25</v>
      </c>
      <c r="P39" s="47">
        <f t="shared" si="1"/>
        <v>71</v>
      </c>
      <c r="Q39" s="51" t="str">
        <f>[4]Theory!J53</f>
        <v>B+</v>
      </c>
      <c r="R39" s="57"/>
      <c r="S39" s="53">
        <f t="shared" si="2"/>
        <v>22</v>
      </c>
      <c r="T39" s="54">
        <f t="shared" si="3"/>
        <v>34</v>
      </c>
      <c r="U39" s="54">
        <f t="shared" si="4"/>
        <v>15</v>
      </c>
      <c r="V39" s="54">
        <f t="shared" si="5"/>
        <v>71</v>
      </c>
      <c r="W39" s="54"/>
      <c r="X39" s="54"/>
      <c r="Y39" s="55" t="str">
        <f t="shared" si="6"/>
        <v>Y</v>
      </c>
      <c r="Z39" s="55"/>
      <c r="AA39" s="56"/>
    </row>
    <row r="40" spans="2:27" ht="29.1" customHeight="1" thickBot="1" x14ac:dyDescent="0.45">
      <c r="B40" s="41">
        <v>30</v>
      </c>
      <c r="C40" s="42" t="str">
        <f>[4]Theory!A54</f>
        <v>2023-IT-50</v>
      </c>
      <c r="D40" s="43" t="str">
        <f>[4]Theory!B54</f>
        <v>Hafiz Muhammad Hasnain Saif</v>
      </c>
      <c r="E40" s="44">
        <f>[4]Theory!D54</f>
        <v>8</v>
      </c>
      <c r="F40" s="45">
        <v>10</v>
      </c>
      <c r="G40" s="45">
        <v>5</v>
      </c>
      <c r="H40" s="46">
        <v>10</v>
      </c>
      <c r="I40" s="47">
        <f>[4]Theory!E54</f>
        <v>25</v>
      </c>
      <c r="J40" s="48">
        <f>[4]Theory!H54</f>
        <v>8</v>
      </c>
      <c r="K40" s="44">
        <f>[4]Theory!F54</f>
        <v>10</v>
      </c>
      <c r="L40" s="49">
        <v>10</v>
      </c>
      <c r="M40" s="49">
        <v>10</v>
      </c>
      <c r="N40" s="49">
        <v>10</v>
      </c>
      <c r="O40" s="50">
        <f>[4]Theory!G54</f>
        <v>30</v>
      </c>
      <c r="P40" s="47">
        <f t="shared" si="1"/>
        <v>81</v>
      </c>
      <c r="Q40" s="51" t="str">
        <f>[4]Theory!J54</f>
        <v>A-</v>
      </c>
      <c r="R40" s="57"/>
      <c r="S40" s="53">
        <f t="shared" si="2"/>
        <v>28</v>
      </c>
      <c r="T40" s="54">
        <f t="shared" si="3"/>
        <v>35</v>
      </c>
      <c r="U40" s="54">
        <f t="shared" si="4"/>
        <v>18</v>
      </c>
      <c r="V40" s="54">
        <f t="shared" si="5"/>
        <v>81</v>
      </c>
      <c r="W40" s="54"/>
      <c r="X40" s="54"/>
      <c r="Y40" s="55" t="str">
        <f t="shared" si="6"/>
        <v>Y</v>
      </c>
      <c r="Z40" s="55"/>
      <c r="AA40" s="56"/>
    </row>
    <row r="41" spans="2:27" ht="29.1" customHeight="1" thickBot="1" x14ac:dyDescent="0.45">
      <c r="B41" s="41">
        <v>31</v>
      </c>
      <c r="C41" s="42" t="str">
        <f>[4]Theory!A55</f>
        <v>2023-IT-54</v>
      </c>
      <c r="D41" s="43" t="str">
        <f>[4]Theory!B55</f>
        <v>Muhammad Zeeshan</v>
      </c>
      <c r="E41" s="44">
        <f>[4]Theory!D55</f>
        <v>6</v>
      </c>
      <c r="F41" s="45">
        <v>8</v>
      </c>
      <c r="G41" s="45">
        <v>8</v>
      </c>
      <c r="H41" s="46">
        <v>9</v>
      </c>
      <c r="I41" s="47">
        <f>[4]Theory!E55</f>
        <v>25</v>
      </c>
      <c r="J41" s="48">
        <f>[4]Theory!H55</f>
        <v>8</v>
      </c>
      <c r="K41" s="44">
        <f>[4]Theory!F55</f>
        <v>10</v>
      </c>
      <c r="L41" s="49">
        <v>10</v>
      </c>
      <c r="M41" s="49">
        <v>8</v>
      </c>
      <c r="N41" s="49">
        <v>10</v>
      </c>
      <c r="O41" s="50">
        <f>[4]Theory!G55</f>
        <v>28</v>
      </c>
      <c r="P41" s="47">
        <f t="shared" si="1"/>
        <v>77</v>
      </c>
      <c r="Q41" s="51" t="str">
        <f>[4]Theory!J55</f>
        <v>B+</v>
      </c>
      <c r="R41" s="57"/>
      <c r="S41" s="53">
        <f t="shared" si="2"/>
        <v>24</v>
      </c>
      <c r="T41" s="54">
        <f t="shared" si="3"/>
        <v>35</v>
      </c>
      <c r="U41" s="54">
        <f t="shared" si="4"/>
        <v>18</v>
      </c>
      <c r="V41" s="54">
        <f t="shared" si="5"/>
        <v>77</v>
      </c>
      <c r="W41" s="54"/>
      <c r="X41" s="54"/>
      <c r="Y41" s="55" t="str">
        <f t="shared" si="6"/>
        <v>Y</v>
      </c>
      <c r="Z41" s="55"/>
      <c r="AA41" s="56"/>
    </row>
    <row r="42" spans="2:27" ht="29.1" customHeight="1" thickBot="1" x14ac:dyDescent="0.45">
      <c r="B42" s="41">
        <v>32</v>
      </c>
      <c r="C42" s="42" t="str">
        <f>[4]Theory!A56</f>
        <v>2023-IT-56</v>
      </c>
      <c r="D42" s="43" t="str">
        <f>[4]Theory!B56</f>
        <v>Muhammad Adeel</v>
      </c>
      <c r="E42" s="44">
        <f>[4]Theory!D56</f>
        <v>3</v>
      </c>
      <c r="F42" s="45">
        <v>9</v>
      </c>
      <c r="G42" s="45">
        <v>9</v>
      </c>
      <c r="H42" s="46">
        <v>5</v>
      </c>
      <c r="I42" s="47">
        <f>[4]Theory!E56</f>
        <v>23</v>
      </c>
      <c r="J42" s="48">
        <f>[4]Theory!H56</f>
        <v>9</v>
      </c>
      <c r="K42" s="44">
        <f>[4]Theory!F56</f>
        <v>9</v>
      </c>
      <c r="L42" s="49">
        <v>12</v>
      </c>
      <c r="M42" s="49">
        <v>8</v>
      </c>
      <c r="N42" s="49">
        <v>10</v>
      </c>
      <c r="O42" s="50">
        <f>[4]Theory!G56</f>
        <v>30</v>
      </c>
      <c r="P42" s="47">
        <f t="shared" si="1"/>
        <v>74</v>
      </c>
      <c r="Q42" s="51" t="str">
        <f>[4]Theory!J56</f>
        <v>B+</v>
      </c>
      <c r="R42" s="57"/>
      <c r="S42" s="53">
        <f t="shared" si="2"/>
        <v>24</v>
      </c>
      <c r="T42" s="54">
        <f t="shared" si="3"/>
        <v>31</v>
      </c>
      <c r="U42" s="54">
        <f t="shared" si="4"/>
        <v>19</v>
      </c>
      <c r="V42" s="54">
        <f t="shared" si="5"/>
        <v>74</v>
      </c>
      <c r="W42" s="54"/>
      <c r="X42" s="54"/>
      <c r="Y42" s="55" t="str">
        <f t="shared" si="6"/>
        <v>Y</v>
      </c>
      <c r="Z42" s="55"/>
      <c r="AA42" s="56"/>
    </row>
    <row r="43" spans="2:27" ht="29.1" customHeight="1" thickBot="1" x14ac:dyDescent="0.45">
      <c r="B43" s="41">
        <v>33</v>
      </c>
      <c r="C43" s="42" t="str">
        <f>[4]Theory!A57</f>
        <v>2023-IT-60</v>
      </c>
      <c r="D43" s="43" t="str">
        <f>[4]Theory!B57</f>
        <v>Mughees Ahmad</v>
      </c>
      <c r="E43" s="44">
        <f>[4]Theory!D57</f>
        <v>6</v>
      </c>
      <c r="F43" s="45">
        <v>10</v>
      </c>
      <c r="G43" s="45">
        <v>5</v>
      </c>
      <c r="H43" s="46">
        <v>10</v>
      </c>
      <c r="I43" s="47">
        <f>[4]Theory!E57</f>
        <v>25</v>
      </c>
      <c r="J43" s="48">
        <f>[4]Theory!H57</f>
        <v>8</v>
      </c>
      <c r="K43" s="44">
        <f>[4]Theory!F57</f>
        <v>9</v>
      </c>
      <c r="L43" s="49">
        <v>10</v>
      </c>
      <c r="M43" s="49">
        <v>9</v>
      </c>
      <c r="N43" s="49">
        <v>12</v>
      </c>
      <c r="O43" s="50">
        <f>[4]Theory!G57</f>
        <v>31</v>
      </c>
      <c r="P43" s="47">
        <f t="shared" si="1"/>
        <v>79</v>
      </c>
      <c r="Q43" s="51" t="str">
        <f>[4]Theory!J57</f>
        <v>B+</v>
      </c>
      <c r="R43" s="57"/>
      <c r="S43" s="53">
        <f t="shared" si="2"/>
        <v>26</v>
      </c>
      <c r="T43" s="54">
        <f t="shared" si="3"/>
        <v>33</v>
      </c>
      <c r="U43" s="54">
        <f t="shared" si="4"/>
        <v>20</v>
      </c>
      <c r="V43" s="54">
        <f t="shared" si="5"/>
        <v>79</v>
      </c>
      <c r="W43" s="54"/>
      <c r="X43" s="54"/>
      <c r="Y43" s="55" t="str">
        <f t="shared" si="6"/>
        <v>Y</v>
      </c>
      <c r="Z43" s="55"/>
      <c r="AA43" s="56"/>
    </row>
    <row r="44" spans="2:27" ht="29.1" customHeight="1" thickBot="1" x14ac:dyDescent="0.45">
      <c r="B44" s="41">
        <v>34</v>
      </c>
      <c r="C44" s="42" t="str">
        <f>[4]Theory!A58</f>
        <v>2023-IT-62</v>
      </c>
      <c r="D44" s="43" t="str">
        <f>[4]Theory!B58</f>
        <v>Muhammad Azeem</v>
      </c>
      <c r="E44" s="44">
        <f>[4]Theory!D58</f>
        <v>7</v>
      </c>
      <c r="F44" s="45">
        <v>8</v>
      </c>
      <c r="G44" s="45">
        <v>8</v>
      </c>
      <c r="H44" s="46">
        <v>7</v>
      </c>
      <c r="I44" s="47">
        <f>[4]Theory!E58</f>
        <v>23</v>
      </c>
      <c r="J44" s="48">
        <f>[4]Theory!H58</f>
        <v>8</v>
      </c>
      <c r="K44" s="44">
        <f>[4]Theory!F58</f>
        <v>10</v>
      </c>
      <c r="L44" s="49">
        <v>9</v>
      </c>
      <c r="M44" s="49">
        <v>10</v>
      </c>
      <c r="N44" s="49">
        <v>10</v>
      </c>
      <c r="O44" s="50">
        <f>[4]Theory!G58</f>
        <v>29</v>
      </c>
      <c r="P44" s="47">
        <f t="shared" si="1"/>
        <v>77</v>
      </c>
      <c r="Q44" s="51" t="str">
        <f>[4]Theory!J58</f>
        <v>B+</v>
      </c>
      <c r="R44" s="57"/>
      <c r="S44" s="53">
        <f t="shared" si="2"/>
        <v>24</v>
      </c>
      <c r="T44" s="54">
        <f t="shared" si="3"/>
        <v>35</v>
      </c>
      <c r="U44" s="54">
        <f t="shared" si="4"/>
        <v>18</v>
      </c>
      <c r="V44" s="54">
        <f t="shared" si="5"/>
        <v>77</v>
      </c>
      <c r="W44" s="54"/>
      <c r="X44" s="54"/>
      <c r="Y44" s="55" t="str">
        <f t="shared" si="6"/>
        <v>Y</v>
      </c>
      <c r="Z44" s="55"/>
      <c r="AA44" s="56"/>
    </row>
    <row r="45" spans="2:27" ht="29.1" customHeight="1" thickBot="1" x14ac:dyDescent="0.45">
      <c r="B45" s="41">
        <v>35</v>
      </c>
      <c r="C45" s="42" t="str">
        <f>[4]Theory!A59</f>
        <v>2023-IT-64</v>
      </c>
      <c r="D45" s="43" t="str">
        <f>[4]Theory!B59</f>
        <v>Abdul Ahad</v>
      </c>
      <c r="E45" s="44">
        <f>[4]Theory!D59</f>
        <v>0</v>
      </c>
      <c r="F45" s="45">
        <v>0</v>
      </c>
      <c r="G45" s="45">
        <v>0</v>
      </c>
      <c r="H45" s="46">
        <v>0</v>
      </c>
      <c r="I45" s="47">
        <f>[4]Theory!E59</f>
        <v>0</v>
      </c>
      <c r="J45" s="48">
        <f>[4]Theory!H59</f>
        <v>0</v>
      </c>
      <c r="K45" s="44">
        <f>[4]Theory!F59</f>
        <v>0</v>
      </c>
      <c r="L45" s="49">
        <v>0</v>
      </c>
      <c r="M45" s="49">
        <v>0</v>
      </c>
      <c r="N45" s="49">
        <v>0</v>
      </c>
      <c r="O45" s="50">
        <f>[4]Theory!G59</f>
        <v>0</v>
      </c>
      <c r="P45" s="47">
        <f t="shared" si="1"/>
        <v>0</v>
      </c>
      <c r="Q45" s="51" t="str">
        <f>[4]Theory!J59</f>
        <v>F</v>
      </c>
      <c r="R45" s="57"/>
      <c r="S45" s="53">
        <f t="shared" si="2"/>
        <v>0</v>
      </c>
      <c r="T45" s="54">
        <f t="shared" si="3"/>
        <v>0</v>
      </c>
      <c r="U45" s="54">
        <f t="shared" si="4"/>
        <v>0</v>
      </c>
      <c r="V45" s="54">
        <f t="shared" si="5"/>
        <v>0</v>
      </c>
      <c r="W45" s="54"/>
      <c r="X45" s="54"/>
      <c r="Y45" s="55" t="str">
        <f t="shared" si="6"/>
        <v>N</v>
      </c>
      <c r="Z45" s="55"/>
      <c r="AA45" s="56"/>
    </row>
    <row r="46" spans="2:27" ht="29.1" customHeight="1" thickBot="1" x14ac:dyDescent="0.45">
      <c r="B46" s="41">
        <v>36</v>
      </c>
      <c r="C46" s="42" t="str">
        <f>[4]Theory!A60</f>
        <v>2023-IT-66</v>
      </c>
      <c r="D46" s="43" t="str">
        <f>[4]Theory!B60</f>
        <v>Muhammad Haris Javed</v>
      </c>
      <c r="E46" s="44">
        <f>[4]Theory!D60</f>
        <v>7</v>
      </c>
      <c r="F46" s="45">
        <v>9</v>
      </c>
      <c r="G46" s="45">
        <v>8</v>
      </c>
      <c r="H46" s="46">
        <v>8</v>
      </c>
      <c r="I46" s="47">
        <f>[4]Theory!E60</f>
        <v>25</v>
      </c>
      <c r="J46" s="48">
        <f>[4]Theory!H60</f>
        <v>7</v>
      </c>
      <c r="K46" s="44">
        <f>[4]Theory!F60</f>
        <v>10</v>
      </c>
      <c r="L46" s="49">
        <v>13</v>
      </c>
      <c r="M46" s="49">
        <v>8</v>
      </c>
      <c r="N46" s="49">
        <v>12</v>
      </c>
      <c r="O46" s="50">
        <f>[4]Theory!G60</f>
        <v>33</v>
      </c>
      <c r="P46" s="47">
        <f t="shared" si="1"/>
        <v>82</v>
      </c>
      <c r="Q46" s="51" t="str">
        <f>[4]Theory!J60</f>
        <v>A-</v>
      </c>
      <c r="R46" s="57"/>
      <c r="S46" s="53">
        <f t="shared" si="2"/>
        <v>29</v>
      </c>
      <c r="T46" s="54">
        <f t="shared" si="3"/>
        <v>34</v>
      </c>
      <c r="U46" s="54">
        <f t="shared" si="4"/>
        <v>19</v>
      </c>
      <c r="V46" s="54">
        <f t="shared" si="5"/>
        <v>82</v>
      </c>
      <c r="W46" s="54"/>
      <c r="X46" s="54"/>
      <c r="Y46" s="55" t="str">
        <f t="shared" si="6"/>
        <v>Y</v>
      </c>
      <c r="Z46" s="55"/>
      <c r="AA46" s="56"/>
    </row>
    <row r="47" spans="2:27" ht="29.1" customHeight="1" thickBot="1" x14ac:dyDescent="0.45">
      <c r="B47" s="41">
        <v>37</v>
      </c>
      <c r="C47" s="42" t="str">
        <f>[4]Theory!A61</f>
        <v>2023-IT-68</v>
      </c>
      <c r="D47" s="43" t="str">
        <f>[4]Theory!B61</f>
        <v>Muhammad Mubashir</v>
      </c>
      <c r="E47" s="44">
        <f>[4]Theory!D61</f>
        <v>7</v>
      </c>
      <c r="F47" s="45">
        <v>8</v>
      </c>
      <c r="G47" s="45">
        <v>8</v>
      </c>
      <c r="H47" s="46">
        <v>8</v>
      </c>
      <c r="I47" s="47">
        <f>[4]Theory!E61</f>
        <v>24</v>
      </c>
      <c r="J47" s="48">
        <f>[4]Theory!H61</f>
        <v>7</v>
      </c>
      <c r="K47" s="44">
        <f>[4]Theory!F61</f>
        <v>10</v>
      </c>
      <c r="L47" s="49">
        <v>12</v>
      </c>
      <c r="M47" s="49">
        <v>9</v>
      </c>
      <c r="N47" s="49">
        <v>10</v>
      </c>
      <c r="O47" s="50">
        <f>[4]Theory!G61</f>
        <v>31</v>
      </c>
      <c r="P47" s="47">
        <f t="shared" si="1"/>
        <v>79</v>
      </c>
      <c r="Q47" s="51" t="str">
        <f>[4]Theory!J61</f>
        <v>B+</v>
      </c>
      <c r="R47" s="57"/>
      <c r="S47" s="53">
        <f t="shared" si="2"/>
        <v>27</v>
      </c>
      <c r="T47" s="54">
        <f t="shared" si="3"/>
        <v>35</v>
      </c>
      <c r="U47" s="54">
        <f t="shared" si="4"/>
        <v>17</v>
      </c>
      <c r="V47" s="54">
        <f t="shared" si="5"/>
        <v>79</v>
      </c>
      <c r="W47" s="54"/>
      <c r="X47" s="54"/>
      <c r="Y47" s="55" t="str">
        <f t="shared" si="6"/>
        <v>Y</v>
      </c>
      <c r="Z47" s="55"/>
      <c r="AA47" s="56"/>
    </row>
    <row r="48" spans="2:27" ht="29.1" customHeight="1" thickBot="1" x14ac:dyDescent="0.45">
      <c r="B48" s="41">
        <v>38</v>
      </c>
      <c r="C48" s="42" t="str">
        <f>[4]Theory!A62</f>
        <v>2023-IT-70</v>
      </c>
      <c r="D48" s="43" t="str">
        <f>[4]Theory!B62</f>
        <v>Muhammad Usama</v>
      </c>
      <c r="E48" s="44">
        <f>[4]Theory!D62</f>
        <v>0</v>
      </c>
      <c r="F48" s="45">
        <v>0</v>
      </c>
      <c r="G48" s="45">
        <v>0</v>
      </c>
      <c r="H48" s="46">
        <v>0</v>
      </c>
      <c r="I48" s="47">
        <f>[4]Theory!E62</f>
        <v>0</v>
      </c>
      <c r="J48" s="48">
        <f>[4]Theory!H62</f>
        <v>0</v>
      </c>
      <c r="K48" s="44">
        <f>[4]Theory!F62</f>
        <v>0</v>
      </c>
      <c r="L48" s="49">
        <v>0</v>
      </c>
      <c r="M48" s="49">
        <v>0</v>
      </c>
      <c r="N48" s="49">
        <v>0</v>
      </c>
      <c r="O48" s="50">
        <f>[4]Theory!G62</f>
        <v>0</v>
      </c>
      <c r="P48" s="47">
        <f t="shared" si="1"/>
        <v>0</v>
      </c>
      <c r="Q48" s="51" t="str">
        <f>[4]Theory!J62</f>
        <v>F</v>
      </c>
      <c r="R48" s="57"/>
      <c r="S48" s="53">
        <f t="shared" si="2"/>
        <v>0</v>
      </c>
      <c r="T48" s="54">
        <f t="shared" si="3"/>
        <v>0</v>
      </c>
      <c r="U48" s="54">
        <f t="shared" si="4"/>
        <v>0</v>
      </c>
      <c r="V48" s="54">
        <f t="shared" si="5"/>
        <v>0</v>
      </c>
      <c r="W48" s="54"/>
      <c r="X48" s="54"/>
      <c r="Y48" s="55" t="str">
        <f t="shared" si="6"/>
        <v>N</v>
      </c>
      <c r="Z48" s="55"/>
      <c r="AA48" s="56"/>
    </row>
    <row r="49" spans="2:27" ht="29.1" customHeight="1" thickBot="1" x14ac:dyDescent="0.45">
      <c r="B49" s="41">
        <v>39</v>
      </c>
      <c r="C49" s="42" t="str">
        <f>[4]Theory!A63</f>
        <v>2023-IT-72</v>
      </c>
      <c r="D49" s="43" t="str">
        <f>[4]Theory!B63</f>
        <v>Muhammad Zohaib Akhtar</v>
      </c>
      <c r="E49" s="44">
        <f>[4]Theory!D63</f>
        <v>7</v>
      </c>
      <c r="F49" s="45">
        <v>8</v>
      </c>
      <c r="G49" s="45">
        <v>8</v>
      </c>
      <c r="H49" s="46">
        <v>8</v>
      </c>
      <c r="I49" s="47">
        <f>[4]Theory!E63</f>
        <v>24</v>
      </c>
      <c r="J49" s="48">
        <f>[4]Theory!H63</f>
        <v>8</v>
      </c>
      <c r="K49" s="44">
        <f>[4]Theory!F63</f>
        <v>10</v>
      </c>
      <c r="L49" s="49">
        <v>8</v>
      </c>
      <c r="M49" s="49">
        <v>9</v>
      </c>
      <c r="N49" s="49">
        <v>11</v>
      </c>
      <c r="O49" s="50">
        <f>[4]Theory!G63</f>
        <v>29</v>
      </c>
      <c r="P49" s="47">
        <f t="shared" si="1"/>
        <v>78</v>
      </c>
      <c r="Q49" s="51" t="str">
        <f>[4]Theory!J63</f>
        <v>B+</v>
      </c>
      <c r="R49" s="57"/>
      <c r="S49" s="53">
        <f t="shared" si="2"/>
        <v>23</v>
      </c>
      <c r="T49" s="54">
        <f t="shared" si="3"/>
        <v>35</v>
      </c>
      <c r="U49" s="54">
        <f t="shared" si="4"/>
        <v>19</v>
      </c>
      <c r="V49" s="54">
        <f t="shared" si="5"/>
        <v>77</v>
      </c>
      <c r="W49" s="54"/>
      <c r="X49" s="54"/>
      <c r="Y49" s="55" t="str">
        <f t="shared" si="6"/>
        <v>Y</v>
      </c>
      <c r="Z49" s="55"/>
      <c r="AA49" s="56"/>
    </row>
    <row r="50" spans="2:27" ht="29.1" customHeight="1" thickBot="1" x14ac:dyDescent="0.45">
      <c r="B50" s="41">
        <v>40</v>
      </c>
      <c r="C50" s="42" t="str">
        <f>[4]Theory!A64</f>
        <v>2023-IT-74</v>
      </c>
      <c r="D50" s="43" t="str">
        <f>[4]Theory!B64</f>
        <v>Ashir Mudassir</v>
      </c>
      <c r="E50" s="44">
        <f>[4]Theory!D64</f>
        <v>7</v>
      </c>
      <c r="F50" s="45">
        <v>9</v>
      </c>
      <c r="G50" s="45">
        <v>8</v>
      </c>
      <c r="H50" s="46">
        <v>8</v>
      </c>
      <c r="I50" s="47">
        <f>[4]Theory!E64</f>
        <v>25</v>
      </c>
      <c r="J50" s="48">
        <f>[4]Theory!H64</f>
        <v>9</v>
      </c>
      <c r="K50" s="44">
        <f>[4]Theory!F64</f>
        <v>10</v>
      </c>
      <c r="L50" s="49">
        <v>11</v>
      </c>
      <c r="M50" s="49">
        <v>10</v>
      </c>
      <c r="N50" s="49">
        <v>12</v>
      </c>
      <c r="O50" s="50">
        <f>[4]Theory!G64</f>
        <v>33</v>
      </c>
      <c r="P50" s="47">
        <f t="shared" si="1"/>
        <v>84</v>
      </c>
      <c r="Q50" s="51" t="str">
        <f>[4]Theory!J64</f>
        <v>A-</v>
      </c>
      <c r="R50" s="57"/>
      <c r="S50" s="53">
        <f t="shared" si="2"/>
        <v>27</v>
      </c>
      <c r="T50" s="54">
        <f t="shared" si="3"/>
        <v>36</v>
      </c>
      <c r="U50" s="54">
        <f t="shared" si="4"/>
        <v>21</v>
      </c>
      <c r="V50" s="54">
        <f t="shared" si="5"/>
        <v>84</v>
      </c>
      <c r="W50" s="54"/>
      <c r="X50" s="54"/>
      <c r="Y50" s="55" t="str">
        <f t="shared" si="6"/>
        <v>Y</v>
      </c>
      <c r="Z50" s="55"/>
      <c r="AA50" s="56"/>
    </row>
    <row r="51" spans="2:27" ht="29.1" customHeight="1" thickBot="1" x14ac:dyDescent="0.45">
      <c r="B51" s="41">
        <v>41</v>
      </c>
      <c r="C51" s="42" t="str">
        <f>[4]Theory!A65</f>
        <v>2023-IT-76</v>
      </c>
      <c r="D51" s="43" t="str">
        <f>[4]Theory!B65</f>
        <v>Rao Usama</v>
      </c>
      <c r="E51" s="44">
        <f>[4]Theory!D65</f>
        <v>6</v>
      </c>
      <c r="F51" s="45">
        <v>10</v>
      </c>
      <c r="G51" s="45">
        <v>0</v>
      </c>
      <c r="H51" s="46">
        <v>7</v>
      </c>
      <c r="I51" s="47">
        <f>[4]Theory!E65</f>
        <v>17</v>
      </c>
      <c r="J51" s="48">
        <f>[4]Theory!H65</f>
        <v>8</v>
      </c>
      <c r="K51" s="44">
        <f>[4]Theory!F65</f>
        <v>10</v>
      </c>
      <c r="L51" s="49">
        <v>8</v>
      </c>
      <c r="M51" s="49">
        <v>7</v>
      </c>
      <c r="N51" s="49">
        <v>10</v>
      </c>
      <c r="O51" s="50">
        <f>[4]Theory!G65</f>
        <v>25</v>
      </c>
      <c r="P51" s="47">
        <f t="shared" si="1"/>
        <v>66</v>
      </c>
      <c r="Q51" s="51" t="str">
        <f>[4]Theory!J65</f>
        <v>B</v>
      </c>
      <c r="R51" s="57"/>
      <c r="S51" s="53">
        <f t="shared" si="2"/>
        <v>24</v>
      </c>
      <c r="T51" s="54">
        <f t="shared" si="3"/>
        <v>24</v>
      </c>
      <c r="U51" s="54">
        <f t="shared" si="4"/>
        <v>18</v>
      </c>
      <c r="V51" s="54">
        <f t="shared" si="5"/>
        <v>66</v>
      </c>
      <c r="W51" s="54"/>
      <c r="X51" s="54"/>
      <c r="Y51" s="55" t="str">
        <f t="shared" si="6"/>
        <v>Y</v>
      </c>
      <c r="Z51" s="55"/>
      <c r="AA51" s="56"/>
    </row>
    <row r="52" spans="2:27" ht="29.1" customHeight="1" thickBot="1" x14ac:dyDescent="0.45">
      <c r="B52" s="41">
        <v>42</v>
      </c>
      <c r="C52" s="42" t="str">
        <f>[4]Theory!A66</f>
        <v>2023-IT-78</v>
      </c>
      <c r="D52" s="43" t="str">
        <f>[4]Theory!B66</f>
        <v>Muhammad Zaman</v>
      </c>
      <c r="E52" s="44">
        <f>[4]Theory!D66</f>
        <v>6</v>
      </c>
      <c r="F52" s="45">
        <v>10</v>
      </c>
      <c r="G52" s="45">
        <v>4</v>
      </c>
      <c r="H52" s="46">
        <v>10</v>
      </c>
      <c r="I52" s="47">
        <f>[4]Theory!E66</f>
        <v>24</v>
      </c>
      <c r="J52" s="48">
        <f>[4]Theory!H66</f>
        <v>7</v>
      </c>
      <c r="K52" s="44">
        <f>[4]Theory!F66</f>
        <v>10</v>
      </c>
      <c r="L52" s="49">
        <v>10</v>
      </c>
      <c r="M52" s="49">
        <v>9</v>
      </c>
      <c r="N52" s="49">
        <v>8</v>
      </c>
      <c r="O52" s="50">
        <f>[4]Theory!G66</f>
        <v>27</v>
      </c>
      <c r="P52" s="47">
        <f t="shared" si="1"/>
        <v>74</v>
      </c>
      <c r="Q52" s="51" t="str">
        <f>[4]Theory!J66</f>
        <v>B+</v>
      </c>
      <c r="R52" s="57"/>
      <c r="S52" s="53">
        <f t="shared" si="2"/>
        <v>26</v>
      </c>
      <c r="T52" s="54">
        <f t="shared" si="3"/>
        <v>33</v>
      </c>
      <c r="U52" s="54">
        <f t="shared" si="4"/>
        <v>15</v>
      </c>
      <c r="V52" s="54">
        <f t="shared" si="5"/>
        <v>74</v>
      </c>
      <c r="W52" s="54"/>
      <c r="X52" s="54"/>
      <c r="Y52" s="55" t="str">
        <f t="shared" si="6"/>
        <v>Y</v>
      </c>
      <c r="Z52" s="55"/>
      <c r="AA52" s="56"/>
    </row>
    <row r="53" spans="2:27" ht="29.1" customHeight="1" thickBot="1" x14ac:dyDescent="0.45">
      <c r="B53" s="41">
        <v>43</v>
      </c>
      <c r="C53" s="42" t="str">
        <f>[4]Theory!A67</f>
        <v>2023-IT-79</v>
      </c>
      <c r="D53" s="43" t="str">
        <f>[4]Theory!B67</f>
        <v>Iqra Moeen</v>
      </c>
      <c r="E53" s="44">
        <f>[4]Theory!D67</f>
        <v>3</v>
      </c>
      <c r="F53" s="45">
        <v>9</v>
      </c>
      <c r="G53" s="45">
        <v>4</v>
      </c>
      <c r="H53" s="46">
        <v>10</v>
      </c>
      <c r="I53" s="47">
        <f>[4]Theory!E67</f>
        <v>23</v>
      </c>
      <c r="J53" s="48">
        <f>[4]Theory!H67</f>
        <v>8</v>
      </c>
      <c r="K53" s="44">
        <f>[4]Theory!F67</f>
        <v>10</v>
      </c>
      <c r="L53" s="49">
        <v>7</v>
      </c>
      <c r="M53" s="49">
        <v>8</v>
      </c>
      <c r="N53" s="49">
        <v>10</v>
      </c>
      <c r="O53" s="50">
        <f>[4]Theory!G67</f>
        <v>25</v>
      </c>
      <c r="P53" s="47">
        <f t="shared" si="1"/>
        <v>69</v>
      </c>
      <c r="Q53" s="51" t="str">
        <f>[4]Theory!J67</f>
        <v>B</v>
      </c>
      <c r="R53" s="57"/>
      <c r="S53" s="53">
        <f t="shared" si="2"/>
        <v>19</v>
      </c>
      <c r="T53" s="54">
        <f t="shared" si="3"/>
        <v>32</v>
      </c>
      <c r="U53" s="54">
        <f t="shared" si="4"/>
        <v>18</v>
      </c>
      <c r="V53" s="54">
        <f t="shared" si="5"/>
        <v>69</v>
      </c>
      <c r="W53" s="54"/>
      <c r="X53" s="54"/>
      <c r="Y53" s="55" t="str">
        <f t="shared" si="6"/>
        <v>Y</v>
      </c>
      <c r="Z53" s="55"/>
      <c r="AA53" s="56"/>
    </row>
    <row r="54" spans="2:27" ht="29.1" customHeight="1" thickBot="1" x14ac:dyDescent="0.45">
      <c r="B54" s="41">
        <v>44</v>
      </c>
      <c r="C54" s="42" t="str">
        <f>[4]Theory!A68</f>
        <v>2023-IT-80</v>
      </c>
      <c r="D54" s="43" t="str">
        <f>[4]Theory!B68</f>
        <v>Ali Raza</v>
      </c>
      <c r="E54" s="44">
        <f>[4]Theory!D68</f>
        <v>6</v>
      </c>
      <c r="F54" s="45">
        <v>9</v>
      </c>
      <c r="G54" s="45">
        <v>9</v>
      </c>
      <c r="H54" s="46">
        <v>7</v>
      </c>
      <c r="I54" s="47">
        <f>[4]Theory!E68</f>
        <v>25</v>
      </c>
      <c r="J54" s="48">
        <f>[4]Theory!H68</f>
        <v>8</v>
      </c>
      <c r="K54" s="44">
        <f>[4]Theory!F68</f>
        <v>10</v>
      </c>
      <c r="L54" s="49">
        <v>10</v>
      </c>
      <c r="M54" s="49">
        <v>8</v>
      </c>
      <c r="N54" s="49">
        <v>7</v>
      </c>
      <c r="O54" s="50">
        <f>[4]Theory!G68</f>
        <v>25</v>
      </c>
      <c r="P54" s="47">
        <f t="shared" si="1"/>
        <v>74</v>
      </c>
      <c r="Q54" s="51" t="str">
        <f>[4]Theory!J68</f>
        <v>B+</v>
      </c>
      <c r="R54" s="57"/>
      <c r="S54" s="53">
        <f t="shared" si="2"/>
        <v>25</v>
      </c>
      <c r="T54" s="54">
        <f t="shared" si="3"/>
        <v>34</v>
      </c>
      <c r="U54" s="54">
        <f t="shared" si="4"/>
        <v>15</v>
      </c>
      <c r="V54" s="54">
        <f t="shared" si="5"/>
        <v>74</v>
      </c>
      <c r="W54" s="54"/>
      <c r="X54" s="54"/>
      <c r="Y54" s="55" t="str">
        <f t="shared" si="6"/>
        <v>Y</v>
      </c>
      <c r="Z54" s="55"/>
      <c r="AA54" s="56"/>
    </row>
    <row r="55" spans="2:27" ht="29.1" customHeight="1" thickBot="1" x14ac:dyDescent="0.45">
      <c r="B55" s="41"/>
      <c r="C55" s="42"/>
      <c r="D55" s="43"/>
      <c r="E55" s="44"/>
      <c r="F55" s="45"/>
      <c r="G55" s="45"/>
      <c r="H55" s="46"/>
      <c r="I55" s="47"/>
      <c r="J55" s="48"/>
      <c r="K55" s="44"/>
      <c r="L55" s="49"/>
      <c r="M55" s="49"/>
      <c r="N55" s="49"/>
      <c r="O55" s="50"/>
      <c r="P55" s="47"/>
      <c r="Q55" s="51"/>
      <c r="R55" s="57"/>
      <c r="S55" s="53"/>
      <c r="T55" s="54"/>
      <c r="U55" s="54"/>
      <c r="V55" s="54"/>
      <c r="W55" s="54"/>
      <c r="X55" s="54"/>
      <c r="Y55" s="55"/>
      <c r="Z55" s="55"/>
      <c r="AA55" s="56"/>
    </row>
    <row r="56" spans="2:27" ht="27" thickBot="1" x14ac:dyDescent="0.3">
      <c r="B56" s="58"/>
      <c r="C56" s="59"/>
      <c r="D56" s="59"/>
      <c r="E56" s="59"/>
      <c r="F56" s="59"/>
      <c r="G56" s="60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7"/>
      <c r="S56" s="53"/>
      <c r="T56" s="54"/>
      <c r="U56" s="54"/>
      <c r="V56" s="54"/>
      <c r="W56" s="54"/>
      <c r="X56" s="54"/>
      <c r="Y56" s="55"/>
      <c r="Z56" s="55"/>
      <c r="AA56" s="56"/>
    </row>
    <row r="57" spans="2:27" ht="27" thickBot="1" x14ac:dyDescent="0.35">
      <c r="B57" s="373" t="s">
        <v>30</v>
      </c>
      <c r="C57" s="373"/>
      <c r="D57" s="373"/>
      <c r="E57" s="61"/>
      <c r="F57" s="61" t="s">
        <v>31</v>
      </c>
      <c r="G57" s="61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7"/>
      <c r="S57" s="53"/>
      <c r="T57" s="54"/>
      <c r="U57" s="54"/>
      <c r="V57" s="54"/>
      <c r="W57" s="54"/>
      <c r="X57" s="54"/>
      <c r="Y57" s="55"/>
      <c r="Z57" s="55"/>
      <c r="AA57" s="56"/>
    </row>
    <row r="58" spans="2:27" ht="26.25" x14ac:dyDescent="0.3">
      <c r="B58" s="374" t="str">
        <f>D64</f>
        <v>Abdul Nasir Zamir</v>
      </c>
      <c r="C58" s="374"/>
      <c r="D58" s="374"/>
      <c r="E58" s="63"/>
      <c r="F58" s="62" t="s">
        <v>32</v>
      </c>
      <c r="G58" s="6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7"/>
      <c r="S58" s="53"/>
      <c r="T58" s="54"/>
      <c r="U58" s="54"/>
      <c r="V58" s="54"/>
      <c r="W58" s="54"/>
      <c r="X58" s="54"/>
      <c r="Y58" s="55"/>
      <c r="Z58" s="55"/>
      <c r="AA58" s="56"/>
    </row>
    <row r="61" spans="2:27" ht="42" customHeight="1" x14ac:dyDescent="0.25"/>
    <row r="62" spans="2:27" ht="24.95" customHeight="1" x14ac:dyDescent="0.25">
      <c r="B62" s="375" t="str">
        <f>B1</f>
        <v>MNS - UNIVERSITY OF ENGINEERING AND TECHNOLOGY MULTAN</v>
      </c>
      <c r="C62" s="375"/>
      <c r="D62" s="375"/>
      <c r="E62" s="375"/>
      <c r="F62" s="375"/>
      <c r="G62" s="375"/>
      <c r="H62" s="375"/>
      <c r="I62" s="375"/>
    </row>
    <row r="63" spans="2:27" ht="25.5" customHeight="1" x14ac:dyDescent="0.25">
      <c r="B63" s="359" t="str">
        <f>E3</f>
        <v>Title (Code):  Teaching of the Holy Quran-I (QS-110)</v>
      </c>
      <c r="C63" s="360"/>
      <c r="D63" s="363" t="str">
        <f>S1</f>
        <v>Fall 2023</v>
      </c>
      <c r="E63" s="363"/>
      <c r="F63" s="363"/>
      <c r="G63" s="363"/>
      <c r="H63" s="363"/>
      <c r="I63" s="363"/>
    </row>
    <row r="64" spans="2:27" ht="34.5" customHeight="1" x14ac:dyDescent="0.25">
      <c r="B64" s="361"/>
      <c r="C64" s="362"/>
      <c r="D64" s="363" t="str">
        <f>X1</f>
        <v>Abdul Nasir Zamir</v>
      </c>
      <c r="E64" s="363"/>
      <c r="F64" s="363"/>
      <c r="G64" s="363"/>
      <c r="H64" s="363"/>
      <c r="I64" s="363"/>
    </row>
    <row r="65" spans="2:9" ht="25.5" x14ac:dyDescent="0.25">
      <c r="B65" s="379" t="s">
        <v>33</v>
      </c>
      <c r="C65" s="379"/>
      <c r="D65" s="379"/>
      <c r="E65" s="379"/>
      <c r="F65" s="379"/>
      <c r="G65" s="379"/>
      <c r="H65" s="379"/>
      <c r="I65" s="379"/>
    </row>
    <row r="66" spans="2:9" x14ac:dyDescent="0.25">
      <c r="B66" s="380"/>
      <c r="C66" s="380"/>
      <c r="D66" s="380"/>
      <c r="E66" s="380"/>
      <c r="F66" s="380"/>
      <c r="G66" s="380"/>
      <c r="H66" s="380"/>
      <c r="I66" s="380"/>
    </row>
    <row r="68" spans="2:9" x14ac:dyDescent="0.25">
      <c r="B68" s="1"/>
      <c r="C68" s="1"/>
      <c r="D68" s="317" t="s">
        <v>34</v>
      </c>
      <c r="E68" s="317"/>
      <c r="F68" s="317"/>
      <c r="G68" s="317"/>
      <c r="H68" s="317"/>
      <c r="I68" s="317"/>
    </row>
    <row r="69" spans="2:9" ht="20.25" customHeight="1" x14ac:dyDescent="0.25">
      <c r="B69" s="1" t="s">
        <v>25</v>
      </c>
      <c r="C69" s="1" t="s">
        <v>35</v>
      </c>
      <c r="D69" s="1" t="s">
        <v>36</v>
      </c>
      <c r="E69" s="66"/>
      <c r="F69" s="381" t="s">
        <v>37</v>
      </c>
      <c r="G69" s="315"/>
      <c r="H69" s="315"/>
      <c r="I69" s="316"/>
    </row>
    <row r="70" spans="2:9" x14ac:dyDescent="0.25">
      <c r="B70" s="58">
        <v>1</v>
      </c>
      <c r="C70" s="58">
        <f>S6</f>
        <v>1</v>
      </c>
      <c r="D70" s="58">
        <f>COUNTIF($Y$11:$Y$55,Y10)</f>
        <v>38</v>
      </c>
      <c r="E70" s="67"/>
      <c r="F70" s="376">
        <f>COUNTIF($Y$11:$Y$55,Z10)</f>
        <v>0</v>
      </c>
      <c r="G70" s="377"/>
      <c r="H70" s="377"/>
      <c r="I70" s="378"/>
    </row>
    <row r="71" spans="2:9" x14ac:dyDescent="0.25">
      <c r="B71" s="58">
        <v>2</v>
      </c>
      <c r="C71" s="58">
        <f>T6</f>
        <v>0</v>
      </c>
      <c r="D71" s="58">
        <f>COUNTIF($Z$11:$Z$55,Z11)</f>
        <v>0</v>
      </c>
      <c r="E71" s="67"/>
      <c r="F71" s="376">
        <f>COUNTIF($Z$11:$Z$55,Z10)</f>
        <v>0</v>
      </c>
      <c r="G71" s="377"/>
      <c r="H71" s="377"/>
      <c r="I71" s="378"/>
    </row>
    <row r="72" spans="2:9" x14ac:dyDescent="0.25">
      <c r="B72" s="58">
        <v>3</v>
      </c>
      <c r="C72" s="58">
        <f>U6</f>
        <v>0</v>
      </c>
      <c r="D72" s="58">
        <f>COUNTIF($AA$11:$AA$55,Y10)</f>
        <v>0</v>
      </c>
      <c r="E72" s="67"/>
      <c r="F72" s="376">
        <f>COUNTIF($AA$11:$AA$55,Z10)</f>
        <v>0</v>
      </c>
      <c r="G72" s="377"/>
      <c r="H72" s="377"/>
      <c r="I72" s="378"/>
    </row>
    <row r="101" spans="3:3" x14ac:dyDescent="0.25">
      <c r="C101" s="2" t="s">
        <v>38</v>
      </c>
    </row>
  </sheetData>
  <mergeCells count="40">
    <mergeCell ref="F72:I72"/>
    <mergeCell ref="B65:I65"/>
    <mergeCell ref="B66:I66"/>
    <mergeCell ref="D68:I68"/>
    <mergeCell ref="F69:I69"/>
    <mergeCell ref="F70:I70"/>
    <mergeCell ref="F71:I71"/>
    <mergeCell ref="B63:C64"/>
    <mergeCell ref="D63:I63"/>
    <mergeCell ref="D64:I64"/>
    <mergeCell ref="B5:D5"/>
    <mergeCell ref="F5:I5"/>
    <mergeCell ref="F10:Q10"/>
    <mergeCell ref="B57:D57"/>
    <mergeCell ref="B58:D58"/>
    <mergeCell ref="B62:I62"/>
    <mergeCell ref="V5:X7"/>
    <mergeCell ref="Y5:AA7"/>
    <mergeCell ref="B6:D6"/>
    <mergeCell ref="B7:D7"/>
    <mergeCell ref="R7:R10"/>
    <mergeCell ref="S8:U8"/>
    <mergeCell ref="V8:X8"/>
    <mergeCell ref="Y8:AA8"/>
    <mergeCell ref="V10:X10"/>
    <mergeCell ref="B3:D3"/>
    <mergeCell ref="E3:Q3"/>
    <mergeCell ref="R3:AA3"/>
    <mergeCell ref="B4:D4"/>
    <mergeCell ref="F4:I4"/>
    <mergeCell ref="L4:O4"/>
    <mergeCell ref="R4:AA4"/>
    <mergeCell ref="B2:H2"/>
    <mergeCell ref="I2:Q2"/>
    <mergeCell ref="R2:AA2"/>
    <mergeCell ref="B1:K1"/>
    <mergeCell ref="L1:O1"/>
    <mergeCell ref="P1:R1"/>
    <mergeCell ref="S1:W1"/>
    <mergeCell ref="X1:AA1"/>
  </mergeCells>
  <pageMargins left="0" right="0" top="0" bottom="0" header="0.31496062992125984" footer="0.31496062992125984"/>
  <pageSetup scale="3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481D-8219-495E-AD00-465C3B91D6A0}">
  <sheetPr>
    <pageSetUpPr fitToPage="1"/>
  </sheetPr>
  <dimension ref="B1:AA101"/>
  <sheetViews>
    <sheetView topLeftCell="D1" zoomScale="44" zoomScaleNormal="44" zoomScalePageLayoutView="22" workbookViewId="0">
      <pane ySplit="9" topLeftCell="A10" activePane="bottomLeft" state="frozen"/>
      <selection activeCell="B1" sqref="B1"/>
      <selection pane="bottomLeft" activeCell="W11" sqref="W11"/>
    </sheetView>
  </sheetViews>
  <sheetFormatPr defaultColWidth="9.140625" defaultRowHeight="20.25" x14ac:dyDescent="0.25"/>
  <cols>
    <col min="1" max="1" width="7.7109375" style="2" customWidth="1"/>
    <col min="2" max="2" width="11.140625" style="64" customWidth="1"/>
    <col min="3" max="3" width="63.28515625" style="2" customWidth="1"/>
    <col min="4" max="4" width="49.140625" style="2" customWidth="1"/>
    <col min="5" max="5" width="21.7109375" style="2" customWidth="1"/>
    <col min="6" max="7" width="14.42578125" style="2" customWidth="1"/>
    <col min="8" max="8" width="15" style="2" customWidth="1"/>
    <col min="9" max="9" width="15.28515625" style="2" customWidth="1"/>
    <col min="10" max="10" width="22.85546875" style="2" customWidth="1"/>
    <col min="11" max="11" width="24.5703125" style="2" customWidth="1"/>
    <col min="12" max="13" width="18" style="2" customWidth="1"/>
    <col min="14" max="14" width="11.7109375" style="2" customWidth="1"/>
    <col min="15" max="15" width="19.85546875" style="2" customWidth="1"/>
    <col min="16" max="16" width="12.7109375" style="2" customWidth="1"/>
    <col min="17" max="17" width="18.28515625" style="2" customWidth="1"/>
    <col min="18" max="18" width="15.42578125" style="2" bestFit="1" customWidth="1"/>
    <col min="19" max="20" width="9.140625" style="2" customWidth="1"/>
    <col min="21" max="21" width="10.42578125" style="2" customWidth="1"/>
    <col min="22" max="22" width="9.140625" style="2" customWidth="1"/>
    <col min="23" max="23" width="11.140625" style="2" customWidth="1"/>
    <col min="24" max="24" width="11.85546875" style="2" customWidth="1"/>
    <col min="25" max="25" width="9.140625" style="2" customWidth="1"/>
    <col min="26" max="26" width="13.140625" style="2" customWidth="1"/>
    <col min="27" max="27" width="14.7109375" style="2" customWidth="1"/>
    <col min="28" max="16384" width="9.140625" style="2"/>
  </cols>
  <sheetData>
    <row r="1" spans="2:27" ht="51" customHeight="1" x14ac:dyDescent="0.25">
      <c r="B1" s="313" t="str">
        <f>[5]Theory!A1</f>
        <v>MNS - UNIVERSITY OF ENGINEERING AND TECHNOLOGY MULTAN</v>
      </c>
      <c r="C1" s="314"/>
      <c r="D1" s="314"/>
      <c r="E1" s="314"/>
      <c r="F1" s="314"/>
      <c r="G1" s="314"/>
      <c r="H1" s="314"/>
      <c r="I1" s="314"/>
      <c r="J1" s="314"/>
      <c r="K1" s="314"/>
      <c r="L1" s="315" t="str">
        <f>[5]Theory!B4</f>
        <v>Fall-2023-2027 (Evening-A)</v>
      </c>
      <c r="M1" s="315"/>
      <c r="N1" s="315"/>
      <c r="O1" s="316"/>
      <c r="P1" s="317" t="str">
        <f>[5]Theory!H3</f>
        <v>1st  Semester</v>
      </c>
      <c r="Q1" s="317"/>
      <c r="R1" s="317"/>
      <c r="S1" s="317" t="str">
        <f>[5]Theory!H4</f>
        <v>Fall 2023</v>
      </c>
      <c r="T1" s="317"/>
      <c r="U1" s="317"/>
      <c r="V1" s="317"/>
      <c r="W1" s="317"/>
      <c r="X1" s="317" t="str">
        <f>[5]Theory!H5</f>
        <v>Hina Zulfiqar</v>
      </c>
      <c r="Y1" s="317"/>
      <c r="Z1" s="317"/>
      <c r="AA1" s="317"/>
    </row>
    <row r="2" spans="2:27" ht="32.1" customHeight="1" thickBot="1" x14ac:dyDescent="0.3">
      <c r="B2" s="307" t="s">
        <v>0</v>
      </c>
      <c r="C2" s="308"/>
      <c r="D2" s="308"/>
      <c r="E2" s="308"/>
      <c r="F2" s="308"/>
      <c r="G2" s="308"/>
      <c r="H2" s="308"/>
      <c r="I2" s="308" t="str">
        <f>[5]Theory!B3</f>
        <v>BS Information Technology</v>
      </c>
      <c r="J2" s="308"/>
      <c r="K2" s="308"/>
      <c r="L2" s="308"/>
      <c r="M2" s="308"/>
      <c r="N2" s="308"/>
      <c r="O2" s="308"/>
      <c r="P2" s="308"/>
      <c r="Q2" s="309"/>
      <c r="R2" s="310" t="s">
        <v>1</v>
      </c>
      <c r="S2" s="311"/>
      <c r="T2" s="311"/>
      <c r="U2" s="311"/>
      <c r="V2" s="311"/>
      <c r="W2" s="311"/>
      <c r="X2" s="311"/>
      <c r="Y2" s="311"/>
      <c r="Z2" s="311"/>
      <c r="AA2" s="312"/>
    </row>
    <row r="3" spans="2:27" ht="32.1" customHeight="1" thickBot="1" x14ac:dyDescent="0.3">
      <c r="B3" s="318" t="s">
        <v>2</v>
      </c>
      <c r="C3" s="319"/>
      <c r="D3" s="319"/>
      <c r="E3" s="320" t="str">
        <f>[5]Theory!B5</f>
        <v>Title (Code):   Functional English  (ENG-115)</v>
      </c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2"/>
      <c r="R3" s="323"/>
      <c r="S3" s="324"/>
      <c r="T3" s="324"/>
      <c r="U3" s="324"/>
      <c r="V3" s="324"/>
      <c r="W3" s="324"/>
      <c r="X3" s="324"/>
      <c r="Y3" s="324"/>
      <c r="Z3" s="324"/>
      <c r="AA3" s="325"/>
    </row>
    <row r="4" spans="2:27" ht="59.25" customHeight="1" thickBot="1" x14ac:dyDescent="0.3">
      <c r="B4" s="326" t="s">
        <v>3</v>
      </c>
      <c r="C4" s="327"/>
      <c r="D4" s="328"/>
      <c r="E4" s="5" t="s">
        <v>4</v>
      </c>
      <c r="F4" s="329" t="s">
        <v>5</v>
      </c>
      <c r="G4" s="330"/>
      <c r="H4" s="330"/>
      <c r="I4" s="331"/>
      <c r="J4" s="5" t="s">
        <v>6</v>
      </c>
      <c r="K4" s="6" t="s">
        <v>7</v>
      </c>
      <c r="L4" s="329" t="s">
        <v>8</v>
      </c>
      <c r="M4" s="330"/>
      <c r="N4" s="330"/>
      <c r="O4" s="331"/>
      <c r="P4" s="7" t="s">
        <v>9</v>
      </c>
      <c r="Q4" s="8" t="s">
        <v>10</v>
      </c>
      <c r="R4" s="332" t="s">
        <v>11</v>
      </c>
      <c r="S4" s="333"/>
      <c r="T4" s="333"/>
      <c r="U4" s="333"/>
      <c r="V4" s="333"/>
      <c r="W4" s="333"/>
      <c r="X4" s="333"/>
      <c r="Y4" s="333"/>
      <c r="Z4" s="333"/>
      <c r="AA4" s="334"/>
    </row>
    <row r="5" spans="2:27" ht="50.25" customHeight="1" thickBot="1" x14ac:dyDescent="0.3">
      <c r="B5" s="364" t="s">
        <v>12</v>
      </c>
      <c r="C5" s="365"/>
      <c r="D5" s="366"/>
      <c r="E5" s="9">
        <v>10</v>
      </c>
      <c r="F5" s="367">
        <v>30</v>
      </c>
      <c r="G5" s="368"/>
      <c r="H5" s="369"/>
      <c r="I5" s="370"/>
      <c r="J5" s="9">
        <v>10</v>
      </c>
      <c r="K5" s="9">
        <v>10</v>
      </c>
      <c r="L5" s="10">
        <v>16</v>
      </c>
      <c r="M5" s="10">
        <v>14</v>
      </c>
      <c r="N5" s="10">
        <v>10</v>
      </c>
      <c r="O5" s="9">
        <v>40</v>
      </c>
      <c r="P5" s="9">
        <f>SUM(E5:N5)</f>
        <v>100</v>
      </c>
      <c r="Q5" s="11"/>
      <c r="R5" s="12" t="s">
        <v>13</v>
      </c>
      <c r="S5" s="13">
        <v>1</v>
      </c>
      <c r="T5" s="14">
        <v>2</v>
      </c>
      <c r="U5" s="14"/>
      <c r="V5" s="335"/>
      <c r="W5" s="336"/>
      <c r="X5" s="337"/>
      <c r="Y5" s="335"/>
      <c r="Z5" s="336"/>
      <c r="AA5" s="344"/>
    </row>
    <row r="6" spans="2:27" ht="56.25" customHeight="1" thickBot="1" x14ac:dyDescent="0.3">
      <c r="B6" s="347" t="s">
        <v>14</v>
      </c>
      <c r="C6" s="348"/>
      <c r="D6" s="349"/>
      <c r="E6" s="15" t="s">
        <v>15</v>
      </c>
      <c r="F6" s="15" t="s">
        <v>16</v>
      </c>
      <c r="G6" s="15" t="s">
        <v>17</v>
      </c>
      <c r="H6" s="15" t="s">
        <v>18</v>
      </c>
      <c r="I6" s="15" t="s">
        <v>9</v>
      </c>
      <c r="J6" s="15" t="s">
        <v>16</v>
      </c>
      <c r="K6" s="15" t="s">
        <v>16</v>
      </c>
      <c r="L6" s="15" t="s">
        <v>16</v>
      </c>
      <c r="M6" s="15" t="s">
        <v>17</v>
      </c>
      <c r="N6" s="15" t="s">
        <v>18</v>
      </c>
      <c r="O6" s="15" t="s">
        <v>9</v>
      </c>
      <c r="P6" s="16"/>
      <c r="Q6" s="17"/>
      <c r="R6" s="12" t="s">
        <v>19</v>
      </c>
      <c r="S6" s="13">
        <v>1</v>
      </c>
      <c r="T6" s="14">
        <v>7</v>
      </c>
      <c r="U6" s="14"/>
      <c r="V6" s="338"/>
      <c r="W6" s="339"/>
      <c r="X6" s="340"/>
      <c r="Y6" s="338"/>
      <c r="Z6" s="339"/>
      <c r="AA6" s="345"/>
    </row>
    <row r="7" spans="2:27" ht="32.1" customHeight="1" thickBot="1" x14ac:dyDescent="0.3">
      <c r="B7" s="347" t="s">
        <v>20</v>
      </c>
      <c r="C7" s="348"/>
      <c r="D7" s="349"/>
      <c r="E7" s="18">
        <v>10</v>
      </c>
      <c r="F7" s="15">
        <v>10</v>
      </c>
      <c r="G7" s="15">
        <v>10</v>
      </c>
      <c r="H7" s="15">
        <v>10</v>
      </c>
      <c r="I7" s="15">
        <f>F7+G7+H7</f>
        <v>30</v>
      </c>
      <c r="J7" s="15">
        <v>10</v>
      </c>
      <c r="K7" s="15">
        <v>10</v>
      </c>
      <c r="L7" s="15">
        <v>14</v>
      </c>
      <c r="M7" s="15">
        <v>16</v>
      </c>
      <c r="N7" s="15">
        <v>10</v>
      </c>
      <c r="O7" s="18">
        <v>40</v>
      </c>
      <c r="P7" s="15">
        <f>SUM(E7:H7,J7:N7)</f>
        <v>100</v>
      </c>
      <c r="Q7" s="17"/>
      <c r="R7" s="350"/>
      <c r="S7" s="13">
        <f>F7+E7+L7</f>
        <v>34</v>
      </c>
      <c r="T7" s="14">
        <v>66</v>
      </c>
      <c r="U7" s="14"/>
      <c r="V7" s="341"/>
      <c r="W7" s="342"/>
      <c r="X7" s="343"/>
      <c r="Y7" s="341"/>
      <c r="Z7" s="342"/>
      <c r="AA7" s="346"/>
    </row>
    <row r="8" spans="2:27" ht="69" customHeight="1" thickBot="1" x14ac:dyDescent="0.3">
      <c r="B8" s="19"/>
      <c r="C8" s="20"/>
      <c r="D8" s="21" t="s">
        <v>21</v>
      </c>
      <c r="E8" s="22">
        <f t="shared" ref="E8:O8" si="0">E7*0.5</f>
        <v>5</v>
      </c>
      <c r="F8" s="22">
        <f t="shared" si="0"/>
        <v>5</v>
      </c>
      <c r="G8" s="22">
        <f t="shared" si="0"/>
        <v>5</v>
      </c>
      <c r="H8" s="22">
        <f t="shared" si="0"/>
        <v>5</v>
      </c>
      <c r="I8" s="22">
        <f t="shared" si="0"/>
        <v>15</v>
      </c>
      <c r="J8" s="22">
        <f t="shared" si="0"/>
        <v>5</v>
      </c>
      <c r="K8" s="22">
        <f t="shared" si="0"/>
        <v>5</v>
      </c>
      <c r="L8" s="22">
        <f t="shared" si="0"/>
        <v>7</v>
      </c>
      <c r="M8" s="22">
        <f t="shared" si="0"/>
        <v>8</v>
      </c>
      <c r="N8" s="22">
        <f t="shared" si="0"/>
        <v>5</v>
      </c>
      <c r="O8" s="22">
        <f t="shared" si="0"/>
        <v>20</v>
      </c>
      <c r="P8" s="23">
        <f>SUM(E8:H8)+SUM(J8:J8)+SUM(K8:N8)</f>
        <v>50</v>
      </c>
      <c r="Q8" s="17"/>
      <c r="R8" s="351"/>
      <c r="S8" s="353" t="s">
        <v>22</v>
      </c>
      <c r="T8" s="354"/>
      <c r="U8" s="354"/>
      <c r="V8" s="355" t="s">
        <v>23</v>
      </c>
      <c r="W8" s="355"/>
      <c r="X8" s="355"/>
      <c r="Y8" s="356" t="s">
        <v>23</v>
      </c>
      <c r="Z8" s="357"/>
      <c r="AA8" s="358"/>
    </row>
    <row r="9" spans="2:27" ht="42.75" customHeight="1" thickBot="1" x14ac:dyDescent="0.3">
      <c r="B9" s="24"/>
      <c r="C9" s="25"/>
      <c r="D9" s="26" t="s">
        <v>24</v>
      </c>
      <c r="E9" s="27">
        <v>1</v>
      </c>
      <c r="F9" s="28">
        <v>1</v>
      </c>
      <c r="G9" s="28">
        <v>2</v>
      </c>
      <c r="H9" s="28">
        <v>2</v>
      </c>
      <c r="I9" s="22"/>
      <c r="J9" s="29">
        <v>2</v>
      </c>
      <c r="K9" s="29">
        <v>2</v>
      </c>
      <c r="L9" s="29">
        <v>1</v>
      </c>
      <c r="M9" s="29">
        <v>2</v>
      </c>
      <c r="N9" s="29">
        <v>2</v>
      </c>
      <c r="O9" s="27"/>
      <c r="P9" s="29"/>
      <c r="Q9" s="17"/>
      <c r="R9" s="351"/>
      <c r="S9" s="30">
        <f>S5</f>
        <v>1</v>
      </c>
      <c r="T9" s="14">
        <f>T5</f>
        <v>2</v>
      </c>
      <c r="U9" s="14"/>
      <c r="V9" s="14">
        <v>1</v>
      </c>
      <c r="W9" s="14">
        <v>7</v>
      </c>
      <c r="X9" s="31"/>
      <c r="Y9" s="31">
        <f>S6</f>
        <v>1</v>
      </c>
      <c r="Z9" s="14">
        <f>T6</f>
        <v>7</v>
      </c>
      <c r="AA9" s="32"/>
    </row>
    <row r="10" spans="2:27" ht="43.5" customHeight="1" thickBot="1" x14ac:dyDescent="0.3">
      <c r="B10" s="33" t="s">
        <v>25</v>
      </c>
      <c r="C10" s="34" t="s">
        <v>26</v>
      </c>
      <c r="D10" s="35" t="s">
        <v>27</v>
      </c>
      <c r="E10" s="36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2"/>
      <c r="R10" s="352"/>
      <c r="S10" s="37"/>
      <c r="T10" s="38"/>
      <c r="U10" s="38"/>
      <c r="V10" s="356"/>
      <c r="W10" s="357"/>
      <c r="X10" s="357"/>
      <c r="Y10" s="39" t="s">
        <v>28</v>
      </c>
      <c r="Z10" s="39" t="s">
        <v>29</v>
      </c>
      <c r="AA10" s="40"/>
    </row>
    <row r="11" spans="2:27" ht="29.1" customHeight="1" thickBot="1" x14ac:dyDescent="0.45">
      <c r="B11" s="41">
        <v>1</v>
      </c>
      <c r="C11" s="42" t="str">
        <f>[5]Theory!A25</f>
        <v>2023-IT-01</v>
      </c>
      <c r="D11" s="43" t="str">
        <f>[5]Theory!B25</f>
        <v>Rahma Noor</v>
      </c>
      <c r="E11" s="44">
        <f>[5]Theory!D25</f>
        <v>6</v>
      </c>
      <c r="F11" s="45">
        <v>5</v>
      </c>
      <c r="G11" s="45">
        <v>5</v>
      </c>
      <c r="H11" s="46">
        <v>0</v>
      </c>
      <c r="I11" s="47">
        <f>[5]Theory!E25</f>
        <v>10</v>
      </c>
      <c r="J11" s="48">
        <f>[5]Theory!H25</f>
        <v>8</v>
      </c>
      <c r="K11" s="44">
        <f>[5]Theory!F25</f>
        <v>9</v>
      </c>
      <c r="L11" s="49">
        <v>10</v>
      </c>
      <c r="M11" s="49">
        <v>12</v>
      </c>
      <c r="N11" s="49">
        <v>4</v>
      </c>
      <c r="O11" s="50">
        <f>[5]Theory!G25</f>
        <v>26</v>
      </c>
      <c r="P11" s="47">
        <f>E11+I11+J11+K11+O11</f>
        <v>59</v>
      </c>
      <c r="Q11" s="51" t="str">
        <f>[5]Theory!J25</f>
        <v>C+</v>
      </c>
      <c r="R11" s="52"/>
      <c r="S11" s="53">
        <f>E11+F11+L11</f>
        <v>21</v>
      </c>
      <c r="T11" s="54">
        <f>G11+H11+K11+M11+J11+N11</f>
        <v>38</v>
      </c>
      <c r="U11" s="54"/>
      <c r="V11" s="54">
        <f>((S11/$S$7)*100)</f>
        <v>61.764705882352942</v>
      </c>
      <c r="W11" s="54">
        <f>((T11/$T$7)*100)</f>
        <v>57.575757575757578</v>
      </c>
      <c r="X11" s="54"/>
      <c r="Y11" s="55" t="str">
        <f>IF(V11&gt;=50,"Y","N")</f>
        <v>Y</v>
      </c>
      <c r="Z11" s="55" t="str">
        <f>IF(W11&gt;=50,"Y","N")</f>
        <v>Y</v>
      </c>
      <c r="AA11" s="56"/>
    </row>
    <row r="12" spans="2:27" ht="29.1" customHeight="1" thickBot="1" x14ac:dyDescent="0.45">
      <c r="B12" s="41">
        <v>2</v>
      </c>
      <c r="C12" s="42" t="str">
        <f>[5]Theory!A26</f>
        <v>2023-IT-02</v>
      </c>
      <c r="D12" s="43" t="str">
        <f>[5]Theory!B26</f>
        <v>Alishba Manzoor</v>
      </c>
      <c r="E12" s="44">
        <f>[5]Theory!D26</f>
        <v>4</v>
      </c>
      <c r="F12" s="45">
        <v>4</v>
      </c>
      <c r="G12" s="45">
        <v>5</v>
      </c>
      <c r="H12" s="46">
        <v>0</v>
      </c>
      <c r="I12" s="47">
        <f>[5]Theory!E26</f>
        <v>9</v>
      </c>
      <c r="J12" s="48">
        <f>[5]Theory!H26</f>
        <v>8</v>
      </c>
      <c r="K12" s="44">
        <f>[5]Theory!F26</f>
        <v>5</v>
      </c>
      <c r="L12" s="49">
        <v>4</v>
      </c>
      <c r="M12" s="49">
        <v>7</v>
      </c>
      <c r="N12" s="49">
        <v>3</v>
      </c>
      <c r="O12" s="50">
        <f>[5]Theory!G26</f>
        <v>14</v>
      </c>
      <c r="P12" s="47">
        <f t="shared" ref="P12:P54" si="1">E12+I12+J12+K12+O12</f>
        <v>40</v>
      </c>
      <c r="Q12" s="51" t="str">
        <f>[5]Theory!J26</f>
        <v>C-</v>
      </c>
      <c r="R12" s="57"/>
      <c r="S12" s="53">
        <f t="shared" ref="S12:S54" si="2">E12+F12+L12</f>
        <v>12</v>
      </c>
      <c r="T12" s="54">
        <f t="shared" ref="T12:T54" si="3">G12+H12+K12+M12+J12+N12</f>
        <v>28</v>
      </c>
      <c r="U12" s="54"/>
      <c r="V12" s="54">
        <f t="shared" ref="V12:V54" si="4">((S12/$S$7)*100)</f>
        <v>35.294117647058826</v>
      </c>
      <c r="W12" s="54">
        <f t="shared" ref="W12:W54" si="5">((T12/$T$7)*100)</f>
        <v>42.424242424242422</v>
      </c>
      <c r="X12" s="54"/>
      <c r="Y12" s="55" t="str">
        <f t="shared" ref="Y12:Z54" si="6">IF(V12&gt;=50,"Y","N")</f>
        <v>N</v>
      </c>
      <c r="Z12" s="55" t="str">
        <f t="shared" si="6"/>
        <v>N</v>
      </c>
      <c r="AA12" s="56"/>
    </row>
    <row r="13" spans="2:27" ht="29.1" customHeight="1" thickBot="1" x14ac:dyDescent="0.45">
      <c r="B13" s="41">
        <v>3</v>
      </c>
      <c r="C13" s="42" t="str">
        <f>[5]Theory!A27</f>
        <v>2023-IT-03</v>
      </c>
      <c r="D13" s="43" t="str">
        <f>[5]Theory!B27</f>
        <v>Maheen Fatima</v>
      </c>
      <c r="E13" s="44">
        <f>[5]Theory!D27</f>
        <v>6</v>
      </c>
      <c r="F13" s="45">
        <v>6</v>
      </c>
      <c r="G13" s="45">
        <v>4</v>
      </c>
      <c r="H13" s="46">
        <v>2</v>
      </c>
      <c r="I13" s="47">
        <f>[5]Theory!E27</f>
        <v>12</v>
      </c>
      <c r="J13" s="48">
        <f>[5]Theory!H27</f>
        <v>8</v>
      </c>
      <c r="K13" s="44">
        <f>[5]Theory!F27</f>
        <v>7</v>
      </c>
      <c r="L13" s="49">
        <v>10</v>
      </c>
      <c r="M13" s="49">
        <v>10</v>
      </c>
      <c r="N13" s="49">
        <v>8</v>
      </c>
      <c r="O13" s="50">
        <f>[5]Theory!G27</f>
        <v>28</v>
      </c>
      <c r="P13" s="47">
        <f t="shared" si="1"/>
        <v>61</v>
      </c>
      <c r="Q13" s="51" t="str">
        <f>[5]Theory!J27</f>
        <v>B-</v>
      </c>
      <c r="R13" s="57"/>
      <c r="S13" s="53">
        <f t="shared" si="2"/>
        <v>22</v>
      </c>
      <c r="T13" s="54">
        <f t="shared" si="3"/>
        <v>39</v>
      </c>
      <c r="U13" s="54"/>
      <c r="V13" s="54">
        <f t="shared" si="4"/>
        <v>64.705882352941174</v>
      </c>
      <c r="W13" s="54">
        <f t="shared" si="5"/>
        <v>59.090909090909093</v>
      </c>
      <c r="X13" s="54"/>
      <c r="Y13" s="55" t="str">
        <f t="shared" si="6"/>
        <v>Y</v>
      </c>
      <c r="Z13" s="55" t="str">
        <f t="shared" si="6"/>
        <v>Y</v>
      </c>
      <c r="AA13" s="56"/>
    </row>
    <row r="14" spans="2:27" ht="29.1" customHeight="1" thickBot="1" x14ac:dyDescent="0.45">
      <c r="B14" s="41">
        <v>4</v>
      </c>
      <c r="C14" s="42" t="str">
        <f>[5]Theory!A28</f>
        <v>2023-IT-04</v>
      </c>
      <c r="D14" s="43" t="str">
        <f>[5]Theory!B28</f>
        <v>Aneela</v>
      </c>
      <c r="E14" s="44">
        <f>[5]Theory!D28</f>
        <v>7</v>
      </c>
      <c r="F14" s="45">
        <v>8</v>
      </c>
      <c r="G14" s="45">
        <v>8</v>
      </c>
      <c r="H14" s="46">
        <v>5</v>
      </c>
      <c r="I14" s="47">
        <f>[5]Theory!E28</f>
        <v>21</v>
      </c>
      <c r="J14" s="48">
        <f>[5]Theory!H28</f>
        <v>8</v>
      </c>
      <c r="K14" s="44">
        <f>[5]Theory!F28</f>
        <v>8</v>
      </c>
      <c r="L14" s="49">
        <v>12</v>
      </c>
      <c r="M14" s="49">
        <v>12</v>
      </c>
      <c r="N14" s="49">
        <v>6</v>
      </c>
      <c r="O14" s="50">
        <f>[5]Theory!G28</f>
        <v>30</v>
      </c>
      <c r="P14" s="47">
        <f t="shared" si="1"/>
        <v>74</v>
      </c>
      <c r="Q14" s="51" t="str">
        <f>[5]Theory!J28</f>
        <v>B+</v>
      </c>
      <c r="R14" s="57"/>
      <c r="S14" s="53">
        <f t="shared" si="2"/>
        <v>27</v>
      </c>
      <c r="T14" s="54">
        <f t="shared" si="3"/>
        <v>47</v>
      </c>
      <c r="U14" s="54"/>
      <c r="V14" s="54">
        <f t="shared" si="4"/>
        <v>79.411764705882348</v>
      </c>
      <c r="W14" s="54">
        <f t="shared" si="5"/>
        <v>71.212121212121218</v>
      </c>
      <c r="X14" s="54"/>
      <c r="Y14" s="55" t="str">
        <f t="shared" si="6"/>
        <v>Y</v>
      </c>
      <c r="Z14" s="55" t="str">
        <f t="shared" si="6"/>
        <v>Y</v>
      </c>
      <c r="AA14" s="56"/>
    </row>
    <row r="15" spans="2:27" ht="29.1" customHeight="1" thickBot="1" x14ac:dyDescent="0.45">
      <c r="B15" s="41">
        <v>5</v>
      </c>
      <c r="C15" s="42" t="str">
        <f>[5]Theory!A29</f>
        <v>2023-IT-05</v>
      </c>
      <c r="D15" s="43" t="str">
        <f>[5]Theory!B29</f>
        <v>Alishba Saleem</v>
      </c>
      <c r="E15" s="44">
        <f>[5]Theory!D29</f>
        <v>8</v>
      </c>
      <c r="F15" s="45">
        <v>7</v>
      </c>
      <c r="G15" s="45">
        <v>7</v>
      </c>
      <c r="H15" s="46">
        <v>2</v>
      </c>
      <c r="I15" s="47">
        <f>[5]Theory!E29</f>
        <v>16</v>
      </c>
      <c r="J15" s="48">
        <f>[5]Theory!H29</f>
        <v>8</v>
      </c>
      <c r="K15" s="44">
        <f>[5]Theory!F29</f>
        <v>8</v>
      </c>
      <c r="L15" s="49">
        <v>8</v>
      </c>
      <c r="M15" s="49">
        <v>8</v>
      </c>
      <c r="N15" s="49">
        <v>8</v>
      </c>
      <c r="O15" s="50">
        <f>[5]Theory!G29</f>
        <v>24</v>
      </c>
      <c r="P15" s="47">
        <f t="shared" si="1"/>
        <v>64</v>
      </c>
      <c r="Q15" s="51" t="str">
        <f>[5]Theory!J29</f>
        <v>B-</v>
      </c>
      <c r="R15" s="57"/>
      <c r="S15" s="53">
        <f t="shared" si="2"/>
        <v>23</v>
      </c>
      <c r="T15" s="54">
        <f t="shared" si="3"/>
        <v>41</v>
      </c>
      <c r="U15" s="54"/>
      <c r="V15" s="54">
        <f t="shared" si="4"/>
        <v>67.64705882352942</v>
      </c>
      <c r="W15" s="54">
        <f t="shared" si="5"/>
        <v>62.121212121212125</v>
      </c>
      <c r="X15" s="54"/>
      <c r="Y15" s="55" t="str">
        <f t="shared" si="6"/>
        <v>Y</v>
      </c>
      <c r="Z15" s="55" t="str">
        <f t="shared" si="6"/>
        <v>Y</v>
      </c>
      <c r="AA15" s="56"/>
    </row>
    <row r="16" spans="2:27" ht="29.1" customHeight="1" thickBot="1" x14ac:dyDescent="0.45">
      <c r="B16" s="41">
        <v>6</v>
      </c>
      <c r="C16" s="42" t="str">
        <f>[5]Theory!A30</f>
        <v>2023-IT-06</v>
      </c>
      <c r="D16" s="43" t="str">
        <f>[5]Theory!B30</f>
        <v>Mehak Asghar</v>
      </c>
      <c r="E16" s="44">
        <f>[5]Theory!D30</f>
        <v>8</v>
      </c>
      <c r="F16" s="45">
        <v>8</v>
      </c>
      <c r="G16" s="45">
        <v>8</v>
      </c>
      <c r="H16" s="46">
        <v>4</v>
      </c>
      <c r="I16" s="47">
        <f>[5]Theory!E30</f>
        <v>20</v>
      </c>
      <c r="J16" s="48">
        <f>[5]Theory!H30</f>
        <v>8</v>
      </c>
      <c r="K16" s="44">
        <f>[5]Theory!F30</f>
        <v>8</v>
      </c>
      <c r="L16" s="49">
        <v>9</v>
      </c>
      <c r="M16" s="49">
        <v>10</v>
      </c>
      <c r="N16" s="49">
        <v>10</v>
      </c>
      <c r="O16" s="50">
        <f>[5]Theory!G30</f>
        <v>29</v>
      </c>
      <c r="P16" s="47">
        <f t="shared" si="1"/>
        <v>73</v>
      </c>
      <c r="Q16" s="51" t="str">
        <f>[5]Theory!J30</f>
        <v>B+</v>
      </c>
      <c r="R16" s="57"/>
      <c r="S16" s="53">
        <f t="shared" si="2"/>
        <v>25</v>
      </c>
      <c r="T16" s="54">
        <f t="shared" si="3"/>
        <v>48</v>
      </c>
      <c r="U16" s="54"/>
      <c r="V16" s="54">
        <f t="shared" si="4"/>
        <v>73.529411764705884</v>
      </c>
      <c r="W16" s="54">
        <f t="shared" si="5"/>
        <v>72.727272727272734</v>
      </c>
      <c r="X16" s="54"/>
      <c r="Y16" s="55" t="str">
        <f t="shared" si="6"/>
        <v>Y</v>
      </c>
      <c r="Z16" s="55" t="str">
        <f t="shared" si="6"/>
        <v>Y</v>
      </c>
      <c r="AA16" s="56"/>
    </row>
    <row r="17" spans="2:27" ht="29.1" customHeight="1" thickBot="1" x14ac:dyDescent="0.45">
      <c r="B17" s="41">
        <v>7</v>
      </c>
      <c r="C17" s="42" t="str">
        <f>[5]Theory!A31</f>
        <v>2023-IT-07</v>
      </c>
      <c r="D17" s="43" t="str">
        <f>[5]Theory!B31</f>
        <v>Humaira Afzal</v>
      </c>
      <c r="E17" s="44">
        <f>[5]Theory!D31</f>
        <v>9</v>
      </c>
      <c r="F17" s="45">
        <v>8</v>
      </c>
      <c r="G17" s="45">
        <v>9</v>
      </c>
      <c r="H17" s="46">
        <v>3</v>
      </c>
      <c r="I17" s="47">
        <f>[5]Theory!E31</f>
        <v>20</v>
      </c>
      <c r="J17" s="48">
        <f>[5]Theory!H31</f>
        <v>8</v>
      </c>
      <c r="K17" s="44">
        <f>[5]Theory!F31</f>
        <v>9</v>
      </c>
      <c r="L17" s="49">
        <v>12</v>
      </c>
      <c r="M17" s="49">
        <v>13</v>
      </c>
      <c r="N17" s="49">
        <v>7</v>
      </c>
      <c r="O17" s="50">
        <f>[5]Theory!G31</f>
        <v>32</v>
      </c>
      <c r="P17" s="47">
        <f t="shared" si="1"/>
        <v>78</v>
      </c>
      <c r="Q17" s="51" t="str">
        <f>[5]Theory!J31</f>
        <v>A-</v>
      </c>
      <c r="R17" s="57"/>
      <c r="S17" s="53">
        <f t="shared" si="2"/>
        <v>29</v>
      </c>
      <c r="T17" s="54">
        <f t="shared" si="3"/>
        <v>49</v>
      </c>
      <c r="U17" s="54"/>
      <c r="V17" s="54">
        <f t="shared" si="4"/>
        <v>85.294117647058826</v>
      </c>
      <c r="W17" s="54">
        <f t="shared" si="5"/>
        <v>74.242424242424249</v>
      </c>
      <c r="X17" s="54"/>
      <c r="Y17" s="55" t="str">
        <f t="shared" si="6"/>
        <v>Y</v>
      </c>
      <c r="Z17" s="55" t="str">
        <f t="shared" si="6"/>
        <v>Y</v>
      </c>
      <c r="AA17" s="56"/>
    </row>
    <row r="18" spans="2:27" ht="29.1" customHeight="1" thickBot="1" x14ac:dyDescent="0.45">
      <c r="B18" s="41">
        <v>8</v>
      </c>
      <c r="C18" s="42" t="str">
        <f>[5]Theory!A32</f>
        <v>2023-IT-08</v>
      </c>
      <c r="D18" s="43" t="str">
        <f>[5]Theory!B32</f>
        <v>Saleena Khan</v>
      </c>
      <c r="E18" s="44">
        <f>[5]Theory!D32</f>
        <v>0</v>
      </c>
      <c r="F18" s="45">
        <v>0</v>
      </c>
      <c r="G18" s="45">
        <v>0</v>
      </c>
      <c r="H18" s="46">
        <v>0</v>
      </c>
      <c r="I18" s="47">
        <f>[5]Theory!E32</f>
        <v>0</v>
      </c>
      <c r="J18" s="48">
        <f>[5]Theory!H32</f>
        <v>0</v>
      </c>
      <c r="K18" s="44">
        <f>[5]Theory!F32</f>
        <v>0</v>
      </c>
      <c r="L18" s="49">
        <v>0</v>
      </c>
      <c r="M18" s="49">
        <v>0</v>
      </c>
      <c r="N18" s="49">
        <v>0</v>
      </c>
      <c r="O18" s="50">
        <f>[5]Theory!G32</f>
        <v>0</v>
      </c>
      <c r="P18" s="47">
        <f t="shared" si="1"/>
        <v>0</v>
      </c>
      <c r="Q18" s="51" t="str">
        <f>[5]Theory!J32</f>
        <v>F</v>
      </c>
      <c r="R18" s="57"/>
      <c r="S18" s="53">
        <f t="shared" si="2"/>
        <v>0</v>
      </c>
      <c r="T18" s="54">
        <f t="shared" si="3"/>
        <v>0</v>
      </c>
      <c r="U18" s="54"/>
      <c r="V18" s="54">
        <f t="shared" si="4"/>
        <v>0</v>
      </c>
      <c r="W18" s="54">
        <f t="shared" si="5"/>
        <v>0</v>
      </c>
      <c r="X18" s="54"/>
      <c r="Y18" s="55" t="str">
        <f t="shared" si="6"/>
        <v>N</v>
      </c>
      <c r="Z18" s="55" t="str">
        <f t="shared" si="6"/>
        <v>N</v>
      </c>
      <c r="AA18" s="56"/>
    </row>
    <row r="19" spans="2:27" ht="29.1" customHeight="1" thickBot="1" x14ac:dyDescent="0.45">
      <c r="B19" s="41">
        <v>9</v>
      </c>
      <c r="C19" s="42" t="str">
        <f>[5]Theory!A33</f>
        <v>2023-IT-10</v>
      </c>
      <c r="D19" s="43" t="str">
        <f>[5]Theory!B33</f>
        <v>Asad Ullah</v>
      </c>
      <c r="E19" s="44">
        <f>[5]Theory!D33</f>
        <v>6</v>
      </c>
      <c r="F19" s="45">
        <v>7</v>
      </c>
      <c r="G19" s="45">
        <v>6</v>
      </c>
      <c r="H19" s="46">
        <v>2</v>
      </c>
      <c r="I19" s="47">
        <f>[5]Theory!E33</f>
        <v>15</v>
      </c>
      <c r="J19" s="48">
        <f>[5]Theory!H33</f>
        <v>7</v>
      </c>
      <c r="K19" s="44">
        <f>[5]Theory!F33</f>
        <v>9</v>
      </c>
      <c r="L19" s="49">
        <v>11</v>
      </c>
      <c r="M19" s="49">
        <v>10</v>
      </c>
      <c r="N19" s="49">
        <v>8</v>
      </c>
      <c r="O19" s="50">
        <f>[5]Theory!G33</f>
        <v>29</v>
      </c>
      <c r="P19" s="47">
        <f t="shared" si="1"/>
        <v>66</v>
      </c>
      <c r="Q19" s="51" t="str">
        <f>[5]Theory!J33</f>
        <v>B</v>
      </c>
      <c r="R19" s="57"/>
      <c r="S19" s="53">
        <f t="shared" si="2"/>
        <v>24</v>
      </c>
      <c r="T19" s="54">
        <f t="shared" si="3"/>
        <v>42</v>
      </c>
      <c r="U19" s="54"/>
      <c r="V19" s="54">
        <f t="shared" si="4"/>
        <v>70.588235294117652</v>
      </c>
      <c r="W19" s="54">
        <f t="shared" si="5"/>
        <v>63.636363636363633</v>
      </c>
      <c r="X19" s="54"/>
      <c r="Y19" s="55" t="str">
        <f t="shared" si="6"/>
        <v>Y</v>
      </c>
      <c r="Z19" s="55" t="str">
        <f t="shared" si="6"/>
        <v>Y</v>
      </c>
      <c r="AA19" s="56"/>
    </row>
    <row r="20" spans="2:27" ht="29.1" customHeight="1" thickBot="1" x14ac:dyDescent="0.45">
      <c r="B20" s="41">
        <v>10</v>
      </c>
      <c r="C20" s="42" t="str">
        <f>[5]Theory!A34</f>
        <v>2023-IT-11</v>
      </c>
      <c r="D20" s="43" t="str">
        <f>[5]Theory!B34</f>
        <v>Rana Talha dawood</v>
      </c>
      <c r="E20" s="44">
        <f>[5]Theory!D34</f>
        <v>7</v>
      </c>
      <c r="F20" s="45">
        <v>7</v>
      </c>
      <c r="G20" s="45">
        <v>7</v>
      </c>
      <c r="H20" s="46">
        <v>4</v>
      </c>
      <c r="I20" s="47">
        <f>[5]Theory!E34</f>
        <v>18</v>
      </c>
      <c r="J20" s="48">
        <f>[5]Theory!H34</f>
        <v>8</v>
      </c>
      <c r="K20" s="44">
        <f>[5]Theory!F34</f>
        <v>9</v>
      </c>
      <c r="L20" s="49">
        <v>10</v>
      </c>
      <c r="M20" s="49">
        <v>12</v>
      </c>
      <c r="N20" s="49">
        <v>10</v>
      </c>
      <c r="O20" s="50">
        <f>[5]Theory!G34</f>
        <v>32</v>
      </c>
      <c r="P20" s="47">
        <f t="shared" si="1"/>
        <v>74</v>
      </c>
      <c r="Q20" s="51" t="str">
        <f>[5]Theory!J34</f>
        <v>B+</v>
      </c>
      <c r="R20" s="57"/>
      <c r="S20" s="53">
        <f t="shared" si="2"/>
        <v>24</v>
      </c>
      <c r="T20" s="54">
        <f t="shared" si="3"/>
        <v>50</v>
      </c>
      <c r="U20" s="54"/>
      <c r="V20" s="54">
        <f t="shared" si="4"/>
        <v>70.588235294117652</v>
      </c>
      <c r="W20" s="54">
        <f t="shared" si="5"/>
        <v>75.757575757575751</v>
      </c>
      <c r="X20" s="54"/>
      <c r="Y20" s="55" t="str">
        <f t="shared" si="6"/>
        <v>Y</v>
      </c>
      <c r="Z20" s="55" t="str">
        <f t="shared" si="6"/>
        <v>Y</v>
      </c>
      <c r="AA20" s="56"/>
    </row>
    <row r="21" spans="2:27" ht="29.1" customHeight="1" thickBot="1" x14ac:dyDescent="0.45">
      <c r="B21" s="41">
        <v>11</v>
      </c>
      <c r="C21" s="42" t="str">
        <f>[5]Theory!A35</f>
        <v>2023-IT-12</v>
      </c>
      <c r="D21" s="43" t="str">
        <f>[5]Theory!B35</f>
        <v>Ali Ahmad</v>
      </c>
      <c r="E21" s="44">
        <f>[5]Theory!D35</f>
        <v>4</v>
      </c>
      <c r="F21" s="45">
        <v>7</v>
      </c>
      <c r="G21" s="45">
        <v>5</v>
      </c>
      <c r="H21" s="46">
        <v>3</v>
      </c>
      <c r="I21" s="47">
        <f>[5]Theory!E35</f>
        <v>15</v>
      </c>
      <c r="J21" s="48">
        <f>[5]Theory!H35</f>
        <v>7</v>
      </c>
      <c r="K21" s="44">
        <f>[5]Theory!F35</f>
        <v>9</v>
      </c>
      <c r="L21" s="49">
        <v>9</v>
      </c>
      <c r="M21" s="49">
        <v>11</v>
      </c>
      <c r="N21" s="49">
        <v>7</v>
      </c>
      <c r="O21" s="50">
        <f>[5]Theory!G35</f>
        <v>27</v>
      </c>
      <c r="P21" s="47">
        <f t="shared" si="1"/>
        <v>62</v>
      </c>
      <c r="Q21" s="51" t="str">
        <f>[5]Theory!J35</f>
        <v>B-</v>
      </c>
      <c r="R21" s="57"/>
      <c r="S21" s="53">
        <f t="shared" si="2"/>
        <v>20</v>
      </c>
      <c r="T21" s="54">
        <f t="shared" si="3"/>
        <v>42</v>
      </c>
      <c r="U21" s="54"/>
      <c r="V21" s="54">
        <f t="shared" si="4"/>
        <v>58.82352941176471</v>
      </c>
      <c r="W21" s="54">
        <f t="shared" si="5"/>
        <v>63.636363636363633</v>
      </c>
      <c r="X21" s="54"/>
      <c r="Y21" s="55" t="str">
        <f t="shared" si="6"/>
        <v>Y</v>
      </c>
      <c r="Z21" s="55" t="str">
        <f t="shared" si="6"/>
        <v>Y</v>
      </c>
      <c r="AA21" s="56"/>
    </row>
    <row r="22" spans="2:27" ht="29.1" customHeight="1" thickBot="1" x14ac:dyDescent="0.45">
      <c r="B22" s="41">
        <v>12</v>
      </c>
      <c r="C22" s="42" t="str">
        <f>[5]Theory!A36</f>
        <v>2023-IT-13</v>
      </c>
      <c r="D22" s="43" t="str">
        <f>[5]Theory!B36</f>
        <v>Muhammad Daud</v>
      </c>
      <c r="E22" s="44">
        <f>[5]Theory!D36</f>
        <v>10</v>
      </c>
      <c r="F22" s="45">
        <v>7</v>
      </c>
      <c r="G22" s="45">
        <v>6</v>
      </c>
      <c r="H22" s="46">
        <v>4</v>
      </c>
      <c r="I22" s="47">
        <f>[5]Theory!E36</f>
        <v>17</v>
      </c>
      <c r="J22" s="48">
        <f>[5]Theory!H36</f>
        <v>7</v>
      </c>
      <c r="K22" s="44">
        <f>[5]Theory!F36</f>
        <v>7</v>
      </c>
      <c r="L22" s="49">
        <v>7</v>
      </c>
      <c r="M22" s="49">
        <v>11</v>
      </c>
      <c r="N22" s="49">
        <v>10</v>
      </c>
      <c r="O22" s="50">
        <f>[5]Theory!G36</f>
        <v>28</v>
      </c>
      <c r="P22" s="47">
        <f t="shared" si="1"/>
        <v>69</v>
      </c>
      <c r="Q22" s="51" t="str">
        <f>[5]Theory!J36</f>
        <v>B</v>
      </c>
      <c r="R22" s="57"/>
      <c r="S22" s="53">
        <f t="shared" si="2"/>
        <v>24</v>
      </c>
      <c r="T22" s="54">
        <f t="shared" si="3"/>
        <v>45</v>
      </c>
      <c r="U22" s="54"/>
      <c r="V22" s="54">
        <f t="shared" si="4"/>
        <v>70.588235294117652</v>
      </c>
      <c r="W22" s="54">
        <f t="shared" si="5"/>
        <v>68.181818181818173</v>
      </c>
      <c r="X22" s="54"/>
      <c r="Y22" s="55" t="str">
        <f t="shared" si="6"/>
        <v>Y</v>
      </c>
      <c r="Z22" s="55" t="str">
        <f t="shared" si="6"/>
        <v>Y</v>
      </c>
      <c r="AA22" s="56"/>
    </row>
    <row r="23" spans="2:27" ht="29.1" customHeight="1" thickBot="1" x14ac:dyDescent="0.45">
      <c r="B23" s="41">
        <v>13</v>
      </c>
      <c r="C23" s="42" t="str">
        <f>[5]Theory!A37</f>
        <v>2023-IT-14</v>
      </c>
      <c r="D23" s="43" t="str">
        <f>[5]Theory!B37</f>
        <v>Mursil Mateen</v>
      </c>
      <c r="E23" s="44">
        <f>[5]Theory!D37</f>
        <v>9</v>
      </c>
      <c r="F23" s="45">
        <v>6</v>
      </c>
      <c r="G23" s="45">
        <v>6</v>
      </c>
      <c r="H23" s="46">
        <v>3</v>
      </c>
      <c r="I23" s="47">
        <f>[5]Theory!E37</f>
        <v>15</v>
      </c>
      <c r="J23" s="48">
        <f>[5]Theory!H37</f>
        <v>8</v>
      </c>
      <c r="K23" s="44">
        <f>[5]Theory!F37</f>
        <v>10</v>
      </c>
      <c r="L23" s="49">
        <v>6</v>
      </c>
      <c r="M23" s="49">
        <v>12</v>
      </c>
      <c r="N23" s="49">
        <v>10</v>
      </c>
      <c r="O23" s="50">
        <f>[5]Theory!G37</f>
        <v>28</v>
      </c>
      <c r="P23" s="47">
        <f t="shared" si="1"/>
        <v>70</v>
      </c>
      <c r="Q23" s="51" t="str">
        <f>[5]Theory!J37</f>
        <v>B</v>
      </c>
      <c r="R23" s="57"/>
      <c r="S23" s="53">
        <f t="shared" si="2"/>
        <v>21</v>
      </c>
      <c r="T23" s="54">
        <f t="shared" si="3"/>
        <v>49</v>
      </c>
      <c r="U23" s="54"/>
      <c r="V23" s="54">
        <f t="shared" si="4"/>
        <v>61.764705882352942</v>
      </c>
      <c r="W23" s="54">
        <f t="shared" si="5"/>
        <v>74.242424242424249</v>
      </c>
      <c r="X23" s="54"/>
      <c r="Y23" s="55" t="str">
        <f t="shared" si="6"/>
        <v>Y</v>
      </c>
      <c r="Z23" s="55" t="str">
        <f t="shared" si="6"/>
        <v>Y</v>
      </c>
      <c r="AA23" s="56"/>
    </row>
    <row r="24" spans="2:27" ht="29.1" customHeight="1" thickBot="1" x14ac:dyDescent="0.45">
      <c r="B24" s="41">
        <v>14</v>
      </c>
      <c r="C24" s="42" t="str">
        <f>[5]Theory!A38</f>
        <v>2023-IT-16</v>
      </c>
      <c r="D24" s="43" t="str">
        <f>[5]Theory!B38</f>
        <v>Muhammad Usman</v>
      </c>
      <c r="E24" s="44">
        <f>[5]Theory!D38</f>
        <v>0</v>
      </c>
      <c r="F24" s="45">
        <v>0</v>
      </c>
      <c r="G24" s="45">
        <v>0</v>
      </c>
      <c r="H24" s="46">
        <v>0</v>
      </c>
      <c r="I24" s="47">
        <f>[5]Theory!E38</f>
        <v>0</v>
      </c>
      <c r="J24" s="48">
        <f>[5]Theory!H38</f>
        <v>0</v>
      </c>
      <c r="K24" s="44">
        <f>[5]Theory!F38</f>
        <v>0</v>
      </c>
      <c r="L24" s="49">
        <v>0</v>
      </c>
      <c r="M24" s="49">
        <v>0</v>
      </c>
      <c r="N24" s="49">
        <v>0</v>
      </c>
      <c r="O24" s="50">
        <f>[5]Theory!G38</f>
        <v>0</v>
      </c>
      <c r="P24" s="47">
        <f t="shared" si="1"/>
        <v>0</v>
      </c>
      <c r="Q24" s="51" t="str">
        <f>[5]Theory!J38</f>
        <v>F</v>
      </c>
      <c r="R24" s="57"/>
      <c r="S24" s="53">
        <f t="shared" si="2"/>
        <v>0</v>
      </c>
      <c r="T24" s="54">
        <f t="shared" si="3"/>
        <v>0</v>
      </c>
      <c r="U24" s="54"/>
      <c r="V24" s="54">
        <f t="shared" si="4"/>
        <v>0</v>
      </c>
      <c r="W24" s="54">
        <f t="shared" si="5"/>
        <v>0</v>
      </c>
      <c r="X24" s="54"/>
      <c r="Y24" s="55" t="str">
        <f t="shared" si="6"/>
        <v>N</v>
      </c>
      <c r="Z24" s="55" t="str">
        <f t="shared" si="6"/>
        <v>N</v>
      </c>
      <c r="AA24" s="56"/>
    </row>
    <row r="25" spans="2:27" ht="29.1" customHeight="1" thickBot="1" x14ac:dyDescent="0.45">
      <c r="B25" s="41">
        <v>15</v>
      </c>
      <c r="C25" s="42" t="str">
        <f>[5]Theory!A39</f>
        <v>2023-IT-18</v>
      </c>
      <c r="D25" s="43" t="str">
        <f>[5]Theory!B39</f>
        <v>Adeel Maqbool</v>
      </c>
      <c r="E25" s="44">
        <f>[5]Theory!D39</f>
        <v>9</v>
      </c>
      <c r="F25" s="45">
        <v>8</v>
      </c>
      <c r="G25" s="45">
        <v>8</v>
      </c>
      <c r="H25" s="46">
        <v>4</v>
      </c>
      <c r="I25" s="47">
        <f>[5]Theory!E39</f>
        <v>20</v>
      </c>
      <c r="J25" s="48">
        <f>[5]Theory!H39</f>
        <v>8</v>
      </c>
      <c r="K25" s="44">
        <f>[5]Theory!F39</f>
        <v>8</v>
      </c>
      <c r="L25" s="49">
        <v>8</v>
      </c>
      <c r="M25" s="49">
        <v>8</v>
      </c>
      <c r="N25" s="49">
        <v>7</v>
      </c>
      <c r="O25" s="50">
        <f>[5]Theory!G39</f>
        <v>23</v>
      </c>
      <c r="P25" s="47">
        <f t="shared" si="1"/>
        <v>68</v>
      </c>
      <c r="Q25" s="51" t="str">
        <f>[5]Theory!J39</f>
        <v>B</v>
      </c>
      <c r="R25" s="57"/>
      <c r="S25" s="53">
        <f t="shared" si="2"/>
        <v>25</v>
      </c>
      <c r="T25" s="54">
        <f t="shared" si="3"/>
        <v>43</v>
      </c>
      <c r="U25" s="54"/>
      <c r="V25" s="54">
        <f t="shared" si="4"/>
        <v>73.529411764705884</v>
      </c>
      <c r="W25" s="54">
        <f t="shared" si="5"/>
        <v>65.151515151515156</v>
      </c>
      <c r="X25" s="54"/>
      <c r="Y25" s="55" t="str">
        <f t="shared" si="6"/>
        <v>Y</v>
      </c>
      <c r="Z25" s="55" t="str">
        <f t="shared" si="6"/>
        <v>Y</v>
      </c>
      <c r="AA25" s="56"/>
    </row>
    <row r="26" spans="2:27" ht="29.1" customHeight="1" thickBot="1" x14ac:dyDescent="0.45">
      <c r="B26" s="41">
        <v>16</v>
      </c>
      <c r="C26" s="42" t="str">
        <f>[5]Theory!A40</f>
        <v>2023-IT-20</v>
      </c>
      <c r="D26" s="43" t="str">
        <f>[5]Theory!B40</f>
        <v>Husnain Saleem</v>
      </c>
      <c r="E26" s="44">
        <f>[5]Theory!D40</f>
        <v>7</v>
      </c>
      <c r="F26" s="45">
        <v>7</v>
      </c>
      <c r="G26" s="45">
        <v>7</v>
      </c>
      <c r="H26" s="46">
        <v>4</v>
      </c>
      <c r="I26" s="47">
        <f>[5]Theory!E40</f>
        <v>18</v>
      </c>
      <c r="J26" s="48">
        <f>[5]Theory!H40</f>
        <v>8</v>
      </c>
      <c r="K26" s="44">
        <f>[5]Theory!F40</f>
        <v>10</v>
      </c>
      <c r="L26" s="49">
        <v>8</v>
      </c>
      <c r="M26" s="49">
        <v>12</v>
      </c>
      <c r="N26" s="49">
        <v>9</v>
      </c>
      <c r="O26" s="50">
        <f>[5]Theory!G40</f>
        <v>29</v>
      </c>
      <c r="P26" s="47">
        <f t="shared" si="1"/>
        <v>72</v>
      </c>
      <c r="Q26" s="51" t="str">
        <f>[5]Theory!J40</f>
        <v>B+</v>
      </c>
      <c r="R26" s="57"/>
      <c r="S26" s="53">
        <f t="shared" si="2"/>
        <v>22</v>
      </c>
      <c r="T26" s="54">
        <f t="shared" si="3"/>
        <v>50</v>
      </c>
      <c r="U26" s="54"/>
      <c r="V26" s="54">
        <f t="shared" si="4"/>
        <v>64.705882352941174</v>
      </c>
      <c r="W26" s="54">
        <f t="shared" si="5"/>
        <v>75.757575757575751</v>
      </c>
      <c r="X26" s="54"/>
      <c r="Y26" s="55" t="str">
        <f t="shared" si="6"/>
        <v>Y</v>
      </c>
      <c r="Z26" s="55" t="str">
        <f t="shared" si="6"/>
        <v>Y</v>
      </c>
      <c r="AA26" s="56"/>
    </row>
    <row r="27" spans="2:27" ht="29.1" customHeight="1" thickBot="1" x14ac:dyDescent="0.45">
      <c r="B27" s="41">
        <v>17</v>
      </c>
      <c r="C27" s="42" t="str">
        <f>[5]Theory!A41</f>
        <v>2023-IT-22</v>
      </c>
      <c r="D27" s="43" t="str">
        <f>[5]Theory!B41</f>
        <v>Muhammad Sameer</v>
      </c>
      <c r="E27" s="44">
        <f>[5]Theory!D41</f>
        <v>4</v>
      </c>
      <c r="F27" s="45">
        <v>7</v>
      </c>
      <c r="G27" s="45">
        <v>3</v>
      </c>
      <c r="H27" s="46">
        <v>3</v>
      </c>
      <c r="I27" s="47">
        <f>[5]Theory!E41</f>
        <v>13</v>
      </c>
      <c r="J27" s="48">
        <f>[5]Theory!H41</f>
        <v>7</v>
      </c>
      <c r="K27" s="44">
        <f>[5]Theory!F41</f>
        <v>9</v>
      </c>
      <c r="L27" s="49">
        <v>8</v>
      </c>
      <c r="M27" s="49">
        <v>10</v>
      </c>
      <c r="N27" s="49">
        <v>8</v>
      </c>
      <c r="O27" s="50">
        <f>[5]Theory!G41</f>
        <v>26</v>
      </c>
      <c r="P27" s="47">
        <f t="shared" si="1"/>
        <v>59</v>
      </c>
      <c r="Q27" s="51" t="str">
        <f>[5]Theory!J41</f>
        <v>C+</v>
      </c>
      <c r="R27" s="57"/>
      <c r="S27" s="53">
        <f t="shared" si="2"/>
        <v>19</v>
      </c>
      <c r="T27" s="54">
        <f t="shared" si="3"/>
        <v>40</v>
      </c>
      <c r="U27" s="54"/>
      <c r="V27" s="54">
        <f t="shared" si="4"/>
        <v>55.882352941176471</v>
      </c>
      <c r="W27" s="54">
        <f t="shared" si="5"/>
        <v>60.606060606060609</v>
      </c>
      <c r="X27" s="54"/>
      <c r="Y27" s="55" t="str">
        <f t="shared" si="6"/>
        <v>Y</v>
      </c>
      <c r="Z27" s="55" t="str">
        <f t="shared" si="6"/>
        <v>Y</v>
      </c>
      <c r="AA27" s="56"/>
    </row>
    <row r="28" spans="2:27" ht="29.1" customHeight="1" thickBot="1" x14ac:dyDescent="0.45">
      <c r="B28" s="41">
        <v>18</v>
      </c>
      <c r="C28" s="42" t="str">
        <f>[5]Theory!A42</f>
        <v>2023-IT-24</v>
      </c>
      <c r="D28" s="43" t="str">
        <f>[5]Theory!B42</f>
        <v>Sher Shah Hussain</v>
      </c>
      <c r="E28" s="44">
        <f>[5]Theory!D42</f>
        <v>6</v>
      </c>
      <c r="F28" s="45">
        <v>7</v>
      </c>
      <c r="G28" s="45">
        <v>4</v>
      </c>
      <c r="H28" s="46">
        <v>3</v>
      </c>
      <c r="I28" s="47">
        <f>[5]Theory!E42</f>
        <v>14</v>
      </c>
      <c r="J28" s="48">
        <f>[5]Theory!H42</f>
        <v>8</v>
      </c>
      <c r="K28" s="44">
        <f>[5]Theory!F42</f>
        <v>9</v>
      </c>
      <c r="L28" s="49">
        <v>8</v>
      </c>
      <c r="M28" s="49">
        <v>8</v>
      </c>
      <c r="N28" s="49">
        <v>8</v>
      </c>
      <c r="O28" s="50">
        <f>[5]Theory!G42</f>
        <v>24</v>
      </c>
      <c r="P28" s="47">
        <f t="shared" si="1"/>
        <v>61</v>
      </c>
      <c r="Q28" s="51" t="str">
        <f>[5]Theory!J42</f>
        <v>B-</v>
      </c>
      <c r="R28" s="57"/>
      <c r="S28" s="53">
        <f t="shared" si="2"/>
        <v>21</v>
      </c>
      <c r="T28" s="54">
        <f t="shared" si="3"/>
        <v>40</v>
      </c>
      <c r="U28" s="54"/>
      <c r="V28" s="54">
        <f t="shared" si="4"/>
        <v>61.764705882352942</v>
      </c>
      <c r="W28" s="54">
        <f t="shared" si="5"/>
        <v>60.606060606060609</v>
      </c>
      <c r="X28" s="54"/>
      <c r="Y28" s="55" t="str">
        <f t="shared" si="6"/>
        <v>Y</v>
      </c>
      <c r="Z28" s="55" t="str">
        <f t="shared" si="6"/>
        <v>Y</v>
      </c>
      <c r="AA28" s="56"/>
    </row>
    <row r="29" spans="2:27" ht="29.1" customHeight="1" thickBot="1" x14ac:dyDescent="0.45">
      <c r="B29" s="41">
        <v>19</v>
      </c>
      <c r="C29" s="42" t="str">
        <f>[5]Theory!A43</f>
        <v>2023-IT-26</v>
      </c>
      <c r="D29" s="43" t="str">
        <f>[5]Theory!B43</f>
        <v>Abdul Ahad</v>
      </c>
      <c r="E29" s="44">
        <f>[5]Theory!D43</f>
        <v>0</v>
      </c>
      <c r="F29" s="45">
        <v>0</v>
      </c>
      <c r="G29" s="45">
        <v>0</v>
      </c>
      <c r="H29" s="46">
        <v>0</v>
      </c>
      <c r="I29" s="47">
        <f>[5]Theory!E43</f>
        <v>0</v>
      </c>
      <c r="J29" s="48">
        <f>[5]Theory!H43</f>
        <v>0</v>
      </c>
      <c r="K29" s="44">
        <f>[5]Theory!F43</f>
        <v>0</v>
      </c>
      <c r="L29" s="49">
        <v>0</v>
      </c>
      <c r="M29" s="49">
        <v>0</v>
      </c>
      <c r="N29" s="49">
        <v>0</v>
      </c>
      <c r="O29" s="50">
        <f>[5]Theory!G43</f>
        <v>0</v>
      </c>
      <c r="P29" s="47">
        <f t="shared" si="1"/>
        <v>0</v>
      </c>
      <c r="Q29" s="51" t="str">
        <f>[5]Theory!J43</f>
        <v>F</v>
      </c>
      <c r="R29" s="57"/>
      <c r="S29" s="53">
        <f t="shared" si="2"/>
        <v>0</v>
      </c>
      <c r="T29" s="54">
        <f t="shared" si="3"/>
        <v>0</v>
      </c>
      <c r="U29" s="54"/>
      <c r="V29" s="54">
        <f t="shared" si="4"/>
        <v>0</v>
      </c>
      <c r="W29" s="54">
        <f t="shared" si="5"/>
        <v>0</v>
      </c>
      <c r="X29" s="54"/>
      <c r="Y29" s="55" t="str">
        <f t="shared" si="6"/>
        <v>N</v>
      </c>
      <c r="Z29" s="55" t="str">
        <f t="shared" si="6"/>
        <v>N</v>
      </c>
      <c r="AA29" s="56"/>
    </row>
    <row r="30" spans="2:27" ht="29.1" customHeight="1" thickBot="1" x14ac:dyDescent="0.45">
      <c r="B30" s="41">
        <v>20</v>
      </c>
      <c r="C30" s="42" t="str">
        <f>[5]Theory!A44</f>
        <v>2023-IT-28</v>
      </c>
      <c r="D30" s="43" t="str">
        <f>[5]Theory!B44</f>
        <v>Ahmad Latif</v>
      </c>
      <c r="E30" s="44">
        <f>[5]Theory!D44</f>
        <v>5</v>
      </c>
      <c r="F30" s="45">
        <v>6</v>
      </c>
      <c r="G30" s="45">
        <v>7</v>
      </c>
      <c r="H30" s="46">
        <v>1</v>
      </c>
      <c r="I30" s="47">
        <f>[5]Theory!E44</f>
        <v>14</v>
      </c>
      <c r="J30" s="48">
        <f>[5]Theory!H44</f>
        <v>7</v>
      </c>
      <c r="K30" s="44">
        <f>[5]Theory!F44</f>
        <v>10</v>
      </c>
      <c r="L30" s="49">
        <v>7</v>
      </c>
      <c r="M30" s="49">
        <v>7</v>
      </c>
      <c r="N30" s="49">
        <v>7</v>
      </c>
      <c r="O30" s="50">
        <f>[5]Theory!G44</f>
        <v>21</v>
      </c>
      <c r="P30" s="47">
        <f t="shared" si="1"/>
        <v>57</v>
      </c>
      <c r="Q30" s="51" t="str">
        <f>[5]Theory!J44</f>
        <v>C+</v>
      </c>
      <c r="R30" s="57"/>
      <c r="S30" s="53">
        <f t="shared" si="2"/>
        <v>18</v>
      </c>
      <c r="T30" s="54">
        <f t="shared" si="3"/>
        <v>39</v>
      </c>
      <c r="U30" s="54"/>
      <c r="V30" s="54">
        <f t="shared" si="4"/>
        <v>52.941176470588239</v>
      </c>
      <c r="W30" s="54">
        <f t="shared" si="5"/>
        <v>59.090909090909093</v>
      </c>
      <c r="X30" s="54"/>
      <c r="Y30" s="55" t="str">
        <f t="shared" si="6"/>
        <v>Y</v>
      </c>
      <c r="Z30" s="55" t="str">
        <f t="shared" si="6"/>
        <v>Y</v>
      </c>
      <c r="AA30" s="56"/>
    </row>
    <row r="31" spans="2:27" ht="29.1" customHeight="1" thickBot="1" x14ac:dyDescent="0.45">
      <c r="B31" s="41">
        <v>21</v>
      </c>
      <c r="C31" s="42" t="str">
        <f>[5]Theory!A45</f>
        <v>2023-IT-32</v>
      </c>
      <c r="D31" s="43" t="str">
        <f>[5]Theory!B45</f>
        <v>Muhammad Faisal</v>
      </c>
      <c r="E31" s="44">
        <f>[5]Theory!D45</f>
        <v>9</v>
      </c>
      <c r="F31" s="45">
        <v>7</v>
      </c>
      <c r="G31" s="45">
        <v>8</v>
      </c>
      <c r="H31" s="46">
        <v>4</v>
      </c>
      <c r="I31" s="47">
        <f>[5]Theory!E45</f>
        <v>19</v>
      </c>
      <c r="J31" s="48">
        <f>[5]Theory!H45</f>
        <v>8</v>
      </c>
      <c r="K31" s="44">
        <f>[5]Theory!F45</f>
        <v>8</v>
      </c>
      <c r="L31" s="49">
        <v>10</v>
      </c>
      <c r="M31" s="49">
        <v>10</v>
      </c>
      <c r="N31" s="49">
        <v>8</v>
      </c>
      <c r="O31" s="50">
        <f>[5]Theory!G45</f>
        <v>28</v>
      </c>
      <c r="P31" s="47">
        <f t="shared" si="1"/>
        <v>72</v>
      </c>
      <c r="Q31" s="51" t="str">
        <f>[5]Theory!J45</f>
        <v>B+</v>
      </c>
      <c r="R31" s="57"/>
      <c r="S31" s="53">
        <f t="shared" si="2"/>
        <v>26</v>
      </c>
      <c r="T31" s="54">
        <f t="shared" si="3"/>
        <v>46</v>
      </c>
      <c r="U31" s="54"/>
      <c r="V31" s="54">
        <f t="shared" si="4"/>
        <v>76.470588235294116</v>
      </c>
      <c r="W31" s="54">
        <f t="shared" si="5"/>
        <v>69.696969696969703</v>
      </c>
      <c r="X31" s="54"/>
      <c r="Y31" s="55" t="str">
        <f t="shared" si="6"/>
        <v>Y</v>
      </c>
      <c r="Z31" s="55" t="str">
        <f t="shared" si="6"/>
        <v>Y</v>
      </c>
      <c r="AA31" s="56"/>
    </row>
    <row r="32" spans="2:27" ht="29.1" customHeight="1" thickBot="1" x14ac:dyDescent="0.45">
      <c r="B32" s="41">
        <v>22</v>
      </c>
      <c r="C32" s="42" t="str">
        <f>[5]Theory!A46</f>
        <v>2023-IT-34</v>
      </c>
      <c r="D32" s="43" t="str">
        <f>[5]Theory!B46</f>
        <v>Jamshaid Abbas</v>
      </c>
      <c r="E32" s="44">
        <f>[5]Theory!D46</f>
        <v>7</v>
      </c>
      <c r="F32" s="45">
        <v>4</v>
      </c>
      <c r="G32" s="45">
        <v>3</v>
      </c>
      <c r="H32" s="46">
        <v>3</v>
      </c>
      <c r="I32" s="47">
        <f>[5]Theory!E46</f>
        <v>10</v>
      </c>
      <c r="J32" s="48">
        <f>[5]Theory!H46</f>
        <v>8</v>
      </c>
      <c r="K32" s="44">
        <f>[5]Theory!F46</f>
        <v>7</v>
      </c>
      <c r="L32" s="49">
        <v>6</v>
      </c>
      <c r="M32" s="49">
        <v>5</v>
      </c>
      <c r="N32" s="49">
        <v>1</v>
      </c>
      <c r="O32" s="50">
        <f>[5]Theory!G46</f>
        <v>12</v>
      </c>
      <c r="P32" s="47">
        <f t="shared" si="1"/>
        <v>44</v>
      </c>
      <c r="Q32" s="51" t="str">
        <f>[5]Theory!J46</f>
        <v>C-</v>
      </c>
      <c r="R32" s="57"/>
      <c r="S32" s="53">
        <f t="shared" si="2"/>
        <v>17</v>
      </c>
      <c r="T32" s="54">
        <f t="shared" si="3"/>
        <v>27</v>
      </c>
      <c r="U32" s="54"/>
      <c r="V32" s="54">
        <f t="shared" si="4"/>
        <v>50</v>
      </c>
      <c r="W32" s="54">
        <f t="shared" si="5"/>
        <v>40.909090909090914</v>
      </c>
      <c r="X32" s="54"/>
      <c r="Y32" s="55" t="str">
        <f t="shared" si="6"/>
        <v>Y</v>
      </c>
      <c r="Z32" s="55" t="str">
        <f t="shared" si="6"/>
        <v>N</v>
      </c>
      <c r="AA32" s="56"/>
    </row>
    <row r="33" spans="2:27" ht="29.1" customHeight="1" thickBot="1" x14ac:dyDescent="0.45">
      <c r="B33" s="41">
        <v>23</v>
      </c>
      <c r="C33" s="42" t="str">
        <f>[5]Theory!A47</f>
        <v>2023-IT-38</v>
      </c>
      <c r="D33" s="43" t="str">
        <f>[5]Theory!B47</f>
        <v>Sherzaman Bukhari</v>
      </c>
      <c r="E33" s="44">
        <f>[5]Theory!D47</f>
        <v>8</v>
      </c>
      <c r="F33" s="45">
        <v>6</v>
      </c>
      <c r="G33" s="45">
        <v>0</v>
      </c>
      <c r="H33" s="46">
        <v>1</v>
      </c>
      <c r="I33" s="47">
        <f>[5]Theory!E47</f>
        <v>7</v>
      </c>
      <c r="J33" s="48">
        <f>[5]Theory!H47</f>
        <v>8</v>
      </c>
      <c r="K33" s="44">
        <f>[5]Theory!F47</f>
        <v>8</v>
      </c>
      <c r="L33" s="49">
        <v>8</v>
      </c>
      <c r="M33" s="49">
        <v>8</v>
      </c>
      <c r="N33" s="49">
        <v>4</v>
      </c>
      <c r="O33" s="50">
        <f>[5]Theory!G47</f>
        <v>20</v>
      </c>
      <c r="P33" s="47">
        <f t="shared" si="1"/>
        <v>51</v>
      </c>
      <c r="Q33" s="51" t="str">
        <f>[5]Theory!J47</f>
        <v>C</v>
      </c>
      <c r="R33" s="57"/>
      <c r="S33" s="53">
        <f t="shared" si="2"/>
        <v>22</v>
      </c>
      <c r="T33" s="54">
        <f t="shared" si="3"/>
        <v>29</v>
      </c>
      <c r="U33" s="54"/>
      <c r="V33" s="54">
        <f t="shared" si="4"/>
        <v>64.705882352941174</v>
      </c>
      <c r="W33" s="54">
        <f t="shared" si="5"/>
        <v>43.939393939393938</v>
      </c>
      <c r="X33" s="54"/>
      <c r="Y33" s="55" t="str">
        <f t="shared" si="6"/>
        <v>Y</v>
      </c>
      <c r="Z33" s="55" t="str">
        <f t="shared" si="6"/>
        <v>N</v>
      </c>
      <c r="AA33" s="56"/>
    </row>
    <row r="34" spans="2:27" ht="29.1" customHeight="1" thickBot="1" x14ac:dyDescent="0.45">
      <c r="B34" s="41">
        <v>24</v>
      </c>
      <c r="C34" s="42" t="str">
        <f>[5]Theory!A48</f>
        <v>2023-IT-40</v>
      </c>
      <c r="D34" s="43" t="str">
        <f>[5]Theory!B48</f>
        <v>Ahmad Raza Shareef</v>
      </c>
      <c r="E34" s="44">
        <f>[5]Theory!D48</f>
        <v>4</v>
      </c>
      <c r="F34" s="45">
        <v>6</v>
      </c>
      <c r="G34" s="45">
        <v>3</v>
      </c>
      <c r="H34" s="46">
        <v>2</v>
      </c>
      <c r="I34" s="47">
        <f>[5]Theory!E48</f>
        <v>11</v>
      </c>
      <c r="J34" s="48">
        <f>[5]Theory!H48</f>
        <v>7</v>
      </c>
      <c r="K34" s="44">
        <f>[5]Theory!F48</f>
        <v>5</v>
      </c>
      <c r="L34" s="49">
        <v>10</v>
      </c>
      <c r="M34" s="49">
        <v>3</v>
      </c>
      <c r="N34" s="49">
        <v>5</v>
      </c>
      <c r="O34" s="50">
        <f>[5]Theory!G48</f>
        <v>28</v>
      </c>
      <c r="P34" s="47">
        <f t="shared" si="1"/>
        <v>55</v>
      </c>
      <c r="Q34" s="51" t="str">
        <f>[5]Theory!J48</f>
        <v>C</v>
      </c>
      <c r="R34" s="57"/>
      <c r="S34" s="53">
        <f t="shared" si="2"/>
        <v>20</v>
      </c>
      <c r="T34" s="54">
        <f t="shared" si="3"/>
        <v>25</v>
      </c>
      <c r="U34" s="54"/>
      <c r="V34" s="54">
        <f t="shared" si="4"/>
        <v>58.82352941176471</v>
      </c>
      <c r="W34" s="54">
        <f t="shared" si="5"/>
        <v>37.878787878787875</v>
      </c>
      <c r="X34" s="54"/>
      <c r="Y34" s="55" t="str">
        <f t="shared" si="6"/>
        <v>Y</v>
      </c>
      <c r="Z34" s="55" t="str">
        <f t="shared" si="6"/>
        <v>N</v>
      </c>
      <c r="AA34" s="56"/>
    </row>
    <row r="35" spans="2:27" ht="29.1" customHeight="1" thickBot="1" x14ac:dyDescent="0.45">
      <c r="B35" s="41">
        <v>25</v>
      </c>
      <c r="C35" s="42" t="str">
        <f>[5]Theory!A49</f>
        <v>2023-IT-41</v>
      </c>
      <c r="D35" s="43" t="str">
        <f>[5]Theory!B49</f>
        <v>Anas Noor</v>
      </c>
      <c r="E35" s="44">
        <f>[5]Theory!D49</f>
        <v>4</v>
      </c>
      <c r="F35" s="45">
        <v>1</v>
      </c>
      <c r="G35" s="45">
        <v>0</v>
      </c>
      <c r="H35" s="46">
        <v>0</v>
      </c>
      <c r="I35" s="47">
        <f>[5]Theory!E49</f>
        <v>1</v>
      </c>
      <c r="J35" s="48">
        <f>[5]Theory!H49</f>
        <v>7</v>
      </c>
      <c r="K35" s="44">
        <f>[5]Theory!F49</f>
        <v>5</v>
      </c>
      <c r="L35" s="49">
        <v>0</v>
      </c>
      <c r="M35" s="49">
        <v>0</v>
      </c>
      <c r="N35" s="49">
        <v>0</v>
      </c>
      <c r="O35" s="50">
        <f>[5]Theory!G49</f>
        <v>0</v>
      </c>
      <c r="P35" s="47">
        <f t="shared" si="1"/>
        <v>17</v>
      </c>
      <c r="Q35" s="51" t="str">
        <f>[5]Theory!J49</f>
        <v>F</v>
      </c>
      <c r="R35" s="57"/>
      <c r="S35" s="53">
        <f t="shared" si="2"/>
        <v>5</v>
      </c>
      <c r="T35" s="54">
        <f t="shared" si="3"/>
        <v>12</v>
      </c>
      <c r="U35" s="54"/>
      <c r="V35" s="54">
        <f t="shared" si="4"/>
        <v>14.705882352941178</v>
      </c>
      <c r="W35" s="54">
        <f t="shared" si="5"/>
        <v>18.181818181818183</v>
      </c>
      <c r="X35" s="54"/>
      <c r="Y35" s="55" t="str">
        <f t="shared" si="6"/>
        <v>N</v>
      </c>
      <c r="Z35" s="55" t="str">
        <f t="shared" si="6"/>
        <v>N</v>
      </c>
      <c r="AA35" s="56"/>
    </row>
    <row r="36" spans="2:27" ht="29.1" customHeight="1" thickBot="1" x14ac:dyDescent="0.45">
      <c r="B36" s="41">
        <v>26</v>
      </c>
      <c r="C36" s="42" t="str">
        <f>[5]Theory!A50</f>
        <v>2023-IT-42</v>
      </c>
      <c r="D36" s="43" t="str">
        <f>[5]Theory!B50</f>
        <v>Muhammad Moosa Bhatti</v>
      </c>
      <c r="E36" s="44">
        <f>[5]Theory!D50</f>
        <v>6</v>
      </c>
      <c r="F36" s="45">
        <v>7</v>
      </c>
      <c r="G36" s="45">
        <v>6</v>
      </c>
      <c r="H36" s="46">
        <v>3</v>
      </c>
      <c r="I36" s="47">
        <f>[5]Theory!E50</f>
        <v>16</v>
      </c>
      <c r="J36" s="48">
        <f>[5]Theory!H50</f>
        <v>8</v>
      </c>
      <c r="K36" s="44">
        <f>[5]Theory!F50</f>
        <v>10</v>
      </c>
      <c r="L36" s="49">
        <v>7</v>
      </c>
      <c r="M36" s="49">
        <v>8</v>
      </c>
      <c r="N36" s="49">
        <v>8</v>
      </c>
      <c r="O36" s="50">
        <f>[5]Theory!G50</f>
        <v>23</v>
      </c>
      <c r="P36" s="47">
        <f t="shared" si="1"/>
        <v>63</v>
      </c>
      <c r="Q36" s="51" t="str">
        <f>[5]Theory!J50</f>
        <v>B-</v>
      </c>
      <c r="R36" s="57"/>
      <c r="S36" s="53">
        <f t="shared" si="2"/>
        <v>20</v>
      </c>
      <c r="T36" s="54">
        <f t="shared" si="3"/>
        <v>43</v>
      </c>
      <c r="U36" s="54"/>
      <c r="V36" s="54">
        <f t="shared" si="4"/>
        <v>58.82352941176471</v>
      </c>
      <c r="W36" s="54">
        <f t="shared" si="5"/>
        <v>65.151515151515156</v>
      </c>
      <c r="X36" s="54"/>
      <c r="Y36" s="55" t="str">
        <f t="shared" si="6"/>
        <v>Y</v>
      </c>
      <c r="Z36" s="55" t="str">
        <f t="shared" si="6"/>
        <v>Y</v>
      </c>
      <c r="AA36" s="56"/>
    </row>
    <row r="37" spans="2:27" ht="29.1" customHeight="1" thickBot="1" x14ac:dyDescent="0.45">
      <c r="B37" s="41">
        <v>27</v>
      </c>
      <c r="C37" s="42" t="str">
        <f>[5]Theory!A51</f>
        <v>2023-IT-44</v>
      </c>
      <c r="D37" s="43" t="str">
        <f>[5]Theory!B51</f>
        <v>Muhammad Nouman Aslam</v>
      </c>
      <c r="E37" s="44">
        <f>[5]Theory!D51</f>
        <v>8</v>
      </c>
      <c r="F37" s="45">
        <v>7</v>
      </c>
      <c r="G37" s="45">
        <v>7</v>
      </c>
      <c r="H37" s="46">
        <v>3</v>
      </c>
      <c r="I37" s="47">
        <f>[5]Theory!E51</f>
        <v>17</v>
      </c>
      <c r="J37" s="48">
        <f>[5]Theory!H51</f>
        <v>7</v>
      </c>
      <c r="K37" s="44">
        <f>[5]Theory!F51</f>
        <v>6</v>
      </c>
      <c r="L37" s="49">
        <v>10</v>
      </c>
      <c r="M37" s="49">
        <v>10</v>
      </c>
      <c r="N37" s="49">
        <v>7</v>
      </c>
      <c r="O37" s="50">
        <f>[5]Theory!G51</f>
        <v>27</v>
      </c>
      <c r="P37" s="47">
        <f t="shared" si="1"/>
        <v>65</v>
      </c>
      <c r="Q37" s="51" t="str">
        <f>[5]Theory!J51</f>
        <v>B-</v>
      </c>
      <c r="R37" s="57"/>
      <c r="S37" s="53">
        <f t="shared" si="2"/>
        <v>25</v>
      </c>
      <c r="T37" s="54">
        <f t="shared" si="3"/>
        <v>40</v>
      </c>
      <c r="U37" s="54"/>
      <c r="V37" s="54">
        <f t="shared" si="4"/>
        <v>73.529411764705884</v>
      </c>
      <c r="W37" s="54">
        <f t="shared" si="5"/>
        <v>60.606060606060609</v>
      </c>
      <c r="X37" s="54"/>
      <c r="Y37" s="55" t="str">
        <f t="shared" si="6"/>
        <v>Y</v>
      </c>
      <c r="Z37" s="55" t="str">
        <f t="shared" si="6"/>
        <v>Y</v>
      </c>
      <c r="AA37" s="56"/>
    </row>
    <row r="38" spans="2:27" ht="29.1" customHeight="1" thickBot="1" x14ac:dyDescent="0.45">
      <c r="B38" s="41">
        <v>28</v>
      </c>
      <c r="C38" s="42" t="str">
        <f>[5]Theory!A52</f>
        <v>2023-IT-46</v>
      </c>
      <c r="D38" s="43" t="str">
        <f>[5]Theory!B52</f>
        <v>Muhammad Haseeb Anjum</v>
      </c>
      <c r="E38" s="44">
        <f>[5]Theory!D52</f>
        <v>10</v>
      </c>
      <c r="F38" s="45">
        <v>8</v>
      </c>
      <c r="G38" s="45">
        <v>8</v>
      </c>
      <c r="H38" s="46">
        <v>6</v>
      </c>
      <c r="I38" s="47">
        <f>[5]Theory!E52</f>
        <v>22</v>
      </c>
      <c r="J38" s="48">
        <f>[5]Theory!H52</f>
        <v>8</v>
      </c>
      <c r="K38" s="44">
        <f>[5]Theory!F52</f>
        <v>10</v>
      </c>
      <c r="L38" s="49">
        <v>12</v>
      </c>
      <c r="M38" s="49">
        <v>14</v>
      </c>
      <c r="N38" s="49">
        <v>6</v>
      </c>
      <c r="O38" s="50">
        <f>[5]Theory!G52</f>
        <v>32</v>
      </c>
      <c r="P38" s="47">
        <f t="shared" si="1"/>
        <v>82</v>
      </c>
      <c r="Q38" s="51" t="str">
        <f>[5]Theory!J52</f>
        <v>A</v>
      </c>
      <c r="R38" s="57"/>
      <c r="S38" s="53">
        <f t="shared" si="2"/>
        <v>30</v>
      </c>
      <c r="T38" s="54">
        <f t="shared" si="3"/>
        <v>52</v>
      </c>
      <c r="U38" s="54"/>
      <c r="V38" s="54">
        <f t="shared" si="4"/>
        <v>88.235294117647058</v>
      </c>
      <c r="W38" s="54">
        <f t="shared" si="5"/>
        <v>78.787878787878782</v>
      </c>
      <c r="X38" s="54"/>
      <c r="Y38" s="55" t="str">
        <f t="shared" si="6"/>
        <v>Y</v>
      </c>
      <c r="Z38" s="55" t="str">
        <f t="shared" si="6"/>
        <v>Y</v>
      </c>
      <c r="AA38" s="56"/>
    </row>
    <row r="39" spans="2:27" ht="29.1" customHeight="1" thickBot="1" x14ac:dyDescent="0.45">
      <c r="B39" s="41">
        <v>29</v>
      </c>
      <c r="C39" s="42" t="str">
        <f>[5]Theory!A53</f>
        <v>2023-IT-48</v>
      </c>
      <c r="D39" s="43" t="str">
        <f>[5]Theory!B53</f>
        <v>Muhammad Arslan Waheed</v>
      </c>
      <c r="E39" s="44">
        <f>[5]Theory!D53</f>
        <v>7</v>
      </c>
      <c r="F39" s="45">
        <v>7</v>
      </c>
      <c r="G39" s="45">
        <v>8</v>
      </c>
      <c r="H39" s="46">
        <v>4</v>
      </c>
      <c r="I39" s="47">
        <f>[5]Theory!E53</f>
        <v>19</v>
      </c>
      <c r="J39" s="48">
        <f>[5]Theory!H53</f>
        <v>8</v>
      </c>
      <c r="K39" s="44">
        <f>[5]Theory!F53</f>
        <v>10</v>
      </c>
      <c r="L39" s="49">
        <v>8</v>
      </c>
      <c r="M39" s="49">
        <v>8</v>
      </c>
      <c r="N39" s="49">
        <v>6</v>
      </c>
      <c r="O39" s="50">
        <f>[5]Theory!G53</f>
        <v>22</v>
      </c>
      <c r="P39" s="47">
        <f t="shared" si="1"/>
        <v>66</v>
      </c>
      <c r="Q39" s="51" t="str">
        <f>[5]Theory!J53</f>
        <v>B</v>
      </c>
      <c r="R39" s="57"/>
      <c r="S39" s="53">
        <f t="shared" si="2"/>
        <v>22</v>
      </c>
      <c r="T39" s="54">
        <f t="shared" si="3"/>
        <v>44</v>
      </c>
      <c r="U39" s="54"/>
      <c r="V39" s="54">
        <f t="shared" si="4"/>
        <v>64.705882352941174</v>
      </c>
      <c r="W39" s="54">
        <f t="shared" si="5"/>
        <v>66.666666666666657</v>
      </c>
      <c r="X39" s="54"/>
      <c r="Y39" s="55" t="str">
        <f t="shared" si="6"/>
        <v>Y</v>
      </c>
      <c r="Z39" s="55" t="str">
        <f t="shared" si="6"/>
        <v>Y</v>
      </c>
      <c r="AA39" s="56"/>
    </row>
    <row r="40" spans="2:27" ht="29.1" customHeight="1" thickBot="1" x14ac:dyDescent="0.45">
      <c r="B40" s="41">
        <v>30</v>
      </c>
      <c r="C40" s="42" t="str">
        <f>[5]Theory!A54</f>
        <v>2023-IT-50</v>
      </c>
      <c r="D40" s="43" t="str">
        <f>[5]Theory!B54</f>
        <v>Hafiz Muhammad Hasnain Saif</v>
      </c>
      <c r="E40" s="44">
        <f>[5]Theory!D54</f>
        <v>8</v>
      </c>
      <c r="F40" s="45">
        <v>7</v>
      </c>
      <c r="G40" s="45">
        <v>7</v>
      </c>
      <c r="H40" s="46">
        <v>4</v>
      </c>
      <c r="I40" s="47">
        <f>[5]Theory!E54</f>
        <v>18</v>
      </c>
      <c r="J40" s="48">
        <f>[5]Theory!H54</f>
        <v>8</v>
      </c>
      <c r="K40" s="44">
        <f>[5]Theory!F54</f>
        <v>8</v>
      </c>
      <c r="L40" s="49">
        <v>10</v>
      </c>
      <c r="M40" s="49">
        <v>10</v>
      </c>
      <c r="N40" s="49">
        <v>5</v>
      </c>
      <c r="O40" s="50">
        <f>[5]Theory!G54</f>
        <v>25</v>
      </c>
      <c r="P40" s="47">
        <f t="shared" si="1"/>
        <v>67</v>
      </c>
      <c r="Q40" s="51" t="str">
        <f>[5]Theory!J54</f>
        <v>B</v>
      </c>
      <c r="R40" s="57"/>
      <c r="S40" s="53">
        <f t="shared" si="2"/>
        <v>25</v>
      </c>
      <c r="T40" s="54">
        <f t="shared" si="3"/>
        <v>42</v>
      </c>
      <c r="U40" s="54"/>
      <c r="V40" s="54">
        <f t="shared" si="4"/>
        <v>73.529411764705884</v>
      </c>
      <c r="W40" s="54">
        <f t="shared" si="5"/>
        <v>63.636363636363633</v>
      </c>
      <c r="X40" s="54"/>
      <c r="Y40" s="55" t="str">
        <f t="shared" si="6"/>
        <v>Y</v>
      </c>
      <c r="Z40" s="55" t="str">
        <f t="shared" si="6"/>
        <v>Y</v>
      </c>
      <c r="AA40" s="56"/>
    </row>
    <row r="41" spans="2:27" ht="29.1" customHeight="1" thickBot="1" x14ac:dyDescent="0.45">
      <c r="B41" s="41">
        <v>31</v>
      </c>
      <c r="C41" s="42" t="str">
        <f>[5]Theory!A55</f>
        <v>2023-IT-54</v>
      </c>
      <c r="D41" s="43" t="str">
        <f>[5]Theory!B55</f>
        <v>Muhammad Zeeshan</v>
      </c>
      <c r="E41" s="44">
        <f>[5]Theory!D55</f>
        <v>10</v>
      </c>
      <c r="F41" s="45">
        <v>7</v>
      </c>
      <c r="G41" s="45">
        <v>8</v>
      </c>
      <c r="H41" s="46">
        <v>4</v>
      </c>
      <c r="I41" s="47">
        <f>[5]Theory!E55</f>
        <v>19</v>
      </c>
      <c r="J41" s="48">
        <f>[5]Theory!H55</f>
        <v>8</v>
      </c>
      <c r="K41" s="44">
        <f>[5]Theory!F55</f>
        <v>10</v>
      </c>
      <c r="L41" s="49">
        <v>10</v>
      </c>
      <c r="M41" s="49">
        <v>8</v>
      </c>
      <c r="N41" s="49">
        <v>5</v>
      </c>
      <c r="O41" s="50">
        <f>[5]Theory!G55</f>
        <v>23</v>
      </c>
      <c r="P41" s="47">
        <f t="shared" si="1"/>
        <v>70</v>
      </c>
      <c r="Q41" s="51" t="str">
        <f>[5]Theory!J55</f>
        <v>B</v>
      </c>
      <c r="R41" s="57"/>
      <c r="S41" s="53">
        <f t="shared" si="2"/>
        <v>27</v>
      </c>
      <c r="T41" s="54">
        <f t="shared" si="3"/>
        <v>43</v>
      </c>
      <c r="U41" s="54"/>
      <c r="V41" s="54">
        <f t="shared" si="4"/>
        <v>79.411764705882348</v>
      </c>
      <c r="W41" s="54">
        <f t="shared" si="5"/>
        <v>65.151515151515156</v>
      </c>
      <c r="X41" s="54"/>
      <c r="Y41" s="55" t="str">
        <f t="shared" si="6"/>
        <v>Y</v>
      </c>
      <c r="Z41" s="55" t="str">
        <f t="shared" si="6"/>
        <v>Y</v>
      </c>
      <c r="AA41" s="56"/>
    </row>
    <row r="42" spans="2:27" ht="29.1" customHeight="1" thickBot="1" x14ac:dyDescent="0.45">
      <c r="B42" s="41">
        <v>32</v>
      </c>
      <c r="C42" s="42" t="str">
        <f>[5]Theory!A56</f>
        <v>2023-IT-56</v>
      </c>
      <c r="D42" s="43" t="str">
        <f>[5]Theory!B56</f>
        <v>Muhammad Adeel</v>
      </c>
      <c r="E42" s="44">
        <f>[5]Theory!D56</f>
        <v>6</v>
      </c>
      <c r="F42" s="45">
        <v>6</v>
      </c>
      <c r="G42" s="45">
        <v>5</v>
      </c>
      <c r="H42" s="46">
        <v>4</v>
      </c>
      <c r="I42" s="47">
        <f>[5]Theory!E56</f>
        <v>15</v>
      </c>
      <c r="J42" s="48">
        <f>[5]Theory!H56</f>
        <v>7</v>
      </c>
      <c r="K42" s="44">
        <f>[5]Theory!F56</f>
        <v>6</v>
      </c>
      <c r="L42" s="49">
        <v>8</v>
      </c>
      <c r="M42" s="49">
        <v>8</v>
      </c>
      <c r="N42" s="49">
        <v>6</v>
      </c>
      <c r="O42" s="50">
        <f>[5]Theory!G56</f>
        <v>22</v>
      </c>
      <c r="P42" s="47">
        <f t="shared" si="1"/>
        <v>56</v>
      </c>
      <c r="Q42" s="51" t="str">
        <f>[5]Theory!J56</f>
        <v>C+</v>
      </c>
      <c r="R42" s="57"/>
      <c r="S42" s="53">
        <f t="shared" si="2"/>
        <v>20</v>
      </c>
      <c r="T42" s="54">
        <f t="shared" si="3"/>
        <v>36</v>
      </c>
      <c r="U42" s="54"/>
      <c r="V42" s="54">
        <f t="shared" si="4"/>
        <v>58.82352941176471</v>
      </c>
      <c r="W42" s="54">
        <f t="shared" si="5"/>
        <v>54.54545454545454</v>
      </c>
      <c r="X42" s="54"/>
      <c r="Y42" s="55" t="str">
        <f t="shared" si="6"/>
        <v>Y</v>
      </c>
      <c r="Z42" s="55" t="str">
        <f t="shared" si="6"/>
        <v>Y</v>
      </c>
      <c r="AA42" s="56"/>
    </row>
    <row r="43" spans="2:27" ht="29.1" customHeight="1" thickBot="1" x14ac:dyDescent="0.45">
      <c r="B43" s="41">
        <v>33</v>
      </c>
      <c r="C43" s="42" t="str">
        <f>[5]Theory!A57</f>
        <v>2023-IT-60</v>
      </c>
      <c r="D43" s="43" t="str">
        <f>[5]Theory!B57</f>
        <v>Mughees Ahmad</v>
      </c>
      <c r="E43" s="44">
        <f>[5]Theory!D57</f>
        <v>5</v>
      </c>
      <c r="F43" s="45">
        <v>8</v>
      </c>
      <c r="G43" s="45">
        <v>7</v>
      </c>
      <c r="H43" s="46">
        <v>5</v>
      </c>
      <c r="I43" s="47">
        <f>[5]Theory!E57</f>
        <v>20</v>
      </c>
      <c r="J43" s="48">
        <f>[5]Theory!H57</f>
        <v>8</v>
      </c>
      <c r="K43" s="44">
        <f>[5]Theory!F57</f>
        <v>9</v>
      </c>
      <c r="L43" s="49">
        <v>8</v>
      </c>
      <c r="M43" s="49">
        <v>10</v>
      </c>
      <c r="N43" s="49">
        <v>6</v>
      </c>
      <c r="O43" s="50">
        <f>[5]Theory!G57</f>
        <v>24</v>
      </c>
      <c r="P43" s="47">
        <f t="shared" si="1"/>
        <v>66</v>
      </c>
      <c r="Q43" s="51" t="str">
        <f>[5]Theory!J57</f>
        <v>B</v>
      </c>
      <c r="R43" s="57"/>
      <c r="S43" s="53">
        <f t="shared" si="2"/>
        <v>21</v>
      </c>
      <c r="T43" s="54">
        <f t="shared" si="3"/>
        <v>45</v>
      </c>
      <c r="U43" s="54"/>
      <c r="V43" s="54">
        <f t="shared" si="4"/>
        <v>61.764705882352942</v>
      </c>
      <c r="W43" s="54">
        <f t="shared" si="5"/>
        <v>68.181818181818173</v>
      </c>
      <c r="X43" s="54"/>
      <c r="Y43" s="55" t="str">
        <f t="shared" si="6"/>
        <v>Y</v>
      </c>
      <c r="Z43" s="55" t="str">
        <f t="shared" si="6"/>
        <v>Y</v>
      </c>
      <c r="AA43" s="56"/>
    </row>
    <row r="44" spans="2:27" ht="29.1" customHeight="1" thickBot="1" x14ac:dyDescent="0.45">
      <c r="B44" s="41">
        <v>34</v>
      </c>
      <c r="C44" s="42" t="str">
        <f>[5]Theory!A58</f>
        <v>2023-IT-62</v>
      </c>
      <c r="D44" s="43" t="str">
        <f>[5]Theory!B58</f>
        <v>Muhammad Azeem</v>
      </c>
      <c r="E44" s="44">
        <f>[5]Theory!D58</f>
        <v>7</v>
      </c>
      <c r="F44" s="45">
        <v>7</v>
      </c>
      <c r="G44" s="45">
        <v>8</v>
      </c>
      <c r="H44" s="46">
        <v>6</v>
      </c>
      <c r="I44" s="47">
        <f>[5]Theory!E58</f>
        <v>21</v>
      </c>
      <c r="J44" s="48">
        <f>[5]Theory!H58</f>
        <v>8</v>
      </c>
      <c r="K44" s="44">
        <f>[5]Theory!F58</f>
        <v>9</v>
      </c>
      <c r="L44" s="49">
        <v>10</v>
      </c>
      <c r="M44" s="49">
        <v>12</v>
      </c>
      <c r="N44" s="49">
        <v>9</v>
      </c>
      <c r="O44" s="50">
        <f>[5]Theory!G58</f>
        <v>31</v>
      </c>
      <c r="P44" s="47">
        <f t="shared" si="1"/>
        <v>76</v>
      </c>
      <c r="Q44" s="51" t="str">
        <f>[5]Theory!J58</f>
        <v>B+</v>
      </c>
      <c r="R44" s="57"/>
      <c r="S44" s="53">
        <f t="shared" si="2"/>
        <v>24</v>
      </c>
      <c r="T44" s="54">
        <f t="shared" si="3"/>
        <v>52</v>
      </c>
      <c r="U44" s="54"/>
      <c r="V44" s="54">
        <f t="shared" si="4"/>
        <v>70.588235294117652</v>
      </c>
      <c r="W44" s="54">
        <f t="shared" si="5"/>
        <v>78.787878787878782</v>
      </c>
      <c r="X44" s="54"/>
      <c r="Y44" s="55" t="str">
        <f t="shared" si="6"/>
        <v>Y</v>
      </c>
      <c r="Z44" s="55" t="str">
        <f t="shared" si="6"/>
        <v>Y</v>
      </c>
      <c r="AA44" s="56"/>
    </row>
    <row r="45" spans="2:27" ht="29.1" customHeight="1" thickBot="1" x14ac:dyDescent="0.45">
      <c r="B45" s="41">
        <v>35</v>
      </c>
      <c r="C45" s="42" t="str">
        <f>[5]Theory!A59</f>
        <v>2023-IT-64</v>
      </c>
      <c r="D45" s="43" t="str">
        <f>[5]Theory!B59</f>
        <v>Abdul Ahad</v>
      </c>
      <c r="E45" s="44">
        <f>[5]Theory!D59</f>
        <v>0</v>
      </c>
      <c r="F45" s="45">
        <v>0</v>
      </c>
      <c r="G45" s="45">
        <v>0</v>
      </c>
      <c r="H45" s="46">
        <v>0</v>
      </c>
      <c r="I45" s="47">
        <f>[5]Theory!E59</f>
        <v>0</v>
      </c>
      <c r="J45" s="48">
        <f>[5]Theory!H59</f>
        <v>0</v>
      </c>
      <c r="K45" s="44">
        <f>[5]Theory!F59</f>
        <v>0</v>
      </c>
      <c r="L45" s="49">
        <v>0</v>
      </c>
      <c r="M45" s="49">
        <v>0</v>
      </c>
      <c r="N45" s="49">
        <v>0</v>
      </c>
      <c r="O45" s="50">
        <f>[5]Theory!G59</f>
        <v>0</v>
      </c>
      <c r="P45" s="47">
        <f t="shared" si="1"/>
        <v>0</v>
      </c>
      <c r="Q45" s="51" t="str">
        <f>[5]Theory!J59</f>
        <v>F</v>
      </c>
      <c r="R45" s="57"/>
      <c r="S45" s="53">
        <f t="shared" si="2"/>
        <v>0</v>
      </c>
      <c r="T45" s="54">
        <f t="shared" si="3"/>
        <v>0</v>
      </c>
      <c r="U45" s="54"/>
      <c r="V45" s="54">
        <f t="shared" si="4"/>
        <v>0</v>
      </c>
      <c r="W45" s="54">
        <f t="shared" si="5"/>
        <v>0</v>
      </c>
      <c r="X45" s="54"/>
      <c r="Y45" s="55" t="str">
        <f t="shared" si="6"/>
        <v>N</v>
      </c>
      <c r="Z45" s="55" t="str">
        <f t="shared" si="6"/>
        <v>N</v>
      </c>
      <c r="AA45" s="56"/>
    </row>
    <row r="46" spans="2:27" ht="29.1" customHeight="1" thickBot="1" x14ac:dyDescent="0.45">
      <c r="B46" s="41">
        <v>36</v>
      </c>
      <c r="C46" s="42" t="str">
        <f>[5]Theory!A60</f>
        <v>2023-IT-66</v>
      </c>
      <c r="D46" s="43" t="str">
        <f>[5]Theory!B60</f>
        <v>Muhammad Haris Javed</v>
      </c>
      <c r="E46" s="44">
        <f>[5]Theory!D60</f>
        <v>9</v>
      </c>
      <c r="F46" s="45">
        <v>7</v>
      </c>
      <c r="G46" s="45">
        <v>7</v>
      </c>
      <c r="H46" s="46">
        <v>4</v>
      </c>
      <c r="I46" s="47">
        <f>[5]Theory!E60</f>
        <v>18</v>
      </c>
      <c r="J46" s="48">
        <f>[5]Theory!H60</f>
        <v>8</v>
      </c>
      <c r="K46" s="44">
        <f>[5]Theory!F60</f>
        <v>10</v>
      </c>
      <c r="L46" s="49">
        <v>10</v>
      </c>
      <c r="M46" s="49">
        <v>14</v>
      </c>
      <c r="N46" s="49">
        <v>9</v>
      </c>
      <c r="O46" s="50">
        <f>[5]Theory!G60</f>
        <v>33</v>
      </c>
      <c r="P46" s="47">
        <f t="shared" si="1"/>
        <v>78</v>
      </c>
      <c r="Q46" s="51" t="str">
        <f>[5]Theory!J60</f>
        <v>A-</v>
      </c>
      <c r="R46" s="57"/>
      <c r="S46" s="53">
        <f t="shared" si="2"/>
        <v>26</v>
      </c>
      <c r="T46" s="54">
        <f t="shared" si="3"/>
        <v>52</v>
      </c>
      <c r="U46" s="54"/>
      <c r="V46" s="54">
        <f t="shared" si="4"/>
        <v>76.470588235294116</v>
      </c>
      <c r="W46" s="54">
        <f t="shared" si="5"/>
        <v>78.787878787878782</v>
      </c>
      <c r="X46" s="54"/>
      <c r="Y46" s="55" t="str">
        <f t="shared" si="6"/>
        <v>Y</v>
      </c>
      <c r="Z46" s="55" t="str">
        <f t="shared" si="6"/>
        <v>Y</v>
      </c>
      <c r="AA46" s="56"/>
    </row>
    <row r="47" spans="2:27" ht="29.1" customHeight="1" thickBot="1" x14ac:dyDescent="0.45">
      <c r="B47" s="41">
        <v>37</v>
      </c>
      <c r="C47" s="42" t="str">
        <f>[5]Theory!A61</f>
        <v>2023-IT-68</v>
      </c>
      <c r="D47" s="43" t="str">
        <f>[5]Theory!B61</f>
        <v>Muhammad Mubashir</v>
      </c>
      <c r="E47" s="44">
        <f>[5]Theory!D61</f>
        <v>7</v>
      </c>
      <c r="F47" s="45">
        <v>7</v>
      </c>
      <c r="G47" s="45">
        <v>8</v>
      </c>
      <c r="H47" s="46">
        <v>4</v>
      </c>
      <c r="I47" s="47">
        <f>[5]Theory!E61</f>
        <v>19</v>
      </c>
      <c r="J47" s="48">
        <f>[5]Theory!H61</f>
        <v>8</v>
      </c>
      <c r="K47" s="44">
        <f>[5]Theory!F61</f>
        <v>7</v>
      </c>
      <c r="L47" s="49">
        <v>10</v>
      </c>
      <c r="M47" s="49">
        <v>12</v>
      </c>
      <c r="N47" s="49">
        <v>4</v>
      </c>
      <c r="O47" s="50">
        <f>[5]Theory!G61</f>
        <v>26</v>
      </c>
      <c r="P47" s="47">
        <f t="shared" si="1"/>
        <v>67</v>
      </c>
      <c r="Q47" s="51" t="str">
        <f>[5]Theory!J61</f>
        <v>B</v>
      </c>
      <c r="R47" s="57"/>
      <c r="S47" s="53">
        <f t="shared" si="2"/>
        <v>24</v>
      </c>
      <c r="T47" s="54">
        <f t="shared" si="3"/>
        <v>43</v>
      </c>
      <c r="U47" s="54"/>
      <c r="V47" s="54">
        <f t="shared" si="4"/>
        <v>70.588235294117652</v>
      </c>
      <c r="W47" s="54">
        <f t="shared" si="5"/>
        <v>65.151515151515156</v>
      </c>
      <c r="X47" s="54"/>
      <c r="Y47" s="55" t="str">
        <f t="shared" si="6"/>
        <v>Y</v>
      </c>
      <c r="Z47" s="55" t="str">
        <f t="shared" si="6"/>
        <v>Y</v>
      </c>
      <c r="AA47" s="56"/>
    </row>
    <row r="48" spans="2:27" ht="29.1" customHeight="1" thickBot="1" x14ac:dyDescent="0.45">
      <c r="B48" s="41">
        <v>38</v>
      </c>
      <c r="C48" s="42" t="str">
        <f>[5]Theory!A62</f>
        <v>2023-IT-70</v>
      </c>
      <c r="D48" s="43" t="str">
        <f>[5]Theory!B62</f>
        <v>Muhammad Usama</v>
      </c>
      <c r="E48" s="44">
        <f>[5]Theory!D62</f>
        <v>0</v>
      </c>
      <c r="F48" s="45">
        <v>0</v>
      </c>
      <c r="G48" s="45">
        <v>0</v>
      </c>
      <c r="H48" s="46">
        <v>0</v>
      </c>
      <c r="I48" s="47">
        <f>[5]Theory!E62</f>
        <v>0</v>
      </c>
      <c r="J48" s="48">
        <f>[5]Theory!H62</f>
        <v>0</v>
      </c>
      <c r="K48" s="44">
        <f>[5]Theory!F62</f>
        <v>0</v>
      </c>
      <c r="L48" s="49">
        <v>0</v>
      </c>
      <c r="M48" s="49">
        <v>0</v>
      </c>
      <c r="N48" s="49">
        <v>0</v>
      </c>
      <c r="O48" s="50">
        <f>[5]Theory!G62</f>
        <v>0</v>
      </c>
      <c r="P48" s="47">
        <f t="shared" si="1"/>
        <v>0</v>
      </c>
      <c r="Q48" s="51" t="str">
        <f>[5]Theory!J62</f>
        <v>F</v>
      </c>
      <c r="R48" s="57"/>
      <c r="S48" s="53">
        <f t="shared" si="2"/>
        <v>0</v>
      </c>
      <c r="T48" s="54">
        <f t="shared" si="3"/>
        <v>0</v>
      </c>
      <c r="U48" s="54"/>
      <c r="V48" s="54">
        <f t="shared" si="4"/>
        <v>0</v>
      </c>
      <c r="W48" s="54">
        <f t="shared" si="5"/>
        <v>0</v>
      </c>
      <c r="X48" s="54"/>
      <c r="Y48" s="55" t="str">
        <f t="shared" si="6"/>
        <v>N</v>
      </c>
      <c r="Z48" s="55" t="str">
        <f t="shared" si="6"/>
        <v>N</v>
      </c>
      <c r="AA48" s="56"/>
    </row>
    <row r="49" spans="2:27" ht="29.1" customHeight="1" thickBot="1" x14ac:dyDescent="0.45">
      <c r="B49" s="41">
        <v>39</v>
      </c>
      <c r="C49" s="42" t="str">
        <f>[5]Theory!A63</f>
        <v>2023-IT-72</v>
      </c>
      <c r="D49" s="43" t="str">
        <f>[5]Theory!B63</f>
        <v>Muhammad Zohaib Akhtar</v>
      </c>
      <c r="E49" s="44">
        <f>[5]Theory!D63</f>
        <v>7</v>
      </c>
      <c r="F49" s="45">
        <v>7</v>
      </c>
      <c r="G49" s="45">
        <v>8</v>
      </c>
      <c r="H49" s="46">
        <v>4</v>
      </c>
      <c r="I49" s="47">
        <f>[5]Theory!E63</f>
        <v>19</v>
      </c>
      <c r="J49" s="48">
        <f>[5]Theory!H63</f>
        <v>7</v>
      </c>
      <c r="K49" s="44">
        <f>[5]Theory!F63</f>
        <v>10</v>
      </c>
      <c r="L49" s="49">
        <v>12</v>
      </c>
      <c r="M49" s="49">
        <v>12</v>
      </c>
      <c r="N49" s="49">
        <v>5</v>
      </c>
      <c r="O49" s="50">
        <f>[5]Theory!G63</f>
        <v>29</v>
      </c>
      <c r="P49" s="47">
        <f t="shared" si="1"/>
        <v>72</v>
      </c>
      <c r="Q49" s="51" t="str">
        <f>[5]Theory!J63</f>
        <v>B+</v>
      </c>
      <c r="R49" s="57"/>
      <c r="S49" s="53">
        <f t="shared" si="2"/>
        <v>26</v>
      </c>
      <c r="T49" s="54">
        <f t="shared" si="3"/>
        <v>46</v>
      </c>
      <c r="U49" s="54"/>
      <c r="V49" s="54">
        <f t="shared" si="4"/>
        <v>76.470588235294116</v>
      </c>
      <c r="W49" s="54">
        <f t="shared" si="5"/>
        <v>69.696969696969703</v>
      </c>
      <c r="X49" s="54"/>
      <c r="Y49" s="55" t="str">
        <f t="shared" si="6"/>
        <v>Y</v>
      </c>
      <c r="Z49" s="55" t="str">
        <f t="shared" si="6"/>
        <v>Y</v>
      </c>
      <c r="AA49" s="56"/>
    </row>
    <row r="50" spans="2:27" ht="29.1" customHeight="1" thickBot="1" x14ac:dyDescent="0.45">
      <c r="B50" s="41">
        <v>40</v>
      </c>
      <c r="C50" s="42" t="str">
        <f>[5]Theory!A64</f>
        <v>2023-IT-74</v>
      </c>
      <c r="D50" s="43" t="str">
        <f>[5]Theory!B64</f>
        <v>Ashir Mudassir</v>
      </c>
      <c r="E50" s="44">
        <f>[5]Theory!D64</f>
        <v>5</v>
      </c>
      <c r="F50" s="45">
        <v>6</v>
      </c>
      <c r="G50" s="45">
        <v>6</v>
      </c>
      <c r="H50" s="46">
        <v>5</v>
      </c>
      <c r="I50" s="47">
        <f>[5]Theory!E64</f>
        <v>17</v>
      </c>
      <c r="J50" s="48">
        <f>[5]Theory!H64</f>
        <v>8</v>
      </c>
      <c r="K50" s="44">
        <f>[5]Theory!F64</f>
        <v>9</v>
      </c>
      <c r="L50" s="49">
        <v>11</v>
      </c>
      <c r="M50" s="49">
        <v>11</v>
      </c>
      <c r="N50" s="49">
        <v>9</v>
      </c>
      <c r="O50" s="50">
        <f>[5]Theory!G64</f>
        <v>31</v>
      </c>
      <c r="P50" s="47">
        <f t="shared" si="1"/>
        <v>70</v>
      </c>
      <c r="Q50" s="51" t="str">
        <f>[5]Theory!J64</f>
        <v>B</v>
      </c>
      <c r="R50" s="57"/>
      <c r="S50" s="53">
        <f t="shared" si="2"/>
        <v>22</v>
      </c>
      <c r="T50" s="54">
        <f t="shared" si="3"/>
        <v>48</v>
      </c>
      <c r="U50" s="54"/>
      <c r="V50" s="54">
        <f t="shared" si="4"/>
        <v>64.705882352941174</v>
      </c>
      <c r="W50" s="54">
        <f t="shared" si="5"/>
        <v>72.727272727272734</v>
      </c>
      <c r="X50" s="54"/>
      <c r="Y50" s="55" t="str">
        <f t="shared" si="6"/>
        <v>Y</v>
      </c>
      <c r="Z50" s="55" t="str">
        <f t="shared" si="6"/>
        <v>Y</v>
      </c>
      <c r="AA50" s="56"/>
    </row>
    <row r="51" spans="2:27" ht="29.1" customHeight="1" thickBot="1" x14ac:dyDescent="0.45">
      <c r="B51" s="41">
        <v>41</v>
      </c>
      <c r="C51" s="42" t="str">
        <f>[5]Theory!A65</f>
        <v>2023-IT-76</v>
      </c>
      <c r="D51" s="43" t="str">
        <f>[5]Theory!B65</f>
        <v>Rao Usama</v>
      </c>
      <c r="E51" s="44">
        <f>[5]Theory!D65</f>
        <v>8</v>
      </c>
      <c r="F51" s="45">
        <v>5</v>
      </c>
      <c r="G51" s="45">
        <v>4</v>
      </c>
      <c r="H51" s="46">
        <v>2</v>
      </c>
      <c r="I51" s="47">
        <f>[5]Theory!E65</f>
        <v>11</v>
      </c>
      <c r="J51" s="48">
        <f>[5]Theory!H65</f>
        <v>8</v>
      </c>
      <c r="K51" s="44">
        <f>[5]Theory!F65</f>
        <v>8</v>
      </c>
      <c r="L51" s="49">
        <v>6</v>
      </c>
      <c r="M51" s="49">
        <v>10</v>
      </c>
      <c r="N51" s="49">
        <v>7</v>
      </c>
      <c r="O51" s="50">
        <f>[5]Theory!G65</f>
        <v>23</v>
      </c>
      <c r="P51" s="47">
        <f t="shared" si="1"/>
        <v>58</v>
      </c>
      <c r="Q51" s="51" t="str">
        <f>[5]Theory!J65</f>
        <v>C+</v>
      </c>
      <c r="R51" s="57"/>
      <c r="S51" s="53">
        <f t="shared" si="2"/>
        <v>19</v>
      </c>
      <c r="T51" s="54">
        <f t="shared" si="3"/>
        <v>39</v>
      </c>
      <c r="U51" s="54"/>
      <c r="V51" s="54">
        <f t="shared" si="4"/>
        <v>55.882352941176471</v>
      </c>
      <c r="W51" s="54">
        <f t="shared" si="5"/>
        <v>59.090909090909093</v>
      </c>
      <c r="X51" s="54"/>
      <c r="Y51" s="55" t="str">
        <f t="shared" si="6"/>
        <v>Y</v>
      </c>
      <c r="Z51" s="55" t="str">
        <f t="shared" si="6"/>
        <v>Y</v>
      </c>
      <c r="AA51" s="56"/>
    </row>
    <row r="52" spans="2:27" ht="29.1" customHeight="1" thickBot="1" x14ac:dyDescent="0.45">
      <c r="B52" s="41">
        <v>42</v>
      </c>
      <c r="C52" s="42" t="str">
        <f>[5]Theory!A66</f>
        <v>2023-IT-78</v>
      </c>
      <c r="D52" s="43" t="str">
        <f>[5]Theory!B66</f>
        <v>Muhammad Zaman</v>
      </c>
      <c r="E52" s="44">
        <f>[5]Theory!D66</f>
        <v>5</v>
      </c>
      <c r="F52" s="45">
        <v>6</v>
      </c>
      <c r="G52" s="45">
        <v>6</v>
      </c>
      <c r="H52" s="46">
        <v>5</v>
      </c>
      <c r="I52" s="47">
        <f>[5]Theory!E66</f>
        <v>17</v>
      </c>
      <c r="J52" s="48">
        <f>[5]Theory!H66</f>
        <v>8</v>
      </c>
      <c r="K52" s="44">
        <f>[5]Theory!F66</f>
        <v>7</v>
      </c>
      <c r="L52" s="49">
        <v>8</v>
      </c>
      <c r="M52" s="49">
        <v>12</v>
      </c>
      <c r="N52" s="49">
        <v>7</v>
      </c>
      <c r="O52" s="50">
        <f>[5]Theory!G66</f>
        <v>27</v>
      </c>
      <c r="P52" s="47">
        <f t="shared" si="1"/>
        <v>64</v>
      </c>
      <c r="Q52" s="51" t="str">
        <f>[5]Theory!J66</f>
        <v>B-</v>
      </c>
      <c r="R52" s="57"/>
      <c r="S52" s="53">
        <f t="shared" si="2"/>
        <v>19</v>
      </c>
      <c r="T52" s="54">
        <f t="shared" si="3"/>
        <v>45</v>
      </c>
      <c r="U52" s="54"/>
      <c r="V52" s="54">
        <f t="shared" si="4"/>
        <v>55.882352941176471</v>
      </c>
      <c r="W52" s="54">
        <f t="shared" si="5"/>
        <v>68.181818181818173</v>
      </c>
      <c r="X52" s="54"/>
      <c r="Y52" s="55" t="str">
        <f t="shared" si="6"/>
        <v>Y</v>
      </c>
      <c r="Z52" s="55" t="str">
        <f t="shared" si="6"/>
        <v>Y</v>
      </c>
      <c r="AA52" s="56"/>
    </row>
    <row r="53" spans="2:27" ht="29.1" customHeight="1" thickBot="1" x14ac:dyDescent="0.45">
      <c r="B53" s="41">
        <v>43</v>
      </c>
      <c r="C53" s="42" t="str">
        <f>[5]Theory!A67</f>
        <v>2023-IT-79</v>
      </c>
      <c r="D53" s="43" t="str">
        <f>[5]Theory!B67</f>
        <v>Iqra Moeen</v>
      </c>
      <c r="E53" s="44">
        <f>[5]Theory!D67</f>
        <v>4</v>
      </c>
      <c r="F53" s="45">
        <v>5</v>
      </c>
      <c r="G53" s="45">
        <v>2</v>
      </c>
      <c r="H53" s="46">
        <v>0</v>
      </c>
      <c r="I53" s="47">
        <f>[5]Theory!E67</f>
        <v>7</v>
      </c>
      <c r="J53" s="48">
        <f>[5]Theory!H67</f>
        <v>8</v>
      </c>
      <c r="K53" s="44">
        <f>[5]Theory!F67</f>
        <v>6</v>
      </c>
      <c r="L53" s="49">
        <v>6</v>
      </c>
      <c r="M53" s="49">
        <v>14</v>
      </c>
      <c r="N53" s="49">
        <v>7</v>
      </c>
      <c r="O53" s="50">
        <f>[5]Theory!G67</f>
        <v>27</v>
      </c>
      <c r="P53" s="47">
        <f t="shared" si="1"/>
        <v>52</v>
      </c>
      <c r="Q53" s="51" t="str">
        <f>[5]Theory!J67</f>
        <v>C</v>
      </c>
      <c r="R53" s="57"/>
      <c r="S53" s="53">
        <f t="shared" si="2"/>
        <v>15</v>
      </c>
      <c r="T53" s="54">
        <f t="shared" si="3"/>
        <v>37</v>
      </c>
      <c r="U53" s="54"/>
      <c r="V53" s="54">
        <f t="shared" si="4"/>
        <v>44.117647058823529</v>
      </c>
      <c r="W53" s="54">
        <f t="shared" si="5"/>
        <v>56.060606060606055</v>
      </c>
      <c r="X53" s="54"/>
      <c r="Y53" s="55" t="str">
        <f t="shared" si="6"/>
        <v>N</v>
      </c>
      <c r="Z53" s="55" t="str">
        <f t="shared" si="6"/>
        <v>Y</v>
      </c>
      <c r="AA53" s="56"/>
    </row>
    <row r="54" spans="2:27" ht="29.1" customHeight="1" thickBot="1" x14ac:dyDescent="0.45">
      <c r="B54" s="41">
        <v>44</v>
      </c>
      <c r="C54" s="42" t="str">
        <f>[5]Theory!A68</f>
        <v>2023-IT-80</v>
      </c>
      <c r="D54" s="43" t="str">
        <f>[5]Theory!B68</f>
        <v>Ali Raza</v>
      </c>
      <c r="E54" s="44">
        <f>[5]Theory!D68</f>
        <v>5</v>
      </c>
      <c r="F54" s="45">
        <v>8</v>
      </c>
      <c r="G54" s="45">
        <v>8</v>
      </c>
      <c r="H54" s="46">
        <v>3</v>
      </c>
      <c r="I54" s="47">
        <f>[5]Theory!E68</f>
        <v>19</v>
      </c>
      <c r="J54" s="48">
        <f>[5]Theory!H68</f>
        <v>7</v>
      </c>
      <c r="K54" s="44">
        <f>[5]Theory!F68</f>
        <v>6</v>
      </c>
      <c r="L54" s="49">
        <v>6</v>
      </c>
      <c r="M54" s="49">
        <v>14</v>
      </c>
      <c r="N54" s="49">
        <v>8</v>
      </c>
      <c r="O54" s="50">
        <f>[5]Theory!G68</f>
        <v>28</v>
      </c>
      <c r="P54" s="47">
        <f t="shared" si="1"/>
        <v>65</v>
      </c>
      <c r="Q54" s="51" t="str">
        <f>[5]Theory!J68</f>
        <v>B-</v>
      </c>
      <c r="R54" s="57"/>
      <c r="S54" s="53">
        <f t="shared" si="2"/>
        <v>19</v>
      </c>
      <c r="T54" s="54">
        <f t="shared" si="3"/>
        <v>46</v>
      </c>
      <c r="U54" s="54"/>
      <c r="V54" s="54">
        <f t="shared" si="4"/>
        <v>55.882352941176471</v>
      </c>
      <c r="W54" s="54">
        <f t="shared" si="5"/>
        <v>69.696969696969703</v>
      </c>
      <c r="X54" s="54"/>
      <c r="Y54" s="55" t="str">
        <f t="shared" si="6"/>
        <v>Y</v>
      </c>
      <c r="Z54" s="55" t="str">
        <f t="shared" si="6"/>
        <v>Y</v>
      </c>
      <c r="AA54" s="56"/>
    </row>
    <row r="55" spans="2:27" ht="28.5" customHeight="1" x14ac:dyDescent="0.4">
      <c r="B55" s="41"/>
      <c r="C55" s="42"/>
      <c r="D55" s="43"/>
      <c r="E55" s="44"/>
      <c r="F55" s="45"/>
      <c r="G55" s="45"/>
      <c r="H55" s="46"/>
      <c r="I55" s="47"/>
      <c r="J55" s="48"/>
      <c r="K55" s="44"/>
      <c r="L55" s="49"/>
      <c r="M55" s="49"/>
      <c r="N55" s="49"/>
      <c r="O55" s="50"/>
      <c r="P55" s="47"/>
      <c r="Q55" s="51"/>
      <c r="R55" s="57"/>
      <c r="S55" s="53"/>
      <c r="T55" s="54"/>
      <c r="U55" s="54"/>
      <c r="V55" s="54"/>
      <c r="W55" s="54"/>
      <c r="X55" s="54"/>
      <c r="Y55" s="55"/>
      <c r="Z55" s="55"/>
      <c r="AA55" s="56"/>
    </row>
    <row r="56" spans="2:27" ht="26.25" x14ac:dyDescent="0.25">
      <c r="B56" s="58"/>
      <c r="C56" s="59"/>
      <c r="D56" s="59"/>
      <c r="E56" s="59"/>
      <c r="F56" s="59"/>
      <c r="G56" s="60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spans="2:27" x14ac:dyDescent="0.3">
      <c r="B57" s="373" t="s">
        <v>30</v>
      </c>
      <c r="C57" s="373"/>
      <c r="D57" s="373"/>
      <c r="E57" s="61"/>
      <c r="F57" s="61"/>
      <c r="G57" s="61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spans="2:27" x14ac:dyDescent="0.3">
      <c r="B58" s="374" t="str">
        <f>D64</f>
        <v>Hina Zulfiqar</v>
      </c>
      <c r="C58" s="374"/>
      <c r="D58" s="374"/>
      <c r="E58" s="63"/>
      <c r="F58" s="62" t="s">
        <v>32</v>
      </c>
      <c r="G58" s="62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61" spans="2:27" ht="42" customHeight="1" x14ac:dyDescent="0.25"/>
    <row r="62" spans="2:27" ht="24.95" customHeight="1" x14ac:dyDescent="0.25">
      <c r="B62" s="375" t="str">
        <f>B1</f>
        <v>MNS - UNIVERSITY OF ENGINEERING AND TECHNOLOGY MULTAN</v>
      </c>
      <c r="C62" s="375"/>
      <c r="D62" s="375"/>
      <c r="E62" s="375"/>
      <c r="F62" s="375"/>
      <c r="G62" s="375"/>
      <c r="H62" s="375"/>
      <c r="I62" s="375"/>
    </row>
    <row r="63" spans="2:27" ht="25.5" customHeight="1" x14ac:dyDescent="0.25">
      <c r="B63" s="359" t="str">
        <f>E3</f>
        <v>Title (Code):   Functional English  (ENG-115)</v>
      </c>
      <c r="C63" s="360"/>
      <c r="D63" s="363" t="str">
        <f>S1</f>
        <v>Fall 2023</v>
      </c>
      <c r="E63" s="363"/>
      <c r="F63" s="363"/>
      <c r="G63" s="363"/>
      <c r="H63" s="363"/>
      <c r="I63" s="363"/>
    </row>
    <row r="64" spans="2:27" ht="34.5" customHeight="1" x14ac:dyDescent="0.25">
      <c r="B64" s="361"/>
      <c r="C64" s="362"/>
      <c r="D64" s="363" t="str">
        <f>X1</f>
        <v>Hina Zulfiqar</v>
      </c>
      <c r="E64" s="363"/>
      <c r="F64" s="363"/>
      <c r="G64" s="363"/>
      <c r="H64" s="363"/>
      <c r="I64" s="363"/>
    </row>
    <row r="65" spans="2:9" ht="25.5" x14ac:dyDescent="0.25">
      <c r="B65" s="379" t="s">
        <v>33</v>
      </c>
      <c r="C65" s="379"/>
      <c r="D65" s="379"/>
      <c r="E65" s="379"/>
      <c r="F65" s="379"/>
      <c r="G65" s="379"/>
      <c r="H65" s="379"/>
      <c r="I65" s="379"/>
    </row>
    <row r="66" spans="2:9" x14ac:dyDescent="0.25">
      <c r="B66" s="380"/>
      <c r="C66" s="380"/>
      <c r="D66" s="380"/>
      <c r="E66" s="380"/>
      <c r="F66" s="380"/>
      <c r="G66" s="380"/>
      <c r="H66" s="380"/>
      <c r="I66" s="380"/>
    </row>
    <row r="68" spans="2:9" x14ac:dyDescent="0.25">
      <c r="B68" s="1"/>
      <c r="C68" s="1"/>
      <c r="D68" s="317" t="s">
        <v>34</v>
      </c>
      <c r="E68" s="317"/>
      <c r="F68" s="317"/>
      <c r="G68" s="317"/>
      <c r="H68" s="317"/>
      <c r="I68" s="317"/>
    </row>
    <row r="69" spans="2:9" ht="20.25" customHeight="1" x14ac:dyDescent="0.25">
      <c r="B69" s="1" t="s">
        <v>25</v>
      </c>
      <c r="C69" s="1" t="s">
        <v>35</v>
      </c>
      <c r="D69" s="1" t="s">
        <v>36</v>
      </c>
      <c r="E69" s="66"/>
      <c r="F69" s="381" t="s">
        <v>37</v>
      </c>
      <c r="G69" s="315"/>
      <c r="H69" s="315"/>
      <c r="I69" s="316"/>
    </row>
    <row r="70" spans="2:9" x14ac:dyDescent="0.25">
      <c r="B70" s="58">
        <v>1</v>
      </c>
      <c r="C70" s="58">
        <f>S6</f>
        <v>1</v>
      </c>
      <c r="D70" s="58">
        <f>COUNTIF($Y$11:$Y$55,Y10)</f>
        <v>36</v>
      </c>
      <c r="E70" s="67"/>
      <c r="F70" s="376">
        <f>COUNTIF($Y$11:$Y$55,Z10)</f>
        <v>8</v>
      </c>
      <c r="G70" s="377"/>
      <c r="H70" s="377"/>
      <c r="I70" s="378"/>
    </row>
    <row r="71" spans="2:9" x14ac:dyDescent="0.25">
      <c r="B71" s="58">
        <v>2</v>
      </c>
      <c r="C71" s="58">
        <f>T6</f>
        <v>7</v>
      </c>
      <c r="D71" s="58">
        <f>COUNTIF($Z$11:$Z$55,Z11)</f>
        <v>34</v>
      </c>
      <c r="E71" s="67"/>
      <c r="F71" s="376">
        <f>COUNTIF($Z$11:$Z$55,Z10)</f>
        <v>10</v>
      </c>
      <c r="G71" s="377"/>
      <c r="H71" s="377"/>
      <c r="I71" s="378"/>
    </row>
    <row r="72" spans="2:9" x14ac:dyDescent="0.25">
      <c r="B72" s="58">
        <v>3</v>
      </c>
      <c r="C72" s="58">
        <f>U6</f>
        <v>0</v>
      </c>
      <c r="D72" s="58">
        <f>COUNTIF($AA$11:$AA$55,Y10)</f>
        <v>0</v>
      </c>
      <c r="E72" s="67"/>
      <c r="F72" s="376">
        <f>COUNTIF($AA$11:$AA$55,Z10)</f>
        <v>0</v>
      </c>
      <c r="G72" s="377"/>
      <c r="H72" s="377"/>
      <c r="I72" s="378"/>
    </row>
    <row r="101" spans="3:3" x14ac:dyDescent="0.25">
      <c r="C101" s="2" t="s">
        <v>38</v>
      </c>
    </row>
  </sheetData>
  <mergeCells count="40">
    <mergeCell ref="F72:I72"/>
    <mergeCell ref="B65:I65"/>
    <mergeCell ref="B66:I66"/>
    <mergeCell ref="D68:I68"/>
    <mergeCell ref="F69:I69"/>
    <mergeCell ref="F70:I70"/>
    <mergeCell ref="F71:I71"/>
    <mergeCell ref="B63:C64"/>
    <mergeCell ref="D63:I63"/>
    <mergeCell ref="D64:I64"/>
    <mergeCell ref="B5:D5"/>
    <mergeCell ref="F5:I5"/>
    <mergeCell ref="F10:Q10"/>
    <mergeCell ref="B57:D57"/>
    <mergeCell ref="B58:D58"/>
    <mergeCell ref="B62:I62"/>
    <mergeCell ref="V5:X7"/>
    <mergeCell ref="Y5:AA7"/>
    <mergeCell ref="B6:D6"/>
    <mergeCell ref="B7:D7"/>
    <mergeCell ref="R7:R10"/>
    <mergeCell ref="S8:U8"/>
    <mergeCell ref="V8:X8"/>
    <mergeCell ref="Y8:AA8"/>
    <mergeCell ref="V10:X10"/>
    <mergeCell ref="B3:D3"/>
    <mergeCell ref="E3:Q3"/>
    <mergeCell ref="R3:AA3"/>
    <mergeCell ref="B4:D4"/>
    <mergeCell ref="F4:I4"/>
    <mergeCell ref="L4:O4"/>
    <mergeCell ref="R4:AA4"/>
    <mergeCell ref="B2:H2"/>
    <mergeCell ref="I2:Q2"/>
    <mergeCell ref="R2:AA2"/>
    <mergeCell ref="B1:K1"/>
    <mergeCell ref="L1:O1"/>
    <mergeCell ref="P1:R1"/>
    <mergeCell ref="S1:W1"/>
    <mergeCell ref="X1:AA1"/>
  </mergeCells>
  <pageMargins left="0" right="0" top="0" bottom="0" header="0.31496062992125984" footer="0.31496062992125984"/>
  <pageSetup scale="3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1FD8-1C32-4B81-9109-1617E85510A5}">
  <dimension ref="A2:Y52"/>
  <sheetViews>
    <sheetView topLeftCell="B1" workbookViewId="0">
      <selection activeCell="K5" sqref="K5:L5"/>
    </sheetView>
  </sheetViews>
  <sheetFormatPr defaultRowHeight="15" x14ac:dyDescent="0.25"/>
  <cols>
    <col min="1" max="1" width="15.5703125" customWidth="1"/>
    <col min="2" max="2" width="26.28515625" customWidth="1"/>
    <col min="3" max="3" width="11.28515625" customWidth="1"/>
    <col min="4" max="4" width="6.140625" customWidth="1"/>
    <col min="5" max="6" width="7.85546875" customWidth="1"/>
    <col min="9" max="9" width="11.28515625" customWidth="1"/>
    <col min="13" max="13" width="16.85546875" bestFit="1" customWidth="1"/>
    <col min="19" max="19" width="17.140625" customWidth="1"/>
  </cols>
  <sheetData>
    <row r="2" spans="1:25" ht="28.5" x14ac:dyDescent="0.45">
      <c r="A2" s="454" t="s">
        <v>157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</row>
    <row r="3" spans="1:25" ht="18.75" x14ac:dyDescent="0.3">
      <c r="A3" s="197"/>
      <c r="B3" s="197"/>
      <c r="C3" s="197"/>
      <c r="D3" s="455" t="s">
        <v>179</v>
      </c>
      <c r="E3" s="455"/>
      <c r="F3" s="455"/>
      <c r="G3" s="198"/>
      <c r="H3" s="198"/>
      <c r="I3" s="197"/>
      <c r="J3" s="456" t="s">
        <v>158</v>
      </c>
      <c r="K3" s="456"/>
      <c r="L3" s="199"/>
      <c r="M3" s="199"/>
      <c r="N3" s="199"/>
      <c r="O3" s="199"/>
      <c r="P3" s="199"/>
      <c r="Q3" s="199"/>
      <c r="R3" s="199"/>
      <c r="S3" s="199"/>
    </row>
    <row r="4" spans="1:25" ht="24" customHeight="1" x14ac:dyDescent="0.25">
      <c r="C4" s="457" t="s">
        <v>159</v>
      </c>
      <c r="D4" s="458"/>
      <c r="E4" s="459" t="s">
        <v>160</v>
      </c>
      <c r="F4" s="460"/>
      <c r="G4" s="459" t="s">
        <v>161</v>
      </c>
      <c r="H4" s="460"/>
      <c r="I4" s="459" t="s">
        <v>162</v>
      </c>
      <c r="J4" s="461"/>
      <c r="K4" s="459" t="s">
        <v>163</v>
      </c>
      <c r="L4" s="461"/>
      <c r="M4" s="201" t="s">
        <v>164</v>
      </c>
      <c r="N4" s="200"/>
      <c r="O4" s="200"/>
      <c r="P4" s="200"/>
      <c r="Q4" s="200"/>
      <c r="R4" s="200"/>
    </row>
    <row r="5" spans="1:25" ht="111" customHeight="1" x14ac:dyDescent="0.35">
      <c r="A5" s="202"/>
      <c r="B5" s="202"/>
      <c r="C5" s="462" t="s">
        <v>165</v>
      </c>
      <c r="D5" s="463"/>
      <c r="E5" s="464" t="s">
        <v>166</v>
      </c>
      <c r="F5" s="464"/>
      <c r="G5" s="452" t="s">
        <v>167</v>
      </c>
      <c r="H5" s="453"/>
      <c r="I5" s="452" t="s">
        <v>168</v>
      </c>
      <c r="J5" s="453" t="s">
        <v>169</v>
      </c>
      <c r="K5" s="452" t="s">
        <v>170</v>
      </c>
      <c r="L5" s="465"/>
      <c r="M5" s="203" t="s">
        <v>171</v>
      </c>
      <c r="N5" s="452"/>
      <c r="O5" s="453"/>
      <c r="P5" s="204"/>
      <c r="Q5" s="204"/>
      <c r="R5" s="204"/>
      <c r="U5" s="450" t="s">
        <v>172</v>
      </c>
      <c r="V5" s="451"/>
      <c r="W5" s="451"/>
      <c r="X5" s="451"/>
      <c r="Y5" s="451"/>
    </row>
    <row r="6" spans="1:25" ht="15.75" x14ac:dyDescent="0.25">
      <c r="A6" s="202"/>
      <c r="B6" s="202"/>
      <c r="C6" s="205" t="s">
        <v>173</v>
      </c>
      <c r="D6" s="205" t="s">
        <v>174</v>
      </c>
      <c r="E6" s="205" t="s">
        <v>173</v>
      </c>
      <c r="F6" s="205" t="s">
        <v>180</v>
      </c>
      <c r="G6" s="205" t="s">
        <v>173</v>
      </c>
      <c r="H6" s="205" t="s">
        <v>174</v>
      </c>
      <c r="I6" s="205" t="s">
        <v>173</v>
      </c>
      <c r="J6" s="205" t="s">
        <v>174</v>
      </c>
      <c r="K6" s="205" t="s">
        <v>177</v>
      </c>
      <c r="L6" s="205" t="s">
        <v>176</v>
      </c>
      <c r="M6" s="205" t="s">
        <v>177</v>
      </c>
      <c r="N6" s="205"/>
      <c r="O6" s="205"/>
      <c r="P6" s="205"/>
      <c r="Q6" s="205"/>
      <c r="R6" s="205"/>
      <c r="U6" s="206" t="s">
        <v>177</v>
      </c>
      <c r="V6" s="206" t="s">
        <v>173</v>
      </c>
      <c r="W6" s="206" t="s">
        <v>174</v>
      </c>
      <c r="X6" s="206" t="s">
        <v>180</v>
      </c>
      <c r="Y6" s="206" t="s">
        <v>176</v>
      </c>
    </row>
    <row r="7" spans="1:25" ht="18.75" x14ac:dyDescent="0.3">
      <c r="A7" s="207" t="s">
        <v>178</v>
      </c>
      <c r="B7" s="207" t="s">
        <v>27</v>
      </c>
      <c r="C7" s="208">
        <v>100</v>
      </c>
      <c r="D7" s="208">
        <v>100</v>
      </c>
      <c r="E7" s="208">
        <v>100</v>
      </c>
      <c r="F7" s="208">
        <v>100</v>
      </c>
      <c r="G7" s="208">
        <v>100</v>
      </c>
      <c r="H7" s="208">
        <v>100</v>
      </c>
      <c r="I7" s="208">
        <v>100</v>
      </c>
      <c r="J7" s="208">
        <v>100</v>
      </c>
      <c r="K7" s="208">
        <v>100</v>
      </c>
      <c r="L7" s="208">
        <v>100</v>
      </c>
      <c r="M7" s="208">
        <v>100</v>
      </c>
      <c r="N7" s="208"/>
      <c r="O7" s="208"/>
      <c r="P7" s="208"/>
      <c r="Q7" s="208"/>
      <c r="R7" s="208"/>
      <c r="U7" s="209">
        <f t="shared" ref="U7" si="0">SUM(K7,M7)/2</f>
        <v>100</v>
      </c>
      <c r="V7" s="209">
        <f>SUM(C7,E7,G7,I7)/4</f>
        <v>100</v>
      </c>
      <c r="W7" s="209">
        <f>SUM(D7,J7)/2</f>
        <v>100</v>
      </c>
      <c r="X7" s="209">
        <f>SUM(F7,H7)/2</f>
        <v>100</v>
      </c>
      <c r="Y7" s="209">
        <v>100</v>
      </c>
    </row>
    <row r="8" spans="1:25" ht="18.75" x14ac:dyDescent="0.3">
      <c r="A8" s="166" t="s">
        <v>51</v>
      </c>
      <c r="B8" s="166" t="s">
        <v>52</v>
      </c>
      <c r="C8" s="211">
        <f>'Discrete Structure'!V11</f>
        <v>77.142857142857153</v>
      </c>
      <c r="D8" s="212">
        <f>'Discrete Structure'!W11</f>
        <v>70</v>
      </c>
      <c r="E8" s="212">
        <f>'Programmming Fundamental'!W11</f>
        <v>56.81818181818182</v>
      </c>
      <c r="F8" s="212">
        <f>'Programmming Fundamental'!X11</f>
        <v>57.692307692307686</v>
      </c>
      <c r="G8" s="212">
        <f>'Application of Information &amp; Co'!R12</f>
        <v>60</v>
      </c>
      <c r="H8" s="212">
        <f>'Application of Information &amp; Co'!T12</f>
        <v>55.000000000000007</v>
      </c>
      <c r="I8" s="212">
        <f>'Calculus and Analytic Geometry'!V11</f>
        <v>75</v>
      </c>
      <c r="J8" s="212">
        <f>'Calculus and Analytic Geometry'!W11</f>
        <v>77.272727272727266</v>
      </c>
      <c r="K8" s="212">
        <f>'Functional English'!V11</f>
        <v>61.764705882352942</v>
      </c>
      <c r="L8" s="212">
        <f>'Functional English'!W11</f>
        <v>57.575757575757578</v>
      </c>
      <c r="M8" s="212">
        <f>'Teaching of Holy Quran with Tra'!V11</f>
        <v>74</v>
      </c>
      <c r="N8" s="212"/>
      <c r="O8" s="212"/>
      <c r="P8" s="212"/>
      <c r="Q8" s="212"/>
      <c r="R8" s="212"/>
      <c r="U8" s="209">
        <f>M8</f>
        <v>74</v>
      </c>
      <c r="V8" s="209">
        <f>SUM(C8,E8,G8,I8,)/4</f>
        <v>67.240259740259745</v>
      </c>
      <c r="W8" s="209">
        <f>SUM(D8,H8,J8)/3</f>
        <v>67.424242424242422</v>
      </c>
      <c r="X8" s="209">
        <f>F8</f>
        <v>57.692307692307686</v>
      </c>
      <c r="Y8" s="209">
        <f>L8</f>
        <v>57.575757575757578</v>
      </c>
    </row>
    <row r="9" spans="1:25" ht="18.75" x14ac:dyDescent="0.3">
      <c r="A9" s="166" t="s">
        <v>54</v>
      </c>
      <c r="B9" s="166" t="s">
        <v>55</v>
      </c>
      <c r="C9" s="211">
        <f>'Discrete Structure'!V12</f>
        <v>0</v>
      </c>
      <c r="D9" s="212">
        <f>'Discrete Structure'!W12</f>
        <v>0</v>
      </c>
      <c r="E9" s="212">
        <f>'Programmming Fundamental'!W12</f>
        <v>63.636363636363633</v>
      </c>
      <c r="F9" s="212">
        <f>'Programmming Fundamental'!X12</f>
        <v>61.53846153846154</v>
      </c>
      <c r="G9" s="212">
        <f>'Application of Information &amp; Co'!R13</f>
        <v>50</v>
      </c>
      <c r="H9" s="212">
        <f>'Application of Information &amp; Co'!T13</f>
        <v>55.000000000000007</v>
      </c>
      <c r="I9" s="212">
        <f>'Calculus and Analytic Geometry'!V12</f>
        <v>64.285714285714292</v>
      </c>
      <c r="J9" s="212">
        <f>'Calculus and Analytic Geometry'!W12</f>
        <v>52.272727272727273</v>
      </c>
      <c r="K9" s="212">
        <f>'Functional English'!V12</f>
        <v>35.294117647058826</v>
      </c>
      <c r="L9" s="212">
        <f>'Functional English'!W12</f>
        <v>42.424242424242422</v>
      </c>
      <c r="M9" s="212">
        <f>'Teaching of Holy Quran with Tra'!V12</f>
        <v>70</v>
      </c>
      <c r="N9" s="212"/>
      <c r="O9" s="212"/>
      <c r="P9" s="212"/>
      <c r="Q9" s="212"/>
      <c r="R9" s="212"/>
      <c r="U9" s="209">
        <f t="shared" ref="U9:U51" si="1">M9</f>
        <v>70</v>
      </c>
      <c r="V9" s="209">
        <f t="shared" ref="V9:V51" si="2">SUM(C9,E9,G9,I9,)/4</f>
        <v>44.480519480519476</v>
      </c>
      <c r="W9" s="209">
        <f t="shared" ref="W9:W49" si="3">SUM(D9,H9,J9)/3</f>
        <v>35.757575757575758</v>
      </c>
      <c r="X9" s="209">
        <f t="shared" ref="X9:X51" si="4">F9</f>
        <v>61.53846153846154</v>
      </c>
      <c r="Y9" s="209">
        <f t="shared" ref="Y9:Y51" si="5">L9</f>
        <v>42.424242424242422</v>
      </c>
    </row>
    <row r="10" spans="1:25" ht="18.75" x14ac:dyDescent="0.3">
      <c r="A10" s="166" t="s">
        <v>57</v>
      </c>
      <c r="B10" s="166" t="s">
        <v>58</v>
      </c>
      <c r="C10" s="211">
        <f>'Discrete Structure'!V13</f>
        <v>88.571428571428569</v>
      </c>
      <c r="D10" s="212">
        <f>'Discrete Structure'!W13</f>
        <v>76.666666666666671</v>
      </c>
      <c r="E10" s="212">
        <f>'Programmming Fundamental'!W13</f>
        <v>59.090909090909093</v>
      </c>
      <c r="F10" s="212">
        <f>'Programmming Fundamental'!X13</f>
        <v>65.384615384615387</v>
      </c>
      <c r="G10" s="212">
        <f>'Application of Information &amp; Co'!R14</f>
        <v>55.000000000000007</v>
      </c>
      <c r="H10" s="212">
        <f>'Application of Information &amp; Co'!T14</f>
        <v>60</v>
      </c>
      <c r="I10" s="212">
        <f>'Calculus and Analytic Geometry'!V13</f>
        <v>57.142857142857139</v>
      </c>
      <c r="J10" s="212">
        <f>'Calculus and Analytic Geometry'!W13</f>
        <v>70.454545454545453</v>
      </c>
      <c r="K10" s="212">
        <f>'Functional English'!V13</f>
        <v>64.705882352941174</v>
      </c>
      <c r="L10" s="212">
        <f>'Functional English'!W13</f>
        <v>59.090909090909093</v>
      </c>
      <c r="M10" s="212">
        <f>'Teaching of Holy Quran with Tra'!V13</f>
        <v>68</v>
      </c>
      <c r="N10" s="212"/>
      <c r="O10" s="212"/>
      <c r="P10" s="212"/>
      <c r="Q10" s="212"/>
      <c r="R10" s="212"/>
      <c r="U10" s="209">
        <f t="shared" si="1"/>
        <v>68</v>
      </c>
      <c r="V10" s="209">
        <f t="shared" si="2"/>
        <v>64.951298701298697</v>
      </c>
      <c r="W10" s="209">
        <f t="shared" si="3"/>
        <v>69.040404040404042</v>
      </c>
      <c r="X10" s="209">
        <f t="shared" si="4"/>
        <v>65.384615384615387</v>
      </c>
      <c r="Y10" s="209">
        <f t="shared" si="5"/>
        <v>59.090909090909093</v>
      </c>
    </row>
    <row r="11" spans="1:25" ht="18.75" x14ac:dyDescent="0.3">
      <c r="A11" s="166" t="s">
        <v>59</v>
      </c>
      <c r="B11" s="166" t="s">
        <v>60</v>
      </c>
      <c r="C11" s="211">
        <f>'Discrete Structure'!V14</f>
        <v>85.714285714285708</v>
      </c>
      <c r="D11" s="212">
        <f>'Discrete Structure'!W14</f>
        <v>90</v>
      </c>
      <c r="E11" s="212">
        <f>'Programmming Fundamental'!W14</f>
        <v>70.454545454545453</v>
      </c>
      <c r="F11" s="212">
        <f>'Programmming Fundamental'!X14</f>
        <v>57.692307692307686</v>
      </c>
      <c r="G11" s="212">
        <f>'Application of Information &amp; Co'!R15</f>
        <v>70</v>
      </c>
      <c r="H11" s="212">
        <f>'Application of Information &amp; Co'!T15</f>
        <v>65</v>
      </c>
      <c r="I11" s="212">
        <f>'Calculus and Analytic Geometry'!V14</f>
        <v>58.928571428571431</v>
      </c>
      <c r="J11" s="212">
        <f>'Calculus and Analytic Geometry'!W14</f>
        <v>54.54545454545454</v>
      </c>
      <c r="K11" s="212">
        <f>'Functional English'!V14</f>
        <v>79.411764705882348</v>
      </c>
      <c r="L11" s="212">
        <f>'Functional English'!W14</f>
        <v>71.212121212121218</v>
      </c>
      <c r="M11" s="212">
        <f>'Teaching of Holy Quran with Tra'!V14</f>
        <v>72</v>
      </c>
      <c r="N11" s="212"/>
      <c r="O11" s="212"/>
      <c r="P11" s="212"/>
      <c r="Q11" s="212"/>
      <c r="R11" s="212"/>
      <c r="U11" s="209">
        <f t="shared" si="1"/>
        <v>72</v>
      </c>
      <c r="V11" s="209">
        <f t="shared" si="2"/>
        <v>71.274350649350652</v>
      </c>
      <c r="W11" s="209">
        <f t="shared" si="3"/>
        <v>69.848484848484844</v>
      </c>
      <c r="X11" s="209">
        <f t="shared" si="4"/>
        <v>57.692307692307686</v>
      </c>
      <c r="Y11" s="209">
        <f t="shared" si="5"/>
        <v>71.212121212121218</v>
      </c>
    </row>
    <row r="12" spans="1:25" ht="18.75" x14ac:dyDescent="0.3">
      <c r="A12" s="166" t="s">
        <v>62</v>
      </c>
      <c r="B12" s="166" t="s">
        <v>63</v>
      </c>
      <c r="C12" s="211">
        <f>'Discrete Structure'!V15</f>
        <v>81.428571428571431</v>
      </c>
      <c r="D12" s="212">
        <f>'Discrete Structure'!W15</f>
        <v>83.333333333333343</v>
      </c>
      <c r="E12" s="212">
        <f>'Programmming Fundamental'!W15</f>
        <v>54.54545454545454</v>
      </c>
      <c r="F12" s="212">
        <f>'Programmming Fundamental'!X15</f>
        <v>53.846153846153847</v>
      </c>
      <c r="G12" s="212">
        <f>'Application of Information &amp; Co'!R16</f>
        <v>55.000000000000007</v>
      </c>
      <c r="H12" s="212">
        <f>'Application of Information &amp; Co'!T16</f>
        <v>52.5</v>
      </c>
      <c r="I12" s="212">
        <f>'Calculus and Analytic Geometry'!V15</f>
        <v>64.285714285714292</v>
      </c>
      <c r="J12" s="212">
        <f>'Calculus and Analytic Geometry'!W15</f>
        <v>63.636363636363633</v>
      </c>
      <c r="K12" s="212">
        <f>'Functional English'!V15</f>
        <v>67.64705882352942</v>
      </c>
      <c r="L12" s="212">
        <f>'Functional English'!W15</f>
        <v>62.121212121212125</v>
      </c>
      <c r="M12" s="212">
        <f>'Teaching of Holy Quran with Tra'!V15</f>
        <v>64</v>
      </c>
      <c r="N12" s="212"/>
      <c r="O12" s="212"/>
      <c r="P12" s="212"/>
      <c r="Q12" s="212"/>
      <c r="R12" s="212"/>
      <c r="U12" s="209">
        <f t="shared" si="1"/>
        <v>64</v>
      </c>
      <c r="V12" s="209">
        <f t="shared" si="2"/>
        <v>63.814935064935071</v>
      </c>
      <c r="W12" s="209">
        <f t="shared" si="3"/>
        <v>66.48989898989899</v>
      </c>
      <c r="X12" s="209">
        <f t="shared" si="4"/>
        <v>53.846153846153847</v>
      </c>
      <c r="Y12" s="209">
        <f t="shared" si="5"/>
        <v>62.121212121212125</v>
      </c>
    </row>
    <row r="13" spans="1:25" ht="18.75" x14ac:dyDescent="0.3">
      <c r="A13" s="166" t="s">
        <v>65</v>
      </c>
      <c r="B13" s="166" t="s">
        <v>66</v>
      </c>
      <c r="C13" s="211">
        <f>'Discrete Structure'!V16</f>
        <v>71.428571428571431</v>
      </c>
      <c r="D13" s="212">
        <f>'Discrete Structure'!W16</f>
        <v>83.333333333333343</v>
      </c>
      <c r="E13" s="212">
        <f>'Programmming Fundamental'!W16</f>
        <v>90.909090909090907</v>
      </c>
      <c r="F13" s="212">
        <f>'Programmming Fundamental'!X16</f>
        <v>76.923076923076934</v>
      </c>
      <c r="G13" s="212">
        <f>'Application of Information &amp; Co'!R17</f>
        <v>75</v>
      </c>
      <c r="H13" s="212">
        <f>'Application of Information &amp; Co'!T17</f>
        <v>80</v>
      </c>
      <c r="I13" s="212">
        <f>'Calculus and Analytic Geometry'!V16</f>
        <v>80.357142857142861</v>
      </c>
      <c r="J13" s="212">
        <f>'Calculus and Analytic Geometry'!W16</f>
        <v>88.63636363636364</v>
      </c>
      <c r="K13" s="212">
        <f>'Functional English'!V16</f>
        <v>73.529411764705884</v>
      </c>
      <c r="L13" s="212">
        <f>'Functional English'!W16</f>
        <v>72.727272727272734</v>
      </c>
      <c r="M13" s="212">
        <f>'Teaching of Holy Quran with Tra'!V16</f>
        <v>73</v>
      </c>
      <c r="N13" s="212"/>
      <c r="O13" s="212"/>
      <c r="P13" s="212"/>
      <c r="Q13" s="212"/>
      <c r="R13" s="212"/>
      <c r="U13" s="209">
        <f t="shared" si="1"/>
        <v>73</v>
      </c>
      <c r="V13" s="209">
        <f t="shared" si="2"/>
        <v>79.423701298701303</v>
      </c>
      <c r="W13" s="209">
        <f t="shared" si="3"/>
        <v>83.989898989899004</v>
      </c>
      <c r="X13" s="209">
        <f t="shared" si="4"/>
        <v>76.923076923076934</v>
      </c>
      <c r="Y13" s="209">
        <f t="shared" si="5"/>
        <v>72.727272727272734</v>
      </c>
    </row>
    <row r="14" spans="1:25" ht="18.75" x14ac:dyDescent="0.3">
      <c r="A14" s="166" t="s">
        <v>68</v>
      </c>
      <c r="B14" s="166" t="s">
        <v>69</v>
      </c>
      <c r="C14" s="211">
        <f>'Discrete Structure'!V17</f>
        <v>65.714285714285708</v>
      </c>
      <c r="D14" s="212">
        <f>'Discrete Structure'!W17</f>
        <v>73.333333333333329</v>
      </c>
      <c r="E14" s="212">
        <f>'Programmming Fundamental'!W17</f>
        <v>59.090909090909093</v>
      </c>
      <c r="F14" s="212">
        <f>'Programmming Fundamental'!X17</f>
        <v>53.846153846153847</v>
      </c>
      <c r="G14" s="212">
        <f>'Application of Information &amp; Co'!R18</f>
        <v>65</v>
      </c>
      <c r="H14" s="212">
        <f>'Application of Information &amp; Co'!T18</f>
        <v>77.5</v>
      </c>
      <c r="I14" s="212">
        <f>'Calculus and Analytic Geometry'!V17</f>
        <v>66.071428571428569</v>
      </c>
      <c r="J14" s="212">
        <f>'Calculus and Analytic Geometry'!W17</f>
        <v>65.909090909090907</v>
      </c>
      <c r="K14" s="212">
        <f>'Functional English'!V17</f>
        <v>85.294117647058826</v>
      </c>
      <c r="L14" s="212">
        <f>'Functional English'!W17</f>
        <v>74.242424242424249</v>
      </c>
      <c r="M14" s="212">
        <f>'Teaching of Holy Quran with Tra'!V17</f>
        <v>82</v>
      </c>
      <c r="N14" s="212"/>
      <c r="O14" s="212"/>
      <c r="P14" s="212"/>
      <c r="Q14" s="212"/>
      <c r="R14" s="212"/>
      <c r="U14" s="209">
        <f t="shared" si="1"/>
        <v>82</v>
      </c>
      <c r="V14" s="209">
        <f t="shared" si="2"/>
        <v>63.969155844155836</v>
      </c>
      <c r="W14" s="209">
        <f t="shared" si="3"/>
        <v>72.24747474747474</v>
      </c>
      <c r="X14" s="209">
        <f t="shared" si="4"/>
        <v>53.846153846153847</v>
      </c>
      <c r="Y14" s="209">
        <f t="shared" si="5"/>
        <v>74.242424242424249</v>
      </c>
    </row>
    <row r="15" spans="1:25" ht="18.75" x14ac:dyDescent="0.3">
      <c r="A15" s="166" t="s">
        <v>70</v>
      </c>
      <c r="B15" s="166" t="s">
        <v>71</v>
      </c>
      <c r="C15" s="211">
        <f>'Discrete Structure'!V18</f>
        <v>90</v>
      </c>
      <c r="D15" s="212">
        <f>'Discrete Structure'!W18</f>
        <v>93.333333333333329</v>
      </c>
      <c r="E15" s="212">
        <f>'Programmming Fundamental'!W18</f>
        <v>0</v>
      </c>
      <c r="F15" s="212">
        <f>'Programmming Fundamental'!X18</f>
        <v>0</v>
      </c>
      <c r="G15" s="212">
        <f>'Application of Information &amp; Co'!R19</f>
        <v>0</v>
      </c>
      <c r="H15" s="212">
        <f>'Application of Information &amp; Co'!T19</f>
        <v>0</v>
      </c>
      <c r="I15" s="212">
        <f>'Calculus and Analytic Geometry'!V18</f>
        <v>0</v>
      </c>
      <c r="J15" s="212">
        <f>'Calculus and Analytic Geometry'!W18</f>
        <v>0</v>
      </c>
      <c r="K15" s="212">
        <f>'Functional English'!V18</f>
        <v>0</v>
      </c>
      <c r="L15" s="212">
        <f>'Functional English'!W18</f>
        <v>0</v>
      </c>
      <c r="M15" s="212">
        <f>'Teaching of Holy Quran with Tra'!V18</f>
        <v>0</v>
      </c>
      <c r="N15" s="212"/>
      <c r="O15" s="212"/>
      <c r="P15" s="212"/>
      <c r="Q15" s="212"/>
      <c r="R15" s="212"/>
      <c r="U15" s="209">
        <f t="shared" si="1"/>
        <v>0</v>
      </c>
      <c r="V15" s="209">
        <f t="shared" si="2"/>
        <v>22.5</v>
      </c>
      <c r="W15" s="209">
        <f t="shared" si="3"/>
        <v>31.111111111111111</v>
      </c>
      <c r="X15" s="209">
        <f t="shared" si="4"/>
        <v>0</v>
      </c>
      <c r="Y15" s="209">
        <f t="shared" si="5"/>
        <v>0</v>
      </c>
    </row>
    <row r="16" spans="1:25" ht="18.75" x14ac:dyDescent="0.3">
      <c r="A16" s="166" t="s">
        <v>73</v>
      </c>
      <c r="B16" s="166" t="s">
        <v>74</v>
      </c>
      <c r="C16" s="211">
        <f>'Discrete Structure'!V19</f>
        <v>71.428571428571431</v>
      </c>
      <c r="D16" s="212">
        <f>'Discrete Structure'!W19</f>
        <v>86.666666666666671</v>
      </c>
      <c r="E16" s="212">
        <f>'Programmming Fundamental'!W19</f>
        <v>59.090909090909093</v>
      </c>
      <c r="F16" s="212">
        <f>'Programmming Fundamental'!X19</f>
        <v>53.846153846153847</v>
      </c>
      <c r="G16" s="212">
        <f>'Application of Information &amp; Co'!R20</f>
        <v>75</v>
      </c>
      <c r="H16" s="212">
        <f>'Application of Information &amp; Co'!T20</f>
        <v>65</v>
      </c>
      <c r="I16" s="212">
        <f>'Calculus and Analytic Geometry'!V19</f>
        <v>42.857142857142854</v>
      </c>
      <c r="J16" s="212">
        <f>'Calculus and Analytic Geometry'!W19</f>
        <v>25</v>
      </c>
      <c r="K16" s="212">
        <f>'Functional English'!V19</f>
        <v>70.588235294117652</v>
      </c>
      <c r="L16" s="212">
        <f>'Functional English'!W19</f>
        <v>63.636363636363633</v>
      </c>
      <c r="M16" s="212">
        <f>'Teaching of Holy Quran with Tra'!V19</f>
        <v>76</v>
      </c>
      <c r="N16" s="212"/>
      <c r="O16" s="212"/>
      <c r="P16" s="212"/>
      <c r="Q16" s="212"/>
      <c r="R16" s="212"/>
      <c r="U16" s="209">
        <f t="shared" si="1"/>
        <v>76</v>
      </c>
      <c r="V16" s="209">
        <f t="shared" si="2"/>
        <v>62.094155844155843</v>
      </c>
      <c r="W16" s="209">
        <f t="shared" si="3"/>
        <v>58.888888888888893</v>
      </c>
      <c r="X16" s="209">
        <f t="shared" si="4"/>
        <v>53.846153846153847</v>
      </c>
      <c r="Y16" s="209">
        <f t="shared" si="5"/>
        <v>63.636363636363633</v>
      </c>
    </row>
    <row r="17" spans="1:25" ht="18.75" x14ac:dyDescent="0.3">
      <c r="A17" s="166" t="s">
        <v>75</v>
      </c>
      <c r="B17" s="166" t="s">
        <v>76</v>
      </c>
      <c r="C17" s="211">
        <f>'Discrete Structure'!V20</f>
        <v>68.571428571428569</v>
      </c>
      <c r="D17" s="212">
        <f>'Discrete Structure'!W20</f>
        <v>73.333333333333329</v>
      </c>
      <c r="E17" s="212">
        <f>'Programmming Fundamental'!W20</f>
        <v>54.54545454545454</v>
      </c>
      <c r="F17" s="212">
        <f>'Programmming Fundamental'!X20</f>
        <v>42.307692307692307</v>
      </c>
      <c r="G17" s="212">
        <f>'Application of Information &amp; Co'!R21</f>
        <v>70</v>
      </c>
      <c r="H17" s="212">
        <f>'Application of Information &amp; Co'!T21</f>
        <v>60</v>
      </c>
      <c r="I17" s="212">
        <f>'Calculus and Analytic Geometry'!V20</f>
        <v>62.5</v>
      </c>
      <c r="J17" s="212">
        <f>'Calculus and Analytic Geometry'!W20</f>
        <v>56.81818181818182</v>
      </c>
      <c r="K17" s="212">
        <f>'Functional English'!V20</f>
        <v>70.588235294117652</v>
      </c>
      <c r="L17" s="212">
        <f>'Functional English'!W20</f>
        <v>75.757575757575751</v>
      </c>
      <c r="M17" s="212">
        <f>'Teaching of Holy Quran with Tra'!V20</f>
        <v>75</v>
      </c>
      <c r="N17" s="212"/>
      <c r="O17" s="212"/>
      <c r="P17" s="212"/>
      <c r="Q17" s="212"/>
      <c r="R17" s="212"/>
      <c r="U17" s="209">
        <f t="shared" si="1"/>
        <v>75</v>
      </c>
      <c r="V17" s="209">
        <f t="shared" si="2"/>
        <v>63.904220779220779</v>
      </c>
      <c r="W17" s="209">
        <f t="shared" si="3"/>
        <v>63.383838383838373</v>
      </c>
      <c r="X17" s="209">
        <f t="shared" si="4"/>
        <v>42.307692307692307</v>
      </c>
      <c r="Y17" s="209">
        <f t="shared" si="5"/>
        <v>75.757575757575751</v>
      </c>
    </row>
    <row r="18" spans="1:25" ht="18.75" x14ac:dyDescent="0.3">
      <c r="A18" s="166" t="s">
        <v>77</v>
      </c>
      <c r="B18" s="166" t="s">
        <v>78</v>
      </c>
      <c r="C18" s="211">
        <f>'Discrete Structure'!V21</f>
        <v>72.857142857142847</v>
      </c>
      <c r="D18" s="212">
        <f>'Discrete Structure'!W21</f>
        <v>80</v>
      </c>
      <c r="E18" s="212">
        <f>'Programmming Fundamental'!W21</f>
        <v>54.54545454545454</v>
      </c>
      <c r="F18" s="212">
        <f>'Programmming Fundamental'!X21</f>
        <v>57.692307692307686</v>
      </c>
      <c r="G18" s="212">
        <f>'Application of Information &amp; Co'!R22</f>
        <v>50</v>
      </c>
      <c r="H18" s="212">
        <f>'Application of Information &amp; Co'!T22</f>
        <v>60</v>
      </c>
      <c r="I18" s="212">
        <f>'Calculus and Analytic Geometry'!V21</f>
        <v>60.714285714285708</v>
      </c>
      <c r="J18" s="212">
        <f>'Calculus and Analytic Geometry'!W21</f>
        <v>54.54545454545454</v>
      </c>
      <c r="K18" s="212">
        <f>'Functional English'!V21</f>
        <v>58.82352941176471</v>
      </c>
      <c r="L18" s="212">
        <f>'Functional English'!W21</f>
        <v>63.636363636363633</v>
      </c>
      <c r="M18" s="212">
        <f>'Teaching of Holy Quran with Tra'!V21</f>
        <v>80</v>
      </c>
      <c r="N18" s="212"/>
      <c r="O18" s="212"/>
      <c r="P18" s="212"/>
      <c r="Q18" s="212"/>
      <c r="R18" s="212"/>
      <c r="U18" s="209">
        <f t="shared" si="1"/>
        <v>80</v>
      </c>
      <c r="V18" s="209">
        <f t="shared" si="2"/>
        <v>59.529220779220779</v>
      </c>
      <c r="W18" s="209">
        <f t="shared" si="3"/>
        <v>64.848484848484844</v>
      </c>
      <c r="X18" s="209">
        <f t="shared" si="4"/>
        <v>57.692307692307686</v>
      </c>
      <c r="Y18" s="209">
        <f t="shared" si="5"/>
        <v>63.636363636363633</v>
      </c>
    </row>
    <row r="19" spans="1:25" ht="18.75" x14ac:dyDescent="0.3">
      <c r="A19" s="215" t="s">
        <v>79</v>
      </c>
      <c r="B19" s="215" t="s">
        <v>80</v>
      </c>
      <c r="C19" s="211">
        <f>'Discrete Structure'!V22</f>
        <v>67.142857142857139</v>
      </c>
      <c r="D19" s="212">
        <f>'Discrete Structure'!W22</f>
        <v>76.666666666666671</v>
      </c>
      <c r="E19" s="212">
        <f>'Programmming Fundamental'!W22</f>
        <v>70.454545454545453</v>
      </c>
      <c r="F19" s="212">
        <f>'Programmming Fundamental'!X22</f>
        <v>65.384615384615387</v>
      </c>
      <c r="G19" s="212">
        <f>'Application of Information &amp; Co'!R23</f>
        <v>50</v>
      </c>
      <c r="H19" s="212">
        <f>'Application of Information &amp; Co'!T23</f>
        <v>50</v>
      </c>
      <c r="I19" s="212">
        <f>'Calculus and Analytic Geometry'!V22</f>
        <v>46.428571428571431</v>
      </c>
      <c r="J19" s="212">
        <f>'Calculus and Analytic Geometry'!W22</f>
        <v>45.454545454545453</v>
      </c>
      <c r="K19" s="212">
        <f>'Functional English'!V22</f>
        <v>70.588235294117652</v>
      </c>
      <c r="L19" s="212">
        <f>'Functional English'!W22</f>
        <v>68.181818181818173</v>
      </c>
      <c r="M19" s="212">
        <f>'Teaching of Holy Quran with Tra'!V22</f>
        <v>77</v>
      </c>
      <c r="N19" s="212"/>
      <c r="O19" s="212"/>
      <c r="P19" s="212"/>
      <c r="Q19" s="212"/>
      <c r="R19" s="212"/>
      <c r="U19" s="209">
        <f t="shared" si="1"/>
        <v>77</v>
      </c>
      <c r="V19" s="209">
        <f t="shared" si="2"/>
        <v>58.506493506493513</v>
      </c>
      <c r="W19" s="209">
        <f t="shared" si="3"/>
        <v>57.373737373737377</v>
      </c>
      <c r="X19" s="209">
        <f t="shared" si="4"/>
        <v>65.384615384615387</v>
      </c>
      <c r="Y19" s="209">
        <f t="shared" si="5"/>
        <v>68.181818181818173</v>
      </c>
    </row>
    <row r="20" spans="1:25" ht="18.75" x14ac:dyDescent="0.3">
      <c r="A20" s="166" t="s">
        <v>81</v>
      </c>
      <c r="B20" s="166" t="s">
        <v>82</v>
      </c>
      <c r="C20" s="211">
        <f>'Discrete Structure'!V23</f>
        <v>81.428571428571431</v>
      </c>
      <c r="D20" s="212">
        <f>'Discrete Structure'!W23</f>
        <v>83.333333333333343</v>
      </c>
      <c r="E20" s="212">
        <f>'Programmming Fundamental'!W23</f>
        <v>61.363636363636367</v>
      </c>
      <c r="F20" s="212">
        <f>'Programmming Fundamental'!X23</f>
        <v>57.692307692307686</v>
      </c>
      <c r="G20" s="212">
        <f>'Application of Information &amp; Co'!R24</f>
        <v>70</v>
      </c>
      <c r="H20" s="212">
        <f>'Application of Information &amp; Co'!T24</f>
        <v>55.000000000000007</v>
      </c>
      <c r="I20" s="212">
        <f>'Calculus and Analytic Geometry'!V23</f>
        <v>60.714285714285708</v>
      </c>
      <c r="J20" s="212">
        <f>'Calculus and Analytic Geometry'!W23</f>
        <v>59.090909090909093</v>
      </c>
      <c r="K20" s="212">
        <f>'Functional English'!V23</f>
        <v>61.764705882352942</v>
      </c>
      <c r="L20" s="212">
        <f>'Functional English'!W23</f>
        <v>74.242424242424249</v>
      </c>
      <c r="M20" s="212">
        <f>'Teaching of Holy Quran with Tra'!V23</f>
        <v>79</v>
      </c>
      <c r="N20" s="212"/>
      <c r="O20" s="212"/>
      <c r="P20" s="212"/>
      <c r="Q20" s="212"/>
      <c r="R20" s="212"/>
      <c r="U20" s="209">
        <f t="shared" si="1"/>
        <v>79</v>
      </c>
      <c r="V20" s="209">
        <f t="shared" si="2"/>
        <v>68.376623376623371</v>
      </c>
      <c r="W20" s="209">
        <f t="shared" si="3"/>
        <v>65.808080808080817</v>
      </c>
      <c r="X20" s="209">
        <f t="shared" si="4"/>
        <v>57.692307692307686</v>
      </c>
      <c r="Y20" s="209">
        <f t="shared" si="5"/>
        <v>74.242424242424249</v>
      </c>
    </row>
    <row r="21" spans="1:25" ht="18.75" x14ac:dyDescent="0.3">
      <c r="A21" s="166" t="s">
        <v>83</v>
      </c>
      <c r="B21" s="166" t="s">
        <v>84</v>
      </c>
      <c r="C21" s="211">
        <f>'Discrete Structure'!V24</f>
        <v>0</v>
      </c>
      <c r="D21" s="212">
        <f>'Discrete Structure'!W24</f>
        <v>0</v>
      </c>
      <c r="E21" s="212">
        <f>'Programmming Fundamental'!W24</f>
        <v>0</v>
      </c>
      <c r="F21" s="212">
        <f>'Programmming Fundamental'!X24</f>
        <v>0</v>
      </c>
      <c r="G21" s="212">
        <f>'Application of Information &amp; Co'!R25</f>
        <v>0</v>
      </c>
      <c r="H21" s="212">
        <f>'Application of Information &amp; Co'!T25</f>
        <v>0</v>
      </c>
      <c r="I21" s="212">
        <f>'Calculus and Analytic Geometry'!V24</f>
        <v>0</v>
      </c>
      <c r="J21" s="212">
        <f>'Calculus and Analytic Geometry'!W24</f>
        <v>0</v>
      </c>
      <c r="K21" s="212">
        <f>'Functional English'!V24</f>
        <v>0</v>
      </c>
      <c r="L21" s="212">
        <f>'Functional English'!W24</f>
        <v>0</v>
      </c>
      <c r="M21" s="212">
        <f>'Teaching of Holy Quran with Tra'!V24</f>
        <v>0</v>
      </c>
      <c r="N21" s="212"/>
      <c r="O21" s="212"/>
      <c r="P21" s="212"/>
      <c r="Q21" s="212"/>
      <c r="R21" s="212"/>
      <c r="U21" s="209">
        <f t="shared" si="1"/>
        <v>0</v>
      </c>
      <c r="V21" s="209">
        <f t="shared" si="2"/>
        <v>0</v>
      </c>
      <c r="W21" s="209">
        <f t="shared" si="3"/>
        <v>0</v>
      </c>
      <c r="X21" s="209">
        <f t="shared" si="4"/>
        <v>0</v>
      </c>
      <c r="Y21" s="209">
        <f t="shared" si="5"/>
        <v>0</v>
      </c>
    </row>
    <row r="22" spans="1:25" ht="18.75" x14ac:dyDescent="0.3">
      <c r="A22" s="166" t="s">
        <v>85</v>
      </c>
      <c r="B22" s="166" t="s">
        <v>86</v>
      </c>
      <c r="C22" s="211">
        <f>'Discrete Structure'!V25</f>
        <v>81.428571428571431</v>
      </c>
      <c r="D22" s="212">
        <f>'Discrete Structure'!W25</f>
        <v>96.666666666666671</v>
      </c>
      <c r="E22" s="212">
        <f>'Programmming Fundamental'!W25</f>
        <v>68.181818181818173</v>
      </c>
      <c r="F22" s="212">
        <f>'Programmming Fundamental'!X25</f>
        <v>50</v>
      </c>
      <c r="G22" s="212">
        <f>'Application of Information &amp; Co'!R26</f>
        <v>60</v>
      </c>
      <c r="H22" s="212">
        <f>'Application of Information &amp; Co'!T26</f>
        <v>57.499999999999993</v>
      </c>
      <c r="I22" s="212">
        <f>'Calculus and Analytic Geometry'!V25</f>
        <v>48.214285714285715</v>
      </c>
      <c r="J22" s="212">
        <f>'Calculus and Analytic Geometry'!W25</f>
        <v>20.454545454545457</v>
      </c>
      <c r="K22" s="212">
        <f>'Functional English'!V25</f>
        <v>73.529411764705884</v>
      </c>
      <c r="L22" s="212">
        <f>'Functional English'!W25</f>
        <v>65.151515151515156</v>
      </c>
      <c r="M22" s="212">
        <f>'Teaching of Holy Quran with Tra'!V25</f>
        <v>72</v>
      </c>
      <c r="N22" s="212"/>
      <c r="O22" s="212"/>
      <c r="P22" s="212"/>
      <c r="Q22" s="212"/>
      <c r="R22" s="212"/>
      <c r="U22" s="209">
        <f t="shared" si="1"/>
        <v>72</v>
      </c>
      <c r="V22" s="209">
        <f t="shared" si="2"/>
        <v>64.456168831168824</v>
      </c>
      <c r="W22" s="209">
        <f t="shared" si="3"/>
        <v>58.207070707070706</v>
      </c>
      <c r="X22" s="209">
        <f t="shared" si="4"/>
        <v>50</v>
      </c>
      <c r="Y22" s="209">
        <f t="shared" si="5"/>
        <v>65.151515151515156</v>
      </c>
    </row>
    <row r="23" spans="1:25" ht="18.75" x14ac:dyDescent="0.3">
      <c r="A23" s="215" t="s">
        <v>87</v>
      </c>
      <c r="B23" s="215" t="s">
        <v>88</v>
      </c>
      <c r="C23" s="211">
        <f>'Discrete Structure'!V26</f>
        <v>75.714285714285708</v>
      </c>
      <c r="D23" s="212">
        <f>'Discrete Structure'!W26</f>
        <v>73.333333333333329</v>
      </c>
      <c r="E23" s="212">
        <f>'Programmming Fundamental'!W26</f>
        <v>68.181818181818173</v>
      </c>
      <c r="F23" s="212">
        <f>'Programmming Fundamental'!X26</f>
        <v>53.846153846153847</v>
      </c>
      <c r="G23" s="212">
        <f>'Application of Information &amp; Co'!R27</f>
        <v>65</v>
      </c>
      <c r="H23" s="212">
        <f>'Application of Information &amp; Co'!T27</f>
        <v>57.499999999999993</v>
      </c>
      <c r="I23" s="212">
        <f>'Calculus and Analytic Geometry'!V26</f>
        <v>80.357142857142861</v>
      </c>
      <c r="J23" s="212">
        <f>'Calculus and Analytic Geometry'!W26</f>
        <v>45.454545454545453</v>
      </c>
      <c r="K23" s="212">
        <f>'Functional English'!V26</f>
        <v>64.705882352941174</v>
      </c>
      <c r="L23" s="212">
        <f>'Functional English'!W26</f>
        <v>75.757575757575751</v>
      </c>
      <c r="M23" s="212">
        <f>'Teaching of Holy Quran with Tra'!V26</f>
        <v>70</v>
      </c>
      <c r="N23" s="212"/>
      <c r="O23" s="212"/>
      <c r="P23" s="212"/>
      <c r="Q23" s="212"/>
      <c r="R23" s="212"/>
      <c r="U23" s="209">
        <f t="shared" si="1"/>
        <v>70</v>
      </c>
      <c r="V23" s="209">
        <f t="shared" si="2"/>
        <v>72.313311688311686</v>
      </c>
      <c r="W23" s="209">
        <f t="shared" si="3"/>
        <v>58.762626262626249</v>
      </c>
      <c r="X23" s="209">
        <f t="shared" si="4"/>
        <v>53.846153846153847</v>
      </c>
      <c r="Y23" s="209">
        <f t="shared" si="5"/>
        <v>75.757575757575751</v>
      </c>
    </row>
    <row r="24" spans="1:25" ht="18.75" x14ac:dyDescent="0.3">
      <c r="A24" s="216" t="s">
        <v>89</v>
      </c>
      <c r="B24" s="219" t="s">
        <v>90</v>
      </c>
      <c r="C24" s="211">
        <f>'Discrete Structure'!V27</f>
        <v>81.428571428571431</v>
      </c>
      <c r="D24" s="212">
        <f>'Discrete Structure'!W27</f>
        <v>83.333333333333343</v>
      </c>
      <c r="E24" s="212">
        <f>'Programmming Fundamental'!W27</f>
        <v>63.636363636363633</v>
      </c>
      <c r="F24" s="212">
        <f>'Programmming Fundamental'!X27</f>
        <v>61.53846153846154</v>
      </c>
      <c r="G24" s="212">
        <f>'Application of Information &amp; Co'!R28</f>
        <v>50</v>
      </c>
      <c r="H24" s="212">
        <f>'Application of Information &amp; Co'!T28</f>
        <v>62.5</v>
      </c>
      <c r="I24" s="212">
        <f>'Calculus and Analytic Geometry'!V27</f>
        <v>55.357142857142861</v>
      </c>
      <c r="J24" s="212">
        <f>'Calculus and Analytic Geometry'!W27</f>
        <v>59.090909090909093</v>
      </c>
      <c r="K24" s="212">
        <f>'Functional English'!V27</f>
        <v>55.882352941176471</v>
      </c>
      <c r="L24" s="212">
        <f>'Functional English'!W27</f>
        <v>60.606060606060609</v>
      </c>
      <c r="M24" s="212">
        <f>'Teaching of Holy Quran with Tra'!V27</f>
        <v>70</v>
      </c>
      <c r="N24" s="212"/>
      <c r="O24" s="212"/>
      <c r="P24" s="212"/>
      <c r="Q24" s="212"/>
      <c r="R24" s="212"/>
      <c r="U24" s="209">
        <f t="shared" si="1"/>
        <v>70</v>
      </c>
      <c r="V24" s="209">
        <f t="shared" si="2"/>
        <v>62.605519480519483</v>
      </c>
      <c r="W24" s="209">
        <f t="shared" si="3"/>
        <v>68.308080808080817</v>
      </c>
      <c r="X24" s="209">
        <f t="shared" si="4"/>
        <v>61.53846153846154</v>
      </c>
      <c r="Y24" s="209">
        <f t="shared" si="5"/>
        <v>60.606060606060609</v>
      </c>
    </row>
    <row r="25" spans="1:25" ht="18.75" x14ac:dyDescent="0.3">
      <c r="A25" s="216" t="s">
        <v>91</v>
      </c>
      <c r="B25" s="219" t="s">
        <v>92</v>
      </c>
      <c r="C25" s="211">
        <f>'Discrete Structure'!V28</f>
        <v>78.571428571428569</v>
      </c>
      <c r="D25" s="212">
        <f>'Discrete Structure'!W28</f>
        <v>90</v>
      </c>
      <c r="E25" s="212">
        <f>'Programmming Fundamental'!W28</f>
        <v>61.363636363636367</v>
      </c>
      <c r="F25" s="212">
        <f>'Programmming Fundamental'!X28</f>
        <v>61.53846153846154</v>
      </c>
      <c r="G25" s="212">
        <f>'Application of Information &amp; Co'!R29</f>
        <v>75</v>
      </c>
      <c r="H25" s="212">
        <f>'Application of Information &amp; Co'!T29</f>
        <v>65</v>
      </c>
      <c r="I25" s="212">
        <f>'Calculus and Analytic Geometry'!V28</f>
        <v>66.071428571428569</v>
      </c>
      <c r="J25" s="212">
        <f>'Calculus and Analytic Geometry'!W28</f>
        <v>61.363636363636367</v>
      </c>
      <c r="K25" s="212">
        <f>'Functional English'!V28</f>
        <v>61.764705882352942</v>
      </c>
      <c r="L25" s="212">
        <f>'Functional English'!W28</f>
        <v>60.606060606060609</v>
      </c>
      <c r="M25" s="212">
        <f>'Teaching of Holy Quran with Tra'!V28</f>
        <v>72</v>
      </c>
      <c r="N25" s="212"/>
      <c r="O25" s="212"/>
      <c r="P25" s="212"/>
      <c r="Q25" s="212"/>
      <c r="R25" s="212"/>
      <c r="U25" s="209">
        <f t="shared" si="1"/>
        <v>72</v>
      </c>
      <c r="V25" s="209">
        <f t="shared" si="2"/>
        <v>70.251623376623371</v>
      </c>
      <c r="W25" s="209">
        <f t="shared" si="3"/>
        <v>72.121212121212125</v>
      </c>
      <c r="X25" s="209">
        <f t="shared" si="4"/>
        <v>61.53846153846154</v>
      </c>
      <c r="Y25" s="209">
        <f t="shared" si="5"/>
        <v>60.606060606060609</v>
      </c>
    </row>
    <row r="26" spans="1:25" ht="18.75" x14ac:dyDescent="0.3">
      <c r="A26" s="216" t="s">
        <v>93</v>
      </c>
      <c r="B26" s="219" t="s">
        <v>94</v>
      </c>
      <c r="C26" s="211">
        <f>'Discrete Structure'!V29</f>
        <v>81.428571428571431</v>
      </c>
      <c r="D26" s="212">
        <f>'Discrete Structure'!W29</f>
        <v>83.333333333333343</v>
      </c>
      <c r="E26" s="212">
        <f>'Programmming Fundamental'!W29</f>
        <v>0</v>
      </c>
      <c r="F26" s="212">
        <f>'Programmming Fundamental'!X29</f>
        <v>0</v>
      </c>
      <c r="G26" s="212">
        <f>'Application of Information &amp; Co'!R30</f>
        <v>0</v>
      </c>
      <c r="H26" s="212">
        <f>'Application of Information &amp; Co'!T30</f>
        <v>0</v>
      </c>
      <c r="I26" s="212">
        <f>'Calculus and Analytic Geometry'!V29</f>
        <v>0</v>
      </c>
      <c r="J26" s="212">
        <f>'Calculus and Analytic Geometry'!W29</f>
        <v>0</v>
      </c>
      <c r="K26" s="212">
        <f>'Functional English'!V29</f>
        <v>0</v>
      </c>
      <c r="L26" s="212">
        <f>'Functional English'!W29</f>
        <v>0</v>
      </c>
      <c r="M26" s="212">
        <f>'Teaching of Holy Quran with Tra'!V29</f>
        <v>0</v>
      </c>
      <c r="N26" s="212"/>
      <c r="O26" s="212"/>
      <c r="P26" s="212"/>
      <c r="Q26" s="212"/>
      <c r="R26" s="212"/>
      <c r="U26" s="209">
        <f t="shared" si="1"/>
        <v>0</v>
      </c>
      <c r="V26" s="209">
        <f t="shared" si="2"/>
        <v>20.357142857142858</v>
      </c>
      <c r="W26" s="209">
        <f t="shared" si="3"/>
        <v>27.777777777777782</v>
      </c>
      <c r="X26" s="209">
        <f t="shared" si="4"/>
        <v>0</v>
      </c>
      <c r="Y26" s="209">
        <f t="shared" si="5"/>
        <v>0</v>
      </c>
    </row>
    <row r="27" spans="1:25" ht="18.75" x14ac:dyDescent="0.3">
      <c r="A27" s="216" t="s">
        <v>95</v>
      </c>
      <c r="B27" s="219" t="s">
        <v>96</v>
      </c>
      <c r="C27" s="211">
        <f>'Discrete Structure'!V30</f>
        <v>22.857142857142858</v>
      </c>
      <c r="D27" s="212">
        <f>'Discrete Structure'!W30</f>
        <v>60</v>
      </c>
      <c r="E27" s="212">
        <f>'Programmming Fundamental'!W30</f>
        <v>47.727272727272727</v>
      </c>
      <c r="F27" s="212">
        <f>'Programmming Fundamental'!X30</f>
        <v>57.692307692307686</v>
      </c>
      <c r="G27" s="212">
        <f>'Application of Information &amp; Co'!R31</f>
        <v>50</v>
      </c>
      <c r="H27" s="212">
        <f>'Application of Information &amp; Co'!T31</f>
        <v>55.000000000000007</v>
      </c>
      <c r="I27" s="212">
        <f>'Calculus and Analytic Geometry'!V30</f>
        <v>41.071428571428569</v>
      </c>
      <c r="J27" s="212">
        <f>'Calculus and Analytic Geometry'!W30</f>
        <v>29.545454545454547</v>
      </c>
      <c r="K27" s="212">
        <f>'Functional English'!V30</f>
        <v>52.941176470588239</v>
      </c>
      <c r="L27" s="212">
        <f>'Functional English'!W30</f>
        <v>59.090909090909093</v>
      </c>
      <c r="M27" s="212">
        <f>'Teaching of Holy Quran with Tra'!V30</f>
        <v>81</v>
      </c>
      <c r="N27" s="212"/>
      <c r="O27" s="212"/>
      <c r="P27" s="212"/>
      <c r="Q27" s="212"/>
      <c r="R27" s="212"/>
      <c r="U27" s="209">
        <f t="shared" si="1"/>
        <v>81</v>
      </c>
      <c r="V27" s="209">
        <f t="shared" si="2"/>
        <v>40.413961038961034</v>
      </c>
      <c r="W27" s="209">
        <f t="shared" si="3"/>
        <v>48.181818181818187</v>
      </c>
      <c r="X27" s="209">
        <f t="shared" si="4"/>
        <v>57.692307692307686</v>
      </c>
      <c r="Y27" s="209">
        <f t="shared" si="5"/>
        <v>59.090909090909093</v>
      </c>
    </row>
    <row r="28" spans="1:25" ht="18.75" x14ac:dyDescent="0.3">
      <c r="A28" s="166" t="s">
        <v>97</v>
      </c>
      <c r="B28" s="166" t="s">
        <v>98</v>
      </c>
      <c r="C28" s="211">
        <f>'Discrete Structure'!V31</f>
        <v>20</v>
      </c>
      <c r="D28" s="212">
        <f>'Discrete Structure'!W31</f>
        <v>60</v>
      </c>
      <c r="E28" s="212">
        <f>'Programmming Fundamental'!W31</f>
        <v>65.909090909090907</v>
      </c>
      <c r="F28" s="212">
        <f>'Programmming Fundamental'!X31</f>
        <v>65.384615384615387</v>
      </c>
      <c r="G28" s="212">
        <f>'Application of Information &amp; Co'!R32</f>
        <v>60</v>
      </c>
      <c r="H28" s="212">
        <f>'Application of Information &amp; Co'!T32</f>
        <v>57.499999999999993</v>
      </c>
      <c r="I28" s="212">
        <f>'Calculus and Analytic Geometry'!V31</f>
        <v>67.857142857142861</v>
      </c>
      <c r="J28" s="212">
        <f>'Calculus and Analytic Geometry'!W31</f>
        <v>68.181818181818173</v>
      </c>
      <c r="K28" s="212">
        <f>'Functional English'!V31</f>
        <v>76.470588235294116</v>
      </c>
      <c r="L28" s="212">
        <f>'Functional English'!W31</f>
        <v>69.696969696969703</v>
      </c>
      <c r="M28" s="212">
        <f>'Teaching of Holy Quran with Tra'!V31</f>
        <v>84</v>
      </c>
      <c r="N28" s="212"/>
      <c r="O28" s="212"/>
      <c r="P28" s="212"/>
      <c r="Q28" s="212"/>
      <c r="R28" s="212"/>
      <c r="U28" s="209">
        <f t="shared" si="1"/>
        <v>84</v>
      </c>
      <c r="V28" s="209">
        <f t="shared" si="2"/>
        <v>53.441558441558442</v>
      </c>
      <c r="W28" s="209">
        <f t="shared" si="3"/>
        <v>61.893939393939398</v>
      </c>
      <c r="X28" s="209">
        <f t="shared" si="4"/>
        <v>65.384615384615387</v>
      </c>
      <c r="Y28" s="209">
        <f t="shared" si="5"/>
        <v>69.696969696969703</v>
      </c>
    </row>
    <row r="29" spans="1:25" ht="18.75" x14ac:dyDescent="0.3">
      <c r="A29" s="166" t="s">
        <v>99</v>
      </c>
      <c r="B29" s="166" t="s">
        <v>100</v>
      </c>
      <c r="C29" s="211">
        <f>'Discrete Structure'!V32</f>
        <v>70</v>
      </c>
      <c r="D29" s="212">
        <f>'Discrete Structure'!W32</f>
        <v>70</v>
      </c>
      <c r="E29" s="212">
        <f>'Programmming Fundamental'!W32</f>
        <v>50</v>
      </c>
      <c r="F29" s="212">
        <f>'Programmming Fundamental'!X32</f>
        <v>50</v>
      </c>
      <c r="G29" s="212">
        <f>'Application of Information &amp; Co'!R33</f>
        <v>50</v>
      </c>
      <c r="H29" s="212">
        <f>'Application of Information &amp; Co'!T33</f>
        <v>50</v>
      </c>
      <c r="I29" s="212">
        <f>'Calculus and Analytic Geometry'!V32</f>
        <v>46.428571428571431</v>
      </c>
      <c r="J29" s="212">
        <f>'Calculus and Analytic Geometry'!W32</f>
        <v>22.727272727272727</v>
      </c>
      <c r="K29" s="212">
        <f>'Functional English'!V32</f>
        <v>50</v>
      </c>
      <c r="L29" s="212">
        <f>'Functional English'!W32</f>
        <v>40.909090909090914</v>
      </c>
      <c r="M29" s="212">
        <f>'Teaching of Holy Quran with Tra'!V32</f>
        <v>68</v>
      </c>
      <c r="N29" s="212"/>
      <c r="O29" s="212"/>
      <c r="P29" s="212"/>
      <c r="Q29" s="212"/>
      <c r="R29" s="212"/>
      <c r="U29" s="209">
        <f t="shared" si="1"/>
        <v>68</v>
      </c>
      <c r="V29" s="209">
        <f t="shared" si="2"/>
        <v>54.107142857142861</v>
      </c>
      <c r="W29" s="209">
        <f t="shared" si="3"/>
        <v>47.575757575757571</v>
      </c>
      <c r="X29" s="209">
        <f t="shared" si="4"/>
        <v>50</v>
      </c>
      <c r="Y29" s="209">
        <f t="shared" si="5"/>
        <v>40.909090909090914</v>
      </c>
    </row>
    <row r="30" spans="1:25" ht="18.75" x14ac:dyDescent="0.3">
      <c r="A30" s="166" t="s">
        <v>101</v>
      </c>
      <c r="B30" s="166" t="s">
        <v>102</v>
      </c>
      <c r="C30" s="211">
        <f>'Discrete Structure'!V33</f>
        <v>85.714285714285708</v>
      </c>
      <c r="D30" s="212">
        <f>'Discrete Structure'!W33</f>
        <v>90</v>
      </c>
      <c r="E30" s="212">
        <f>'Programmming Fundamental'!W33</f>
        <v>59.090909090909093</v>
      </c>
      <c r="F30" s="212">
        <f>'Programmming Fundamental'!X33</f>
        <v>50</v>
      </c>
      <c r="G30" s="212">
        <f>'Application of Information &amp; Co'!R34</f>
        <v>65</v>
      </c>
      <c r="H30" s="212">
        <f>'Application of Information &amp; Co'!T34</f>
        <v>60</v>
      </c>
      <c r="I30" s="212">
        <f>'Calculus and Analytic Geometry'!V33</f>
        <v>64.285714285714292</v>
      </c>
      <c r="J30" s="212">
        <f>'Calculus and Analytic Geometry'!W33</f>
        <v>56.81818181818182</v>
      </c>
      <c r="K30" s="212">
        <f>'Functional English'!V33</f>
        <v>64.705882352941174</v>
      </c>
      <c r="L30" s="212">
        <f>'Functional English'!W33</f>
        <v>43.939393939393938</v>
      </c>
      <c r="M30" s="212">
        <f>'Teaching of Holy Quran with Tra'!V33</f>
        <v>78</v>
      </c>
      <c r="N30" s="212"/>
      <c r="O30" s="212"/>
      <c r="P30" s="212"/>
      <c r="Q30" s="212"/>
      <c r="R30" s="212"/>
      <c r="U30" s="209">
        <f t="shared" si="1"/>
        <v>78</v>
      </c>
      <c r="V30" s="209">
        <f t="shared" si="2"/>
        <v>68.522727272727266</v>
      </c>
      <c r="W30" s="209">
        <f t="shared" si="3"/>
        <v>68.939393939393938</v>
      </c>
      <c r="X30" s="209">
        <f t="shared" si="4"/>
        <v>50</v>
      </c>
      <c r="Y30" s="209">
        <f t="shared" si="5"/>
        <v>43.939393939393938</v>
      </c>
    </row>
    <row r="31" spans="1:25" ht="18.75" x14ac:dyDescent="0.3">
      <c r="A31" s="215" t="s">
        <v>103</v>
      </c>
      <c r="B31" s="215" t="s">
        <v>104</v>
      </c>
      <c r="C31" s="211">
        <f>'Discrete Structure'!V34</f>
        <v>72.857142857142847</v>
      </c>
      <c r="D31" s="212">
        <f>'Discrete Structure'!W34</f>
        <v>76.666666666666671</v>
      </c>
      <c r="E31" s="212">
        <f>'Programmming Fundamental'!W34</f>
        <v>63.636363636363633</v>
      </c>
      <c r="F31" s="212">
        <f>'Programmming Fundamental'!X34</f>
        <v>53.846153846153847</v>
      </c>
      <c r="G31" s="212">
        <f>'Application of Information &amp; Co'!R35</f>
        <v>50</v>
      </c>
      <c r="H31" s="212">
        <f>'Application of Information &amp; Co'!T35</f>
        <v>52.5</v>
      </c>
      <c r="I31" s="212">
        <f>'Calculus and Analytic Geometry'!V34</f>
        <v>60.714285714285708</v>
      </c>
      <c r="J31" s="212">
        <f>'Calculus and Analytic Geometry'!W34</f>
        <v>45.454545454545453</v>
      </c>
      <c r="K31" s="212">
        <f>'Functional English'!V34</f>
        <v>58.82352941176471</v>
      </c>
      <c r="L31" s="212">
        <f>'Functional English'!W34</f>
        <v>37.878787878787875</v>
      </c>
      <c r="M31" s="212">
        <f>'Teaching of Holy Quran with Tra'!V34</f>
        <v>70</v>
      </c>
      <c r="N31" s="212"/>
      <c r="O31" s="212"/>
      <c r="P31" s="212"/>
      <c r="Q31" s="212"/>
      <c r="R31" s="212"/>
      <c r="U31" s="209">
        <f t="shared" si="1"/>
        <v>70</v>
      </c>
      <c r="V31" s="209">
        <f t="shared" si="2"/>
        <v>61.801948051948045</v>
      </c>
      <c r="W31" s="209">
        <f t="shared" si="3"/>
        <v>58.207070707070706</v>
      </c>
      <c r="X31" s="209">
        <f t="shared" si="4"/>
        <v>53.846153846153847</v>
      </c>
      <c r="Y31" s="209">
        <f t="shared" si="5"/>
        <v>37.878787878787875</v>
      </c>
    </row>
    <row r="32" spans="1:25" ht="18.75" x14ac:dyDescent="0.3">
      <c r="A32" s="217" t="s">
        <v>105</v>
      </c>
      <c r="B32" s="215" t="s">
        <v>106</v>
      </c>
      <c r="C32" s="211">
        <f>'Discrete Structure'!V35</f>
        <v>81.428571428571431</v>
      </c>
      <c r="D32" s="212">
        <f>'Discrete Structure'!W35</f>
        <v>86.666666666666671</v>
      </c>
      <c r="E32" s="212">
        <f>'Programmming Fundamental'!W35</f>
        <v>40.909090909090914</v>
      </c>
      <c r="F32" s="212">
        <f>'Programmming Fundamental'!X35</f>
        <v>30.76923076923077</v>
      </c>
      <c r="G32" s="212">
        <f>'Application of Information &amp; Co'!R36</f>
        <v>0</v>
      </c>
      <c r="H32" s="212">
        <f>'Application of Information &amp; Co'!T36</f>
        <v>17.5</v>
      </c>
      <c r="I32" s="212">
        <f>'Calculus and Analytic Geometry'!V35</f>
        <v>46.428571428571431</v>
      </c>
      <c r="J32" s="212">
        <f>'Calculus and Analytic Geometry'!W35</f>
        <v>22.727272727272727</v>
      </c>
      <c r="K32" s="212">
        <f>'Functional English'!V35</f>
        <v>14.705882352941178</v>
      </c>
      <c r="L32" s="212">
        <f>'Functional English'!W35</f>
        <v>18.181818181818183</v>
      </c>
      <c r="M32" s="212">
        <f>'Teaching of Holy Quran with Tra'!V35</f>
        <v>23</v>
      </c>
      <c r="N32" s="212"/>
      <c r="O32" s="212"/>
      <c r="P32" s="212"/>
      <c r="Q32" s="212"/>
      <c r="R32" s="212"/>
      <c r="U32" s="209">
        <f t="shared" si="1"/>
        <v>23</v>
      </c>
      <c r="V32" s="209">
        <f t="shared" si="2"/>
        <v>42.191558441558442</v>
      </c>
      <c r="W32" s="209">
        <f t="shared" si="3"/>
        <v>42.297979797979799</v>
      </c>
      <c r="X32" s="209">
        <f t="shared" si="4"/>
        <v>30.76923076923077</v>
      </c>
      <c r="Y32" s="209">
        <f t="shared" si="5"/>
        <v>18.181818181818183</v>
      </c>
    </row>
    <row r="33" spans="1:25" ht="18.75" x14ac:dyDescent="0.3">
      <c r="A33" s="166" t="s">
        <v>107</v>
      </c>
      <c r="B33" s="166" t="s">
        <v>108</v>
      </c>
      <c r="C33" s="211">
        <f>'Discrete Structure'!V36</f>
        <v>78.571428571428569</v>
      </c>
      <c r="D33" s="212">
        <f>'Discrete Structure'!W36</f>
        <v>83.333333333333343</v>
      </c>
      <c r="E33" s="212">
        <f>'Programmming Fundamental'!W36</f>
        <v>56.81818181818182</v>
      </c>
      <c r="F33" s="212">
        <f>'Programmming Fundamental'!X36</f>
        <v>46.153846153846153</v>
      </c>
      <c r="G33" s="212">
        <f>'Application of Information &amp; Co'!R37</f>
        <v>50</v>
      </c>
      <c r="H33" s="212">
        <f>'Application of Information &amp; Co'!T37</f>
        <v>60</v>
      </c>
      <c r="I33" s="212">
        <f>'Calculus and Analytic Geometry'!V36</f>
        <v>55.357142857142861</v>
      </c>
      <c r="J33" s="212">
        <f>'Calculus and Analytic Geometry'!W36</f>
        <v>40.909090909090914</v>
      </c>
      <c r="K33" s="212">
        <f>'Functional English'!V36</f>
        <v>58.82352941176471</v>
      </c>
      <c r="L33" s="212">
        <f>'Functional English'!W36</f>
        <v>65.151515151515156</v>
      </c>
      <c r="M33" s="212">
        <f>'Teaching of Holy Quran with Tra'!V36</f>
        <v>77</v>
      </c>
      <c r="N33" s="212"/>
      <c r="O33" s="212"/>
      <c r="P33" s="212"/>
      <c r="Q33" s="212"/>
      <c r="R33" s="212"/>
      <c r="U33" s="209">
        <f t="shared" si="1"/>
        <v>77</v>
      </c>
      <c r="V33" s="209">
        <f t="shared" si="2"/>
        <v>60.186688311688314</v>
      </c>
      <c r="W33" s="209">
        <f t="shared" si="3"/>
        <v>61.414141414141419</v>
      </c>
      <c r="X33" s="209">
        <f t="shared" si="4"/>
        <v>46.153846153846153</v>
      </c>
      <c r="Y33" s="209">
        <f t="shared" si="5"/>
        <v>65.151515151515156</v>
      </c>
    </row>
    <row r="34" spans="1:25" ht="18.75" x14ac:dyDescent="0.3">
      <c r="A34" s="166" t="s">
        <v>109</v>
      </c>
      <c r="B34" s="166" t="s">
        <v>110</v>
      </c>
      <c r="C34" s="211">
        <f>'Discrete Structure'!V37</f>
        <v>87.142857142857139</v>
      </c>
      <c r="D34" s="212">
        <f>'Discrete Structure'!W37</f>
        <v>96.666666666666671</v>
      </c>
      <c r="E34" s="212">
        <f>'Programmming Fundamental'!W37</f>
        <v>65.909090909090907</v>
      </c>
      <c r="F34" s="212">
        <f>'Programmming Fundamental'!X37</f>
        <v>50</v>
      </c>
      <c r="G34" s="212">
        <f>'Application of Information &amp; Co'!R38</f>
        <v>55.000000000000007</v>
      </c>
      <c r="H34" s="212">
        <f>'Application of Information &amp; Co'!T38</f>
        <v>50</v>
      </c>
      <c r="I34" s="212">
        <f>'Calculus and Analytic Geometry'!V37</f>
        <v>60.714285714285708</v>
      </c>
      <c r="J34" s="212">
        <f>'Calculus and Analytic Geometry'!W37</f>
        <v>56.81818181818182</v>
      </c>
      <c r="K34" s="212">
        <f>'Functional English'!V37</f>
        <v>73.529411764705884</v>
      </c>
      <c r="L34" s="212">
        <f>'Functional English'!W37</f>
        <v>60.606060606060609</v>
      </c>
      <c r="M34" s="212">
        <f>'Teaching of Holy Quran with Tra'!V37</f>
        <v>73</v>
      </c>
      <c r="N34" s="212"/>
      <c r="O34" s="212"/>
      <c r="P34" s="212"/>
      <c r="Q34" s="212"/>
      <c r="R34" s="212"/>
      <c r="U34" s="209">
        <f t="shared" si="1"/>
        <v>73</v>
      </c>
      <c r="V34" s="209">
        <f t="shared" si="2"/>
        <v>67.191558441558442</v>
      </c>
      <c r="W34" s="209">
        <f t="shared" si="3"/>
        <v>67.828282828282838</v>
      </c>
      <c r="X34" s="209">
        <f t="shared" si="4"/>
        <v>50</v>
      </c>
      <c r="Y34" s="209">
        <f t="shared" si="5"/>
        <v>60.606060606060609</v>
      </c>
    </row>
    <row r="35" spans="1:25" ht="18.75" x14ac:dyDescent="0.3">
      <c r="A35" s="166" t="s">
        <v>111</v>
      </c>
      <c r="B35" s="166" t="s">
        <v>112</v>
      </c>
      <c r="C35" s="211">
        <f>'Discrete Structure'!V38</f>
        <v>94.285714285714278</v>
      </c>
      <c r="D35" s="212">
        <f>'Discrete Structure'!W38</f>
        <v>93.333333333333329</v>
      </c>
      <c r="E35" s="212">
        <f>'Programmming Fundamental'!W38</f>
        <v>70.454545454545453</v>
      </c>
      <c r="F35" s="212">
        <f>'Programmming Fundamental'!X38</f>
        <v>53.846153846153847</v>
      </c>
      <c r="G35" s="212">
        <f>'Application of Information &amp; Co'!R39</f>
        <v>85</v>
      </c>
      <c r="H35" s="212">
        <f>'Application of Information &amp; Co'!T39</f>
        <v>85</v>
      </c>
      <c r="I35" s="212">
        <f>'Calculus and Analytic Geometry'!V38</f>
        <v>89.285714285714292</v>
      </c>
      <c r="J35" s="212">
        <f>'Calculus and Analytic Geometry'!W38</f>
        <v>95.454545454545453</v>
      </c>
      <c r="K35" s="212">
        <f>'Functional English'!V38</f>
        <v>88.235294117647058</v>
      </c>
      <c r="L35" s="212">
        <f>'Functional English'!W38</f>
        <v>78.787878787878782</v>
      </c>
      <c r="M35" s="212">
        <f>'Teaching of Holy Quran with Tra'!V38</f>
        <v>78</v>
      </c>
      <c r="N35" s="212"/>
      <c r="O35" s="212"/>
      <c r="P35" s="212"/>
      <c r="Q35" s="212"/>
      <c r="R35" s="212"/>
      <c r="U35" s="209">
        <f t="shared" si="1"/>
        <v>78</v>
      </c>
      <c r="V35" s="209">
        <f t="shared" si="2"/>
        <v>84.756493506493499</v>
      </c>
      <c r="W35" s="209">
        <f t="shared" si="3"/>
        <v>91.262626262626256</v>
      </c>
      <c r="X35" s="209">
        <f t="shared" si="4"/>
        <v>53.846153846153847</v>
      </c>
      <c r="Y35" s="209">
        <f t="shared" si="5"/>
        <v>78.787878787878782</v>
      </c>
    </row>
    <row r="36" spans="1:25" ht="18.75" x14ac:dyDescent="0.3">
      <c r="A36" s="166" t="s">
        <v>114</v>
      </c>
      <c r="B36" s="166" t="s">
        <v>115</v>
      </c>
      <c r="C36" s="211">
        <f>'Discrete Structure'!V39</f>
        <v>64.285714285714292</v>
      </c>
      <c r="D36" s="212">
        <f>'Discrete Structure'!W39</f>
        <v>76.666666666666671</v>
      </c>
      <c r="E36" s="212">
        <f>'Programmming Fundamental'!W39</f>
        <v>63.636363636363633</v>
      </c>
      <c r="F36" s="212">
        <f>'Programmming Fundamental'!X39</f>
        <v>50</v>
      </c>
      <c r="G36" s="212">
        <f>'Application of Information &amp; Co'!R40</f>
        <v>55.000000000000007</v>
      </c>
      <c r="H36" s="212">
        <f>'Application of Information &amp; Co'!T40</f>
        <v>57.499999999999993</v>
      </c>
      <c r="I36" s="212">
        <f>'Calculus and Analytic Geometry'!V39</f>
        <v>78.571428571428569</v>
      </c>
      <c r="J36" s="212">
        <f>'Calculus and Analytic Geometry'!W39</f>
        <v>61.363636363636367</v>
      </c>
      <c r="K36" s="212">
        <f>'Functional English'!V39</f>
        <v>64.705882352941174</v>
      </c>
      <c r="L36" s="212">
        <f>'Functional English'!W39</f>
        <v>66.666666666666657</v>
      </c>
      <c r="M36" s="212">
        <f>'Teaching of Holy Quran with Tra'!V39</f>
        <v>71</v>
      </c>
      <c r="N36" s="212"/>
      <c r="O36" s="212"/>
      <c r="P36" s="212"/>
      <c r="Q36" s="212"/>
      <c r="R36" s="212"/>
      <c r="U36" s="209">
        <f t="shared" si="1"/>
        <v>71</v>
      </c>
      <c r="V36" s="209">
        <f t="shared" si="2"/>
        <v>65.373376623376629</v>
      </c>
      <c r="W36" s="209">
        <f t="shared" si="3"/>
        <v>65.176767676767682</v>
      </c>
      <c r="X36" s="209">
        <f t="shared" si="4"/>
        <v>50</v>
      </c>
      <c r="Y36" s="209">
        <f t="shared" si="5"/>
        <v>66.666666666666657</v>
      </c>
    </row>
    <row r="37" spans="1:25" ht="18.75" x14ac:dyDescent="0.3">
      <c r="A37" s="215" t="s">
        <v>116</v>
      </c>
      <c r="B37" s="215" t="s">
        <v>117</v>
      </c>
      <c r="C37" s="211">
        <f>'Discrete Structure'!V40</f>
        <v>0</v>
      </c>
      <c r="D37" s="212">
        <f>'Discrete Structure'!W40</f>
        <v>0</v>
      </c>
      <c r="E37" s="212">
        <f>'Programmming Fundamental'!W40</f>
        <v>56.81818181818182</v>
      </c>
      <c r="F37" s="212">
        <f>'Programmming Fundamental'!X40</f>
        <v>53.846153846153847</v>
      </c>
      <c r="G37" s="212">
        <f>'Application of Information &amp; Co'!R41</f>
        <v>50</v>
      </c>
      <c r="H37" s="212">
        <f>'Application of Information &amp; Co'!T41</f>
        <v>55.000000000000007</v>
      </c>
      <c r="I37" s="212">
        <f>'Calculus and Analytic Geometry'!V40</f>
        <v>76.785714285714292</v>
      </c>
      <c r="J37" s="212">
        <f>'Calculus and Analytic Geometry'!W40</f>
        <v>84.090909090909093</v>
      </c>
      <c r="K37" s="212">
        <f>'Functional English'!V40</f>
        <v>73.529411764705884</v>
      </c>
      <c r="L37" s="212">
        <f>'Functional English'!W40</f>
        <v>63.636363636363633</v>
      </c>
      <c r="M37" s="212">
        <f>'Teaching of Holy Quran with Tra'!V40</f>
        <v>81</v>
      </c>
      <c r="N37" s="212"/>
      <c r="O37" s="212"/>
      <c r="P37" s="212"/>
      <c r="Q37" s="212"/>
      <c r="R37" s="212"/>
      <c r="U37" s="209">
        <f t="shared" si="1"/>
        <v>81</v>
      </c>
      <c r="V37" s="209">
        <f t="shared" si="2"/>
        <v>45.900974025974023</v>
      </c>
      <c r="W37" s="209">
        <f t="shared" si="3"/>
        <v>46.363636363636367</v>
      </c>
      <c r="X37" s="209">
        <f t="shared" si="4"/>
        <v>53.846153846153847</v>
      </c>
      <c r="Y37" s="209">
        <f t="shared" si="5"/>
        <v>63.636363636363633</v>
      </c>
    </row>
    <row r="38" spans="1:25" ht="18.75" x14ac:dyDescent="0.3">
      <c r="A38" s="166" t="s">
        <v>118</v>
      </c>
      <c r="B38" s="166" t="s">
        <v>119</v>
      </c>
      <c r="C38" s="211">
        <f>'Discrete Structure'!V41</f>
        <v>74.285714285714292</v>
      </c>
      <c r="D38" s="212">
        <f>'Discrete Structure'!W41</f>
        <v>93.333333333333329</v>
      </c>
      <c r="E38" s="212">
        <f>'Programmming Fundamental'!W41</f>
        <v>50</v>
      </c>
      <c r="F38" s="212">
        <f>'Programmming Fundamental'!X41</f>
        <v>38.461538461538467</v>
      </c>
      <c r="G38" s="212">
        <f>'Application of Information &amp; Co'!R42</f>
        <v>65</v>
      </c>
      <c r="H38" s="212">
        <f>'Application of Information &amp; Co'!T42</f>
        <v>62.5</v>
      </c>
      <c r="I38" s="212">
        <f>'Calculus and Analytic Geometry'!V41</f>
        <v>41.071428571428569</v>
      </c>
      <c r="J38" s="212">
        <f>'Calculus and Analytic Geometry'!W41</f>
        <v>40.909090909090914</v>
      </c>
      <c r="K38" s="212">
        <f>'Functional English'!V41</f>
        <v>79.411764705882348</v>
      </c>
      <c r="L38" s="212">
        <f>'Functional English'!W41</f>
        <v>65.151515151515156</v>
      </c>
      <c r="M38" s="212">
        <f>'Teaching of Holy Quran with Tra'!V41</f>
        <v>77</v>
      </c>
      <c r="N38" s="212"/>
      <c r="O38" s="212"/>
      <c r="P38" s="212"/>
      <c r="Q38" s="212"/>
      <c r="R38" s="212"/>
      <c r="U38" s="209">
        <f t="shared" si="1"/>
        <v>77</v>
      </c>
      <c r="V38" s="209">
        <f t="shared" si="2"/>
        <v>57.589285714285708</v>
      </c>
      <c r="W38" s="209">
        <f t="shared" si="3"/>
        <v>65.580808080808069</v>
      </c>
      <c r="X38" s="209">
        <f t="shared" si="4"/>
        <v>38.461538461538467</v>
      </c>
      <c r="Y38" s="209">
        <f t="shared" si="5"/>
        <v>65.151515151515156</v>
      </c>
    </row>
    <row r="39" spans="1:25" ht="18.75" x14ac:dyDescent="0.3">
      <c r="A39" s="166" t="s">
        <v>120</v>
      </c>
      <c r="B39" s="166" t="s">
        <v>121</v>
      </c>
      <c r="C39" s="211">
        <f>'Discrete Structure'!V42</f>
        <v>0</v>
      </c>
      <c r="D39" s="212">
        <f>'Discrete Structure'!W42</f>
        <v>0</v>
      </c>
      <c r="E39" s="212">
        <f>'Programmming Fundamental'!W42</f>
        <v>36.363636363636367</v>
      </c>
      <c r="F39" s="212">
        <f>'Programmming Fundamental'!X42</f>
        <v>57.692307692307686</v>
      </c>
      <c r="G39" s="212">
        <f>'Application of Information &amp; Co'!R43</f>
        <v>65</v>
      </c>
      <c r="H39" s="212">
        <f>'Application of Information &amp; Co'!T43</f>
        <v>57.499999999999993</v>
      </c>
      <c r="I39" s="212">
        <f>'Calculus and Analytic Geometry'!V42</f>
        <v>23.214285714285715</v>
      </c>
      <c r="J39" s="212">
        <f>'Calculus and Analytic Geometry'!W42</f>
        <v>4.5454545454545459</v>
      </c>
      <c r="K39" s="212">
        <f>'Functional English'!V42</f>
        <v>58.82352941176471</v>
      </c>
      <c r="L39" s="212">
        <f>'Functional English'!W42</f>
        <v>54.54545454545454</v>
      </c>
      <c r="M39" s="212">
        <f>'Teaching of Holy Quran with Tra'!V42</f>
        <v>74</v>
      </c>
      <c r="N39" s="212"/>
      <c r="O39" s="212"/>
      <c r="P39" s="212"/>
      <c r="Q39" s="212"/>
      <c r="R39" s="212"/>
      <c r="U39" s="209">
        <f t="shared" si="1"/>
        <v>74</v>
      </c>
      <c r="V39" s="209">
        <f t="shared" si="2"/>
        <v>31.144480519480524</v>
      </c>
      <c r="W39" s="209">
        <f t="shared" si="3"/>
        <v>20.68181818181818</v>
      </c>
      <c r="X39" s="209">
        <f t="shared" si="4"/>
        <v>57.692307692307686</v>
      </c>
      <c r="Y39" s="209">
        <f t="shared" si="5"/>
        <v>54.54545454545454</v>
      </c>
    </row>
    <row r="40" spans="1:25" ht="18.75" x14ac:dyDescent="0.3">
      <c r="A40" s="166" t="s">
        <v>122</v>
      </c>
      <c r="B40" s="166" t="s">
        <v>123</v>
      </c>
      <c r="C40" s="211">
        <f>'Discrete Structure'!V43</f>
        <v>81.428571428571431</v>
      </c>
      <c r="D40" s="212">
        <f>'Discrete Structure'!W43</f>
        <v>93.333333333333329</v>
      </c>
      <c r="E40" s="212">
        <f>'Programmming Fundamental'!W43</f>
        <v>56.81818181818182</v>
      </c>
      <c r="F40" s="212">
        <f>'Programmming Fundamental'!X43</f>
        <v>61.53846153846154</v>
      </c>
      <c r="G40" s="212">
        <f>'Application of Information &amp; Co'!R44</f>
        <v>50</v>
      </c>
      <c r="H40" s="212">
        <f>'Application of Information &amp; Co'!T44</f>
        <v>55.000000000000007</v>
      </c>
      <c r="I40" s="212">
        <f>'Calculus and Analytic Geometry'!V43</f>
        <v>67.857142857142861</v>
      </c>
      <c r="J40" s="212">
        <f>'Calculus and Analytic Geometry'!W43</f>
        <v>43.18181818181818</v>
      </c>
      <c r="K40" s="212">
        <f>'Functional English'!V43</f>
        <v>61.764705882352942</v>
      </c>
      <c r="L40" s="212">
        <f>'Functional English'!W43</f>
        <v>68.181818181818173</v>
      </c>
      <c r="M40" s="212">
        <f>'Teaching of Holy Quran with Tra'!V43</f>
        <v>79</v>
      </c>
      <c r="N40" s="212"/>
      <c r="O40" s="212"/>
      <c r="P40" s="212"/>
      <c r="Q40" s="212"/>
      <c r="R40" s="212"/>
      <c r="U40" s="209">
        <f t="shared" si="1"/>
        <v>79</v>
      </c>
      <c r="V40" s="209">
        <f t="shared" si="2"/>
        <v>64.025974025974023</v>
      </c>
      <c r="W40" s="209">
        <f t="shared" si="3"/>
        <v>63.838383838383841</v>
      </c>
      <c r="X40" s="209">
        <f t="shared" si="4"/>
        <v>61.53846153846154</v>
      </c>
      <c r="Y40" s="209">
        <f t="shared" si="5"/>
        <v>68.181818181818173</v>
      </c>
    </row>
    <row r="41" spans="1:25" ht="18.75" x14ac:dyDescent="0.3">
      <c r="A41" s="166" t="s">
        <v>124</v>
      </c>
      <c r="B41" s="166" t="s">
        <v>125</v>
      </c>
      <c r="C41" s="211">
        <f>'Discrete Structure'!V44</f>
        <v>78.571428571428569</v>
      </c>
      <c r="D41" s="212">
        <f>'Discrete Structure'!W44</f>
        <v>90</v>
      </c>
      <c r="E41" s="212">
        <f>'Programmming Fundamental'!W44</f>
        <v>59.090909090909093</v>
      </c>
      <c r="F41" s="212">
        <f>'Programmming Fundamental'!X44</f>
        <v>57.692307692307686</v>
      </c>
      <c r="G41" s="212">
        <f>'Application of Information &amp; Co'!R45</f>
        <v>65</v>
      </c>
      <c r="H41" s="212">
        <f>'Application of Information &amp; Co'!T45</f>
        <v>65</v>
      </c>
      <c r="I41" s="212">
        <f>'Calculus and Analytic Geometry'!V44</f>
        <v>62.5</v>
      </c>
      <c r="J41" s="212">
        <f>'Calculus and Analytic Geometry'!W44</f>
        <v>61.363636363636367</v>
      </c>
      <c r="K41" s="212">
        <f>'Functional English'!V44</f>
        <v>70.588235294117652</v>
      </c>
      <c r="L41" s="212">
        <f>'Functional English'!W44</f>
        <v>78.787878787878782</v>
      </c>
      <c r="M41" s="212">
        <f>'Teaching of Holy Quran with Tra'!V44</f>
        <v>77</v>
      </c>
      <c r="N41" s="212"/>
      <c r="O41" s="212"/>
      <c r="P41" s="212"/>
      <c r="Q41" s="212"/>
      <c r="R41" s="212"/>
      <c r="U41" s="209">
        <f t="shared" si="1"/>
        <v>77</v>
      </c>
      <c r="V41" s="209">
        <f t="shared" si="2"/>
        <v>66.290584415584419</v>
      </c>
      <c r="W41" s="209">
        <f t="shared" si="3"/>
        <v>72.121212121212125</v>
      </c>
      <c r="X41" s="209">
        <f t="shared" si="4"/>
        <v>57.692307692307686</v>
      </c>
      <c r="Y41" s="209">
        <f t="shared" si="5"/>
        <v>78.787878787878782</v>
      </c>
    </row>
    <row r="42" spans="1:25" ht="18.75" x14ac:dyDescent="0.3">
      <c r="A42" s="166" t="s">
        <v>126</v>
      </c>
      <c r="B42" s="166" t="s">
        <v>94</v>
      </c>
      <c r="C42" s="211">
        <f>'Discrete Structure'!V45</f>
        <v>77.142857142857153</v>
      </c>
      <c r="D42" s="212">
        <f>'Discrete Structure'!W45</f>
        <v>86.666666666666671</v>
      </c>
      <c r="E42" s="212">
        <f>'Programmming Fundamental'!W45</f>
        <v>0</v>
      </c>
      <c r="F42" s="212">
        <f>'Programmming Fundamental'!X45</f>
        <v>0</v>
      </c>
      <c r="G42" s="212">
        <f>'Application of Information &amp; Co'!R46</f>
        <v>0</v>
      </c>
      <c r="H42" s="212">
        <f>'Application of Information &amp; Co'!T46</f>
        <v>0</v>
      </c>
      <c r="I42" s="212">
        <f>'Calculus and Analytic Geometry'!V45</f>
        <v>0</v>
      </c>
      <c r="J42" s="212">
        <f>'Calculus and Analytic Geometry'!W45</f>
        <v>0</v>
      </c>
      <c r="K42" s="212">
        <f>'Functional English'!V45</f>
        <v>0</v>
      </c>
      <c r="L42" s="212">
        <f>'Functional English'!W45</f>
        <v>0</v>
      </c>
      <c r="M42" s="212">
        <f>'Teaching of Holy Quran with Tra'!V45</f>
        <v>0</v>
      </c>
      <c r="N42" s="212"/>
      <c r="O42" s="212"/>
      <c r="P42" s="212"/>
      <c r="Q42" s="212"/>
      <c r="R42" s="212"/>
      <c r="U42" s="209">
        <f t="shared" si="1"/>
        <v>0</v>
      </c>
      <c r="V42" s="209">
        <f t="shared" si="2"/>
        <v>19.285714285714288</v>
      </c>
      <c r="W42" s="209">
        <f t="shared" si="3"/>
        <v>28.888888888888889</v>
      </c>
      <c r="X42" s="209">
        <f t="shared" si="4"/>
        <v>0</v>
      </c>
      <c r="Y42" s="209">
        <f t="shared" si="5"/>
        <v>0</v>
      </c>
    </row>
    <row r="43" spans="1:25" ht="18.75" x14ac:dyDescent="0.3">
      <c r="A43" s="166" t="s">
        <v>127</v>
      </c>
      <c r="B43" s="166" t="s">
        <v>128</v>
      </c>
      <c r="C43" s="211">
        <f>'Discrete Structure'!V46</f>
        <v>22.857142857142858</v>
      </c>
      <c r="D43" s="212">
        <f>'Discrete Structure'!W46</f>
        <v>56.666666666666664</v>
      </c>
      <c r="E43" s="212">
        <f>'Programmming Fundamental'!W46</f>
        <v>77.272727272727266</v>
      </c>
      <c r="F43" s="212">
        <f>'Programmming Fundamental'!X46</f>
        <v>61.53846153846154</v>
      </c>
      <c r="G43" s="212">
        <f>'Application of Information &amp; Co'!R47</f>
        <v>50</v>
      </c>
      <c r="H43" s="212">
        <f>'Application of Information &amp; Co'!T47</f>
        <v>57.499999999999993</v>
      </c>
      <c r="I43" s="212">
        <f>'Calculus and Analytic Geometry'!V46</f>
        <v>89.285714285714292</v>
      </c>
      <c r="J43" s="212">
        <f>'Calculus and Analytic Geometry'!W46</f>
        <v>88.63636363636364</v>
      </c>
      <c r="K43" s="212">
        <f>'Functional English'!V46</f>
        <v>76.470588235294116</v>
      </c>
      <c r="L43" s="212">
        <f>'Functional English'!W46</f>
        <v>78.787878787878782</v>
      </c>
      <c r="M43" s="212">
        <f>'Teaching of Holy Quran with Tra'!V46</f>
        <v>82</v>
      </c>
      <c r="N43" s="212"/>
      <c r="O43" s="212"/>
      <c r="P43" s="212"/>
      <c r="Q43" s="212"/>
      <c r="R43" s="212"/>
      <c r="U43" s="209">
        <f t="shared" si="1"/>
        <v>82</v>
      </c>
      <c r="V43" s="209">
        <f t="shared" si="2"/>
        <v>59.853896103896105</v>
      </c>
      <c r="W43" s="209">
        <f t="shared" si="3"/>
        <v>67.601010101010104</v>
      </c>
      <c r="X43" s="209">
        <f t="shared" si="4"/>
        <v>61.53846153846154</v>
      </c>
      <c r="Y43" s="209">
        <f t="shared" si="5"/>
        <v>78.787878787878782</v>
      </c>
    </row>
    <row r="44" spans="1:25" ht="18.75" x14ac:dyDescent="0.3">
      <c r="A44" s="166" t="s">
        <v>129</v>
      </c>
      <c r="B44" s="166" t="s">
        <v>130</v>
      </c>
      <c r="C44" s="211">
        <f>'Discrete Structure'!V47</f>
        <v>80</v>
      </c>
      <c r="D44" s="212">
        <f>'Discrete Structure'!W47</f>
        <v>93.333333333333329</v>
      </c>
      <c r="E44" s="212">
        <f>'Programmming Fundamental'!W47</f>
        <v>70.454545454545453</v>
      </c>
      <c r="F44" s="212">
        <f>'Programmming Fundamental'!X47</f>
        <v>53.846153846153847</v>
      </c>
      <c r="G44" s="212">
        <f>'Application of Information &amp; Co'!R48</f>
        <v>65</v>
      </c>
      <c r="H44" s="212">
        <f>'Application of Information &amp; Co'!T48</f>
        <v>82.5</v>
      </c>
      <c r="I44" s="212">
        <f>'Calculus and Analytic Geometry'!V47</f>
        <v>62.5</v>
      </c>
      <c r="J44" s="212">
        <f>'Calculus and Analytic Geometry'!W47</f>
        <v>38.636363636363633</v>
      </c>
      <c r="K44" s="212">
        <f>'Functional English'!V47</f>
        <v>70.588235294117652</v>
      </c>
      <c r="L44" s="212">
        <f>'Functional English'!W47</f>
        <v>65.151515151515156</v>
      </c>
      <c r="M44" s="212">
        <f>'Teaching of Holy Quran with Tra'!V47</f>
        <v>79</v>
      </c>
      <c r="N44" s="212"/>
      <c r="O44" s="212"/>
      <c r="P44" s="212"/>
      <c r="Q44" s="212"/>
      <c r="R44" s="212"/>
      <c r="U44" s="209">
        <f t="shared" si="1"/>
        <v>79</v>
      </c>
      <c r="V44" s="209">
        <f t="shared" si="2"/>
        <v>69.48863636363636</v>
      </c>
      <c r="W44" s="209">
        <f t="shared" si="3"/>
        <v>71.489898989898975</v>
      </c>
      <c r="X44" s="209">
        <f t="shared" si="4"/>
        <v>53.846153846153847</v>
      </c>
      <c r="Y44" s="209">
        <f t="shared" si="5"/>
        <v>65.151515151515156</v>
      </c>
    </row>
    <row r="45" spans="1:25" ht="18.75" x14ac:dyDescent="0.3">
      <c r="A45" s="166" t="s">
        <v>132</v>
      </c>
      <c r="B45" s="166" t="s">
        <v>133</v>
      </c>
      <c r="C45" s="211">
        <f>'Discrete Structure'!V48</f>
        <v>0</v>
      </c>
      <c r="D45" s="212">
        <f>'Discrete Structure'!W48</f>
        <v>0</v>
      </c>
      <c r="E45" s="212">
        <f>'Programmming Fundamental'!W48</f>
        <v>0</v>
      </c>
      <c r="F45" s="212">
        <f>'Programmming Fundamental'!X48</f>
        <v>0</v>
      </c>
      <c r="G45" s="212">
        <f>'Application of Information &amp; Co'!R49</f>
        <v>0</v>
      </c>
      <c r="H45" s="212">
        <f>'Application of Information &amp; Co'!T49</f>
        <v>0</v>
      </c>
      <c r="I45" s="212">
        <f>'Calculus and Analytic Geometry'!V48</f>
        <v>0</v>
      </c>
      <c r="J45" s="212">
        <f>'Calculus and Analytic Geometry'!W48</f>
        <v>0</v>
      </c>
      <c r="K45" s="212">
        <f>'Functional English'!V48</f>
        <v>0</v>
      </c>
      <c r="L45" s="212">
        <f>'Functional English'!W48</f>
        <v>0</v>
      </c>
      <c r="M45" s="212">
        <f>'Teaching of Holy Quran with Tra'!V48</f>
        <v>0</v>
      </c>
      <c r="N45" s="212"/>
      <c r="O45" s="212"/>
      <c r="P45" s="212"/>
      <c r="Q45" s="212"/>
      <c r="R45" s="212"/>
      <c r="S45" s="212"/>
      <c r="U45" s="209">
        <f t="shared" si="1"/>
        <v>0</v>
      </c>
      <c r="V45" s="209">
        <f t="shared" si="2"/>
        <v>0</v>
      </c>
      <c r="W45" s="209">
        <f t="shared" si="3"/>
        <v>0</v>
      </c>
      <c r="X45" s="209">
        <f t="shared" si="4"/>
        <v>0</v>
      </c>
      <c r="Y45" s="209">
        <f t="shared" si="5"/>
        <v>0</v>
      </c>
    </row>
    <row r="46" spans="1:25" ht="18.75" x14ac:dyDescent="0.3">
      <c r="A46" s="166" t="s">
        <v>134</v>
      </c>
      <c r="B46" s="166" t="s">
        <v>135</v>
      </c>
      <c r="C46" s="211">
        <f>'Discrete Structure'!V49</f>
        <v>0</v>
      </c>
      <c r="D46" s="212">
        <f>'Discrete Structure'!W49</f>
        <v>0</v>
      </c>
      <c r="E46" s="212">
        <f>'Programmming Fundamental'!W49</f>
        <v>75</v>
      </c>
      <c r="F46" s="212">
        <f>'Programmming Fundamental'!X49</f>
        <v>53.846153846153847</v>
      </c>
      <c r="G46" s="212">
        <f>'Application of Information &amp; Co'!R50</f>
        <v>70</v>
      </c>
      <c r="H46" s="212">
        <f>'Application of Information &amp; Co'!T50</f>
        <v>72.5</v>
      </c>
      <c r="I46" s="212">
        <f>'Calculus and Analytic Geometry'!V49</f>
        <v>62.5</v>
      </c>
      <c r="J46" s="212">
        <f>'Calculus and Analytic Geometry'!W49</f>
        <v>65.909090909090907</v>
      </c>
      <c r="K46" s="212">
        <f>'Functional English'!V49</f>
        <v>76.470588235294116</v>
      </c>
      <c r="L46" s="212">
        <f>'Functional English'!W49</f>
        <v>69.696969696969703</v>
      </c>
      <c r="M46" s="212">
        <f>'Teaching of Holy Quran with Tra'!V49</f>
        <v>77</v>
      </c>
      <c r="N46" s="212"/>
      <c r="O46" s="212"/>
      <c r="P46" s="212"/>
      <c r="Q46" s="212"/>
      <c r="R46" s="212"/>
      <c r="S46" s="212"/>
      <c r="U46" s="209">
        <f t="shared" si="1"/>
        <v>77</v>
      </c>
      <c r="V46" s="209">
        <f t="shared" si="2"/>
        <v>51.875</v>
      </c>
      <c r="W46" s="209">
        <f t="shared" si="3"/>
        <v>46.136363636363633</v>
      </c>
      <c r="X46" s="209">
        <f t="shared" si="4"/>
        <v>53.846153846153847</v>
      </c>
      <c r="Y46" s="209">
        <f t="shared" si="5"/>
        <v>69.696969696969703</v>
      </c>
    </row>
    <row r="47" spans="1:25" ht="18.75" x14ac:dyDescent="0.3">
      <c r="A47" s="166" t="s">
        <v>136</v>
      </c>
      <c r="B47" s="166" t="s">
        <v>137</v>
      </c>
      <c r="C47" s="211">
        <f>'Discrete Structure'!V50</f>
        <v>0</v>
      </c>
      <c r="D47" s="212">
        <f>'Discrete Structure'!W50</f>
        <v>0</v>
      </c>
      <c r="E47" s="212">
        <f>'Programmming Fundamental'!W50</f>
        <v>61.363636363636367</v>
      </c>
      <c r="F47" s="212">
        <f>'Programmming Fundamental'!X50</f>
        <v>50</v>
      </c>
      <c r="G47" s="212">
        <f>'Application of Information &amp; Co'!R51</f>
        <v>55.000000000000007</v>
      </c>
      <c r="H47" s="212">
        <f>'Application of Information &amp; Co'!T51</f>
        <v>65</v>
      </c>
      <c r="I47" s="212">
        <f>'Calculus and Analytic Geometry'!V50</f>
        <v>76.785714285714292</v>
      </c>
      <c r="J47" s="212">
        <f>'Calculus and Analytic Geometry'!W50</f>
        <v>68.181818181818173</v>
      </c>
      <c r="K47" s="212">
        <f>'Functional English'!V50</f>
        <v>64.705882352941174</v>
      </c>
      <c r="L47" s="212">
        <f>'Functional English'!W50</f>
        <v>72.727272727272734</v>
      </c>
      <c r="M47" s="212">
        <f>'Teaching of Holy Quran with Tra'!V50</f>
        <v>84</v>
      </c>
      <c r="N47" s="212"/>
      <c r="O47" s="212"/>
      <c r="P47" s="212"/>
      <c r="Q47" s="212"/>
      <c r="R47" s="212"/>
      <c r="S47" s="212"/>
      <c r="U47" s="209">
        <f t="shared" si="1"/>
        <v>84</v>
      </c>
      <c r="V47" s="209">
        <f t="shared" si="2"/>
        <v>48.287337662337663</v>
      </c>
      <c r="W47" s="209">
        <f t="shared" si="3"/>
        <v>44.393939393939398</v>
      </c>
      <c r="X47" s="209">
        <f t="shared" si="4"/>
        <v>50</v>
      </c>
      <c r="Y47" s="209">
        <f t="shared" si="5"/>
        <v>72.727272727272734</v>
      </c>
    </row>
    <row r="48" spans="1:25" ht="18.75" x14ac:dyDescent="0.3">
      <c r="A48" s="166" t="s">
        <v>138</v>
      </c>
      <c r="B48" s="166" t="s">
        <v>139</v>
      </c>
      <c r="C48" s="211">
        <f>'Discrete Structure'!V51</f>
        <v>0</v>
      </c>
      <c r="D48" s="212">
        <f>'Discrete Structure'!W51</f>
        <v>0</v>
      </c>
      <c r="E48" s="212">
        <f>'Programmming Fundamental'!W51</f>
        <v>56.81818181818182</v>
      </c>
      <c r="F48" s="212">
        <f>'Programmming Fundamental'!X51</f>
        <v>50</v>
      </c>
      <c r="G48" s="212">
        <f>'Application of Information &amp; Co'!R52</f>
        <v>55.000000000000007</v>
      </c>
      <c r="H48" s="212">
        <f>'Application of Information &amp; Co'!T52</f>
        <v>55.000000000000007</v>
      </c>
      <c r="I48" s="212">
        <f>'Calculus and Analytic Geometry'!V51</f>
        <v>51.785714285714292</v>
      </c>
      <c r="J48" s="212">
        <f>'Calculus and Analytic Geometry'!W51</f>
        <v>47.727272727272727</v>
      </c>
      <c r="K48" s="212">
        <f>'Functional English'!V51</f>
        <v>55.882352941176471</v>
      </c>
      <c r="L48" s="212">
        <f>'Functional English'!W51</f>
        <v>59.090909090909093</v>
      </c>
      <c r="M48" s="212">
        <f>'Teaching of Holy Quran with Tra'!V51</f>
        <v>66</v>
      </c>
      <c r="N48" s="212"/>
      <c r="O48" s="212"/>
      <c r="P48" s="212"/>
      <c r="Q48" s="212"/>
      <c r="R48" s="212"/>
      <c r="S48" s="212"/>
      <c r="U48" s="209">
        <f t="shared" si="1"/>
        <v>66</v>
      </c>
      <c r="V48" s="209">
        <f t="shared" si="2"/>
        <v>40.90097402597403</v>
      </c>
      <c r="W48" s="209">
        <f t="shared" si="3"/>
        <v>34.242424242424242</v>
      </c>
      <c r="X48" s="209">
        <f t="shared" si="4"/>
        <v>50</v>
      </c>
      <c r="Y48" s="209">
        <f t="shared" si="5"/>
        <v>59.090909090909093</v>
      </c>
    </row>
    <row r="49" spans="1:25" ht="18.75" x14ac:dyDescent="0.3">
      <c r="A49" s="218" t="s">
        <v>140</v>
      </c>
      <c r="B49" s="166" t="s">
        <v>141</v>
      </c>
      <c r="C49" s="211">
        <f>'Discrete Structure'!V52</f>
        <v>0</v>
      </c>
      <c r="D49" s="212">
        <f>'Discrete Structure'!W52</f>
        <v>0</v>
      </c>
      <c r="E49" s="212">
        <f>'Programmming Fundamental'!W52</f>
        <v>54.54545454545454</v>
      </c>
      <c r="F49" s="212">
        <f>'Programmming Fundamental'!X52</f>
        <v>50</v>
      </c>
      <c r="G49" s="212">
        <f>'Application of Information &amp; Co'!R53</f>
        <v>65</v>
      </c>
      <c r="H49" s="212">
        <f>'Application of Information &amp; Co'!T53</f>
        <v>52.5</v>
      </c>
      <c r="I49" s="212">
        <f>'Calculus and Analytic Geometry'!V52</f>
        <v>60.714285714285708</v>
      </c>
      <c r="J49" s="212">
        <f>'Calculus and Analytic Geometry'!W52</f>
        <v>47.727272727272727</v>
      </c>
      <c r="K49" s="212">
        <f>'Functional English'!V52</f>
        <v>55.882352941176471</v>
      </c>
      <c r="L49" s="212">
        <f>'Functional English'!W52</f>
        <v>68.181818181818173</v>
      </c>
      <c r="M49" s="212">
        <f>'Teaching of Holy Quran with Tra'!V52</f>
        <v>74</v>
      </c>
      <c r="N49" s="212"/>
      <c r="O49" s="212"/>
      <c r="P49" s="212"/>
      <c r="Q49" s="212"/>
      <c r="R49" s="212"/>
      <c r="S49" s="212"/>
      <c r="U49" s="209">
        <f t="shared" si="1"/>
        <v>74</v>
      </c>
      <c r="V49" s="209">
        <f t="shared" si="2"/>
        <v>45.064935064935057</v>
      </c>
      <c r="W49" s="209">
        <f t="shared" si="3"/>
        <v>33.409090909090907</v>
      </c>
      <c r="X49" s="209">
        <f t="shared" si="4"/>
        <v>50</v>
      </c>
      <c r="Y49" s="209">
        <f t="shared" si="5"/>
        <v>68.181818181818173</v>
      </c>
    </row>
    <row r="50" spans="1:25" ht="18.75" x14ac:dyDescent="0.3">
      <c r="A50" s="218" t="s">
        <v>142</v>
      </c>
      <c r="B50" s="166" t="s">
        <v>143</v>
      </c>
      <c r="C50" s="211">
        <f>'Discrete Structure'!V53</f>
        <v>0</v>
      </c>
      <c r="D50" s="212">
        <f>'Discrete Structure'!W53</f>
        <v>0</v>
      </c>
      <c r="E50" s="212">
        <f>'Programmming Fundamental'!W53</f>
        <v>65.909090909090907</v>
      </c>
      <c r="F50" s="212">
        <f>'Programmming Fundamental'!X53</f>
        <v>57.692307692307686</v>
      </c>
      <c r="G50" s="212">
        <f>'Application of Information &amp; Co'!R54</f>
        <v>55.000000000000007</v>
      </c>
      <c r="H50" s="212">
        <f>'Application of Information &amp; Co'!T54</f>
        <v>40</v>
      </c>
      <c r="I50" s="212">
        <f>'Calculus and Analytic Geometry'!V53</f>
        <v>67.857142857142861</v>
      </c>
      <c r="J50" s="212">
        <f>'Calculus and Analytic Geometry'!W53</f>
        <v>59.090909090909093</v>
      </c>
      <c r="K50" s="212">
        <f>'Functional English'!V53</f>
        <v>44.117647058823529</v>
      </c>
      <c r="L50" s="212">
        <f>'Functional English'!W53</f>
        <v>56.060606060606055</v>
      </c>
      <c r="M50" s="212">
        <f>'Teaching of Holy Quran with Tra'!V53</f>
        <v>69</v>
      </c>
      <c r="N50" s="212"/>
      <c r="O50" s="212"/>
      <c r="P50" s="212"/>
      <c r="Q50" s="212"/>
      <c r="R50" s="212"/>
      <c r="S50" s="212"/>
      <c r="U50" s="209">
        <f t="shared" si="1"/>
        <v>69</v>
      </c>
      <c r="V50" s="209">
        <f t="shared" si="2"/>
        <v>47.191558441558442</v>
      </c>
      <c r="W50" s="209">
        <f>SUM(D50,H50,J50)/3</f>
        <v>33.030303030303031</v>
      </c>
      <c r="X50" s="209">
        <f t="shared" si="4"/>
        <v>57.692307692307686</v>
      </c>
      <c r="Y50" s="209">
        <f t="shared" si="5"/>
        <v>56.060606060606055</v>
      </c>
    </row>
    <row r="51" spans="1:25" ht="18.75" x14ac:dyDescent="0.3">
      <c r="A51" s="218" t="s">
        <v>144</v>
      </c>
      <c r="B51" s="166" t="s">
        <v>145</v>
      </c>
      <c r="C51" s="211">
        <f>'Discrete Structure'!V54</f>
        <v>0</v>
      </c>
      <c r="D51" s="212">
        <f>'Discrete Structure'!W54</f>
        <v>0</v>
      </c>
      <c r="E51" s="212">
        <f>'Programmming Fundamental'!W54</f>
        <v>59.090909090909093</v>
      </c>
      <c r="F51" s="212">
        <f>'Programmming Fundamental'!X54</f>
        <v>57.692307692307686</v>
      </c>
      <c r="G51" s="212">
        <f>'Application of Information &amp; Co'!R55</f>
        <v>55.000000000000007</v>
      </c>
      <c r="H51" s="212">
        <f>'Application of Information &amp; Co'!T55</f>
        <v>42.5</v>
      </c>
      <c r="I51" s="212">
        <f>'Calculus and Analytic Geometry'!V54</f>
        <v>41.071428571428569</v>
      </c>
      <c r="J51" s="212">
        <f>'Calculus and Analytic Geometry'!W54</f>
        <v>59.090909090909093</v>
      </c>
      <c r="K51" s="212">
        <f>'Functional English'!V54</f>
        <v>55.882352941176471</v>
      </c>
      <c r="L51" s="212">
        <f>'Functional English'!W54</f>
        <v>69.696969696969703</v>
      </c>
      <c r="M51" s="212">
        <f>'Teaching of Holy Quran with Tra'!V54</f>
        <v>74</v>
      </c>
      <c r="N51" s="213"/>
      <c r="O51" s="213"/>
      <c r="P51" s="213"/>
      <c r="Q51" s="213"/>
      <c r="R51" s="213"/>
      <c r="S51" s="213"/>
      <c r="U51" s="209">
        <f t="shared" si="1"/>
        <v>74</v>
      </c>
      <c r="V51" s="209">
        <f t="shared" si="2"/>
        <v>38.790584415584419</v>
      </c>
      <c r="W51" s="209">
        <f>SUM(D51,H51,J51)/3</f>
        <v>33.863636363636367</v>
      </c>
      <c r="X51" s="209">
        <f t="shared" si="4"/>
        <v>57.692307692307686</v>
      </c>
      <c r="Y51" s="209">
        <f t="shared" si="5"/>
        <v>69.696969696969703</v>
      </c>
    </row>
    <row r="52" spans="1:25" x14ac:dyDescent="0.25">
      <c r="A52" s="210"/>
      <c r="B52" s="214"/>
    </row>
  </sheetData>
  <mergeCells count="15">
    <mergeCell ref="U5:Y5"/>
    <mergeCell ref="N5:O5"/>
    <mergeCell ref="A2:S2"/>
    <mergeCell ref="D3:F3"/>
    <mergeCell ref="J3:K3"/>
    <mergeCell ref="C4:D4"/>
    <mergeCell ref="E4:F4"/>
    <mergeCell ref="G4:H4"/>
    <mergeCell ref="I4:J4"/>
    <mergeCell ref="K4:L4"/>
    <mergeCell ref="C5:D5"/>
    <mergeCell ref="E5:F5"/>
    <mergeCell ref="G5:H5"/>
    <mergeCell ref="I5:J5"/>
    <mergeCell ref="K5:L5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D205-1584-4A1F-AE00-BC8FEE41E015}">
  <sheetPr>
    <pageSetUpPr fitToPage="1"/>
  </sheetPr>
  <dimension ref="A1:AG88"/>
  <sheetViews>
    <sheetView topLeftCell="G34" zoomScale="80" zoomScaleNormal="80" workbookViewId="0">
      <selection activeCell="AF49" sqref="AF49:AF56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31" width="11.42578125" style="220" bestFit="1" customWidth="1"/>
    <col min="32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s">
        <v>182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'[6]Computer Network'!B5</f>
        <v>Title (Code):  Computer Networks (IT-123)</v>
      </c>
      <c r="E5" s="485"/>
      <c r="F5" s="485"/>
      <c r="G5" s="486"/>
      <c r="H5" s="473" t="s">
        <v>189</v>
      </c>
      <c r="I5" s="474"/>
      <c r="J5" s="489" t="str">
        <f>'[6]Computer Network'!H5</f>
        <v>Name: Mr. Arbab Haider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190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TRANSPOSE(_xlfn._xlws.FILTER('[6]CLO &amp; PLO'!K1:K10,'Networking 2nd'!E7='[6]CLO &amp; PLO'!A1))</f>
        <v>30</v>
      </c>
      <c r="F8" s="226">
        <v>40</v>
      </c>
      <c r="G8" s="226">
        <v>20</v>
      </c>
      <c r="H8" s="226">
        <v>10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_xlfn._xlws.FILTER('[6]CLO &amp; PLO'!X1:X10,'[6]CLO &amp; PLO'!N1='Networking 2nd'!P7))</f>
        <v>0</v>
      </c>
      <c r="Q8" s="227">
        <v>60</v>
      </c>
      <c r="R8" s="227">
        <v>40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5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  <c r="AE10" s="522" t="s">
        <v>269</v>
      </c>
      <c r="AF10" s="523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194</v>
      </c>
      <c r="F11" s="235"/>
      <c r="G11" s="525" t="s">
        <v>9</v>
      </c>
      <c r="H11" s="236" t="s">
        <v>193</v>
      </c>
      <c r="I11" s="235" t="s">
        <v>194</v>
      </c>
      <c r="J11" s="236"/>
      <c r="K11" s="236"/>
      <c r="L11" s="525" t="s">
        <v>9</v>
      </c>
      <c r="M11" s="235" t="s">
        <v>196</v>
      </c>
      <c r="N11" s="235"/>
      <c r="O11" s="525" t="s">
        <v>9</v>
      </c>
      <c r="P11" s="235" t="s">
        <v>193</v>
      </c>
      <c r="Q11" s="235" t="s">
        <v>195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174</v>
      </c>
      <c r="AB11" s="237" t="str">
        <f>Y11</f>
        <v>PLO1</v>
      </c>
      <c r="AC11" s="237" t="str">
        <f>Z11</f>
        <v>PLO2</v>
      </c>
      <c r="AD11" s="237" t="str">
        <f>AA11</f>
        <v>PLO3</v>
      </c>
      <c r="AE11" s="278" t="s">
        <v>267</v>
      </c>
      <c r="AF11" s="278" t="s">
        <v>268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173</v>
      </c>
      <c r="F12" s="235"/>
      <c r="G12" s="527"/>
      <c r="H12" s="235" t="s">
        <v>173</v>
      </c>
      <c r="I12" s="235" t="s">
        <v>173</v>
      </c>
      <c r="J12" s="236"/>
      <c r="K12" s="236"/>
      <c r="L12" s="527"/>
      <c r="M12" s="235" t="s">
        <v>174</v>
      </c>
      <c r="N12" s="235"/>
      <c r="O12" s="527"/>
      <c r="P12" s="235" t="s">
        <v>173</v>
      </c>
      <c r="Q12" s="235" t="s">
        <v>174</v>
      </c>
      <c r="R12" s="235"/>
      <c r="S12" s="235"/>
      <c r="T12" s="527"/>
      <c r="U12" s="237" t="s">
        <v>174</v>
      </c>
      <c r="V12" s="237"/>
      <c r="W12" s="527"/>
      <c r="X12" s="527"/>
      <c r="Y12" s="237" cm="1">
        <f t="array" ref="Y12">IFERROR(_xlfn._xlws.FILTER(_xlfn.ANCHORARRAY(P8),Y11=$P$7:$Y$7),0)</f>
        <v>0</v>
      </c>
      <c r="Z12" s="237" cm="1">
        <f t="array" ref="Z12">IFERROR(_xlfn._xlws.FILTER(_xlfn.ANCHORARRAY(P8),Z11=$P$7:$Y$7),0)</f>
        <v>60</v>
      </c>
      <c r="AA12" s="237" cm="1">
        <f t="array" ref="AA12">IFERROR(_xlfn._xlws.FILTER(_xlfn.ANCHORARRAY(P8),AA11=$P$7:$Y$7),0)</f>
        <v>40</v>
      </c>
      <c r="AB12" s="237" cm="1">
        <f t="array" ref="AB12">IFERROR(_xlfn._xlws.FILTER(_xlfn.ANCHORARRAY(P8),AB11=$P$7:$Y$7),0)</f>
        <v>0</v>
      </c>
      <c r="AC12" s="237" cm="1">
        <f t="array" ref="AC12">IFERROR(_xlfn._xlws.FILTER(_xlfn.ANCHORARRAY(P8),AC11=$P$7:$Y$7),0)</f>
        <v>60</v>
      </c>
      <c r="AD12" s="237" cm="1">
        <f t="array" ref="AD12">IFERROR(_xlfn._xlws.FILTER(_xlfn.ANCHORARRAY(P8),AD11=$P$7:$Y$7),0)</f>
        <v>40</v>
      </c>
      <c r="AE12" s="277"/>
      <c r="AF12" s="277"/>
    </row>
    <row r="13" spans="1:33" ht="15.75" x14ac:dyDescent="0.25">
      <c r="A13" s="239">
        <v>1</v>
      </c>
      <c r="B13" s="240" t="s">
        <v>220</v>
      </c>
      <c r="C13" s="166" t="str">
        <f>'[6]Computer Network'!A26</f>
        <v>2023-IT-01</v>
      </c>
      <c r="D13" s="166" t="str">
        <f>'[6]Computer Network'!B26</f>
        <v>Rahma Noor</v>
      </c>
      <c r="E13" s="168">
        <f>'[6]Computer Network'!D26</f>
        <v>10</v>
      </c>
      <c r="F13" s="168"/>
      <c r="G13" s="229">
        <f>E13</f>
        <v>10</v>
      </c>
      <c r="H13" s="168">
        <v>8</v>
      </c>
      <c r="I13" s="168">
        <v>8</v>
      </c>
      <c r="J13" s="168"/>
      <c r="K13" s="168"/>
      <c r="L13" s="229">
        <f>'[6]Computer Network'!E26</f>
        <v>16</v>
      </c>
      <c r="M13" s="168">
        <f>'[6]Computer Network'!F26</f>
        <v>9</v>
      </c>
      <c r="N13" s="168"/>
      <c r="O13" s="229">
        <f>M13</f>
        <v>9</v>
      </c>
      <c r="P13" s="241">
        <v>15</v>
      </c>
      <c r="Q13" s="168">
        <v>15</v>
      </c>
      <c r="R13" s="168"/>
      <c r="S13" s="242"/>
      <c r="T13" s="229">
        <f>'[6]Computer Network'!G26</f>
        <v>30</v>
      </c>
      <c r="U13" s="243">
        <f>'[6]Computer Network'!H26</f>
        <v>9</v>
      </c>
      <c r="V13" s="241"/>
      <c r="W13" s="229">
        <f>U13</f>
        <v>9</v>
      </c>
      <c r="X13" s="229">
        <f t="shared" ref="X13:X49" si="0">SUM(G13+L13+O13+T13+W13)</f>
        <v>74</v>
      </c>
      <c r="Y13" s="244">
        <f t="shared" ref="Y13:Y56" si="1">SUMIF($E$12:$V$12,$Y$11,E13:V13)</f>
        <v>0</v>
      </c>
      <c r="Z13" s="244">
        <f t="shared" ref="Z13:Z56" si="2">SUMIF($E$12:$V$12,$Z$11,E13:V13)</f>
        <v>41</v>
      </c>
      <c r="AA13" s="244">
        <f t="shared" ref="AA13:AA56" si="3">SUMIF($E$12:$V$12,$AA$11,E13:V13)</f>
        <v>33</v>
      </c>
      <c r="AB13" s="244">
        <f>IFERROR(IF(Y13/$Y$12*100&gt;=50,"Y","N"),0)</f>
        <v>0</v>
      </c>
      <c r="AC13" s="244" t="str">
        <f>IFERROR(IF(Z13/$Z$12*100&gt;=50,"Y","N"),0)</f>
        <v>Y</v>
      </c>
      <c r="AD13" s="244" t="str">
        <f>IFERROR(IF(AA13/$AA$12*100&gt;=50,"Y","N"),0)</f>
        <v>Y</v>
      </c>
      <c r="AE13" s="280">
        <f>(Z13/60)*100</f>
        <v>68.333333333333329</v>
      </c>
      <c r="AF13" s="277">
        <f>AA13/40*100</f>
        <v>82.5</v>
      </c>
    </row>
    <row r="14" spans="1:33" ht="15.75" x14ac:dyDescent="0.25">
      <c r="A14" s="245">
        <v>2</v>
      </c>
      <c r="B14" s="246" t="s">
        <v>221</v>
      </c>
      <c r="C14" s="166" t="str">
        <f>'[6]Computer Network'!A27</f>
        <v>2023-IT-02</v>
      </c>
      <c r="D14" s="166" t="str">
        <f>'[6]Computer Network'!B27</f>
        <v>Alishba Manzoor</v>
      </c>
      <c r="E14" s="168">
        <f>'[6]Computer Network'!D27</f>
        <v>9</v>
      </c>
      <c r="F14" s="168"/>
      <c r="G14" s="229">
        <f t="shared" ref="G14:G56" si="4">E14</f>
        <v>9</v>
      </c>
      <c r="H14" s="168">
        <v>8</v>
      </c>
      <c r="I14" s="168">
        <v>4</v>
      </c>
      <c r="J14" s="168"/>
      <c r="K14" s="168"/>
      <c r="L14" s="229">
        <f>'[6]Computer Network'!E27</f>
        <v>14</v>
      </c>
      <c r="M14" s="168">
        <f>'[6]Computer Network'!F27</f>
        <v>10</v>
      </c>
      <c r="N14" s="168"/>
      <c r="O14" s="229">
        <f t="shared" ref="O14:O56" si="5">M14</f>
        <v>10</v>
      </c>
      <c r="P14" s="241">
        <v>10</v>
      </c>
      <c r="Q14" s="168">
        <v>11</v>
      </c>
      <c r="R14" s="168"/>
      <c r="S14" s="242"/>
      <c r="T14" s="229">
        <f>'[6]Computer Network'!G27</f>
        <v>21</v>
      </c>
      <c r="U14" s="243">
        <f>'[6]Computer Network'!H27</f>
        <v>9</v>
      </c>
      <c r="V14" s="241"/>
      <c r="W14" s="229">
        <f t="shared" ref="W14:W56" si="6">U14</f>
        <v>9</v>
      </c>
      <c r="X14" s="229">
        <f t="shared" si="0"/>
        <v>63</v>
      </c>
      <c r="Y14" s="244">
        <f t="shared" si="1"/>
        <v>0</v>
      </c>
      <c r="Z14" s="244">
        <f t="shared" si="2"/>
        <v>31</v>
      </c>
      <c r="AA14" s="244">
        <f t="shared" si="3"/>
        <v>30</v>
      </c>
      <c r="AB14" s="244">
        <f t="shared" ref="AB14:AB56" si="7">IFERROR(IF(Y14/$Y$12*100&gt;=50,"Y","N"),0)</f>
        <v>0</v>
      </c>
      <c r="AC14" s="244" t="str">
        <f t="shared" ref="AC14:AC56" si="8">IFERROR(IF(Z14/$Z$12*100&gt;=50,"Y","N"),0)</f>
        <v>Y</v>
      </c>
      <c r="AD14" s="244" t="str">
        <f t="shared" ref="AD14:AD56" si="9">IFERROR(IF(AA14/$AA$12*100&gt;=50,"Y","N"),0)</f>
        <v>Y</v>
      </c>
      <c r="AE14" s="280">
        <f t="shared" ref="AE14:AE56" si="10">(Z14/60)*100</f>
        <v>51.666666666666671</v>
      </c>
      <c r="AF14" s="277">
        <f t="shared" ref="AF14:AF56" si="11">AA14/40*100</f>
        <v>75</v>
      </c>
      <c r="AG14" s="222"/>
    </row>
    <row r="15" spans="1:33" ht="15.75" x14ac:dyDescent="0.25">
      <c r="A15" s="247">
        <v>3</v>
      </c>
      <c r="B15" s="248" t="s">
        <v>222</v>
      </c>
      <c r="C15" s="166" t="str">
        <f>'[6]Computer Network'!A28</f>
        <v>2023-IT-03</v>
      </c>
      <c r="D15" s="166" t="str">
        <f>'[6]Computer Network'!B28</f>
        <v>Maheen Fatima</v>
      </c>
      <c r="E15" s="168">
        <f>'[6]Computer Network'!D28</f>
        <v>9</v>
      </c>
      <c r="F15" s="168"/>
      <c r="G15" s="229">
        <f t="shared" si="4"/>
        <v>9</v>
      </c>
      <c r="H15" s="168">
        <v>5</v>
      </c>
      <c r="I15" s="168">
        <v>10</v>
      </c>
      <c r="J15" s="168"/>
      <c r="K15" s="168"/>
      <c r="L15" s="229">
        <f>'[6]Computer Network'!E28</f>
        <v>15</v>
      </c>
      <c r="M15" s="168">
        <f>'[6]Computer Network'!F28</f>
        <v>9</v>
      </c>
      <c r="N15" s="168"/>
      <c r="O15" s="229">
        <f t="shared" si="5"/>
        <v>9</v>
      </c>
      <c r="P15" s="241">
        <v>19</v>
      </c>
      <c r="Q15" s="168">
        <v>10</v>
      </c>
      <c r="R15" s="168"/>
      <c r="S15" s="242"/>
      <c r="T15" s="229">
        <f>'[6]Computer Network'!G28</f>
        <v>29</v>
      </c>
      <c r="U15" s="243">
        <f>'[6]Computer Network'!H28</f>
        <v>8</v>
      </c>
      <c r="V15" s="241"/>
      <c r="W15" s="229">
        <f t="shared" si="6"/>
        <v>8</v>
      </c>
      <c r="X15" s="229">
        <f t="shared" si="0"/>
        <v>70</v>
      </c>
      <c r="Y15" s="244">
        <f t="shared" si="1"/>
        <v>0</v>
      </c>
      <c r="Z15" s="244">
        <f t="shared" si="2"/>
        <v>43</v>
      </c>
      <c r="AA15" s="244">
        <f t="shared" si="3"/>
        <v>27</v>
      </c>
      <c r="AB15" s="244">
        <f t="shared" si="7"/>
        <v>0</v>
      </c>
      <c r="AC15" s="244" t="str">
        <f t="shared" si="8"/>
        <v>Y</v>
      </c>
      <c r="AD15" s="244" t="str">
        <f t="shared" si="9"/>
        <v>Y</v>
      </c>
      <c r="AE15" s="280">
        <f t="shared" si="10"/>
        <v>71.666666666666671</v>
      </c>
      <c r="AF15" s="277">
        <f t="shared" si="11"/>
        <v>67.5</v>
      </c>
      <c r="AG15" s="222"/>
    </row>
    <row r="16" spans="1:33" ht="15.75" x14ac:dyDescent="0.25">
      <c r="A16" s="245">
        <v>4</v>
      </c>
      <c r="B16" s="246" t="s">
        <v>223</v>
      </c>
      <c r="C16" s="166" t="str">
        <f>'[6]Computer Network'!A29</f>
        <v>2023-IT-04</v>
      </c>
      <c r="D16" s="166" t="str">
        <f>'[6]Computer Network'!B29</f>
        <v>Aneela</v>
      </c>
      <c r="E16" s="168">
        <f>'[6]Computer Network'!D29</f>
        <v>9</v>
      </c>
      <c r="F16" s="168"/>
      <c r="G16" s="229">
        <f t="shared" si="4"/>
        <v>9</v>
      </c>
      <c r="H16" s="168">
        <v>10</v>
      </c>
      <c r="I16" s="168">
        <v>6</v>
      </c>
      <c r="J16" s="168"/>
      <c r="K16" s="168"/>
      <c r="L16" s="229">
        <f>'[6]Computer Network'!E29</f>
        <v>16</v>
      </c>
      <c r="M16" s="168">
        <f>'[6]Computer Network'!F29</f>
        <v>10</v>
      </c>
      <c r="N16" s="168"/>
      <c r="O16" s="229">
        <f t="shared" si="5"/>
        <v>10</v>
      </c>
      <c r="P16" s="241">
        <v>15</v>
      </c>
      <c r="Q16" s="168">
        <v>14</v>
      </c>
      <c r="R16" s="168"/>
      <c r="S16" s="242"/>
      <c r="T16" s="229">
        <f>'[6]Computer Network'!G29</f>
        <v>29</v>
      </c>
      <c r="U16" s="243">
        <f>'[6]Computer Network'!H29</f>
        <v>7</v>
      </c>
      <c r="V16" s="241"/>
      <c r="W16" s="229">
        <f t="shared" si="6"/>
        <v>7</v>
      </c>
      <c r="X16" s="229">
        <f t="shared" si="0"/>
        <v>71</v>
      </c>
      <c r="Y16" s="244">
        <f t="shared" si="1"/>
        <v>0</v>
      </c>
      <c r="Z16" s="244">
        <f t="shared" si="2"/>
        <v>40</v>
      </c>
      <c r="AA16" s="244">
        <f t="shared" si="3"/>
        <v>31</v>
      </c>
      <c r="AB16" s="244">
        <f t="shared" si="7"/>
        <v>0</v>
      </c>
      <c r="AC16" s="244" t="str">
        <f t="shared" si="8"/>
        <v>Y</v>
      </c>
      <c r="AD16" s="244" t="str">
        <f t="shared" si="9"/>
        <v>Y</v>
      </c>
      <c r="AE16" s="280">
        <f t="shared" si="10"/>
        <v>66.666666666666657</v>
      </c>
      <c r="AF16" s="277">
        <f t="shared" si="11"/>
        <v>77.5</v>
      </c>
      <c r="AG16" s="222"/>
    </row>
    <row r="17" spans="1:33" ht="15.75" x14ac:dyDescent="0.25">
      <c r="A17" s="245">
        <v>5</v>
      </c>
      <c r="B17" s="246" t="s">
        <v>224</v>
      </c>
      <c r="C17" s="166" t="str">
        <f>'[6]Computer Network'!A30</f>
        <v>2023-IT-05</v>
      </c>
      <c r="D17" s="166" t="str">
        <f>'[6]Computer Network'!B30</f>
        <v>Alishba Saleem</v>
      </c>
      <c r="E17" s="168">
        <f>'[6]Computer Network'!D30</f>
        <v>10</v>
      </c>
      <c r="F17" s="168"/>
      <c r="G17" s="229">
        <f t="shared" si="4"/>
        <v>10</v>
      </c>
      <c r="H17" s="249">
        <v>4</v>
      </c>
      <c r="I17" s="249">
        <v>11</v>
      </c>
      <c r="J17" s="249"/>
      <c r="K17" s="249"/>
      <c r="L17" s="229">
        <f>'[6]Computer Network'!E30</f>
        <v>15</v>
      </c>
      <c r="M17" s="168">
        <f>'[6]Computer Network'!F30</f>
        <v>4</v>
      </c>
      <c r="N17" s="249"/>
      <c r="O17" s="229">
        <f t="shared" si="5"/>
        <v>4</v>
      </c>
      <c r="P17" s="250">
        <v>14</v>
      </c>
      <c r="Q17" s="249">
        <v>14</v>
      </c>
      <c r="R17" s="249"/>
      <c r="S17" s="242"/>
      <c r="T17" s="229">
        <f>'[6]Computer Network'!G30</f>
        <v>28</v>
      </c>
      <c r="U17" s="243">
        <f>'[6]Computer Network'!H30</f>
        <v>9</v>
      </c>
      <c r="V17" s="241"/>
      <c r="W17" s="229">
        <f t="shared" si="6"/>
        <v>9</v>
      </c>
      <c r="X17" s="229">
        <f t="shared" si="0"/>
        <v>66</v>
      </c>
      <c r="Y17" s="244">
        <f t="shared" si="1"/>
        <v>0</v>
      </c>
      <c r="Z17" s="244">
        <f t="shared" si="2"/>
        <v>39</v>
      </c>
      <c r="AA17" s="244">
        <f t="shared" si="3"/>
        <v>27</v>
      </c>
      <c r="AB17" s="244">
        <f t="shared" si="7"/>
        <v>0</v>
      </c>
      <c r="AC17" s="244" t="str">
        <f t="shared" si="8"/>
        <v>Y</v>
      </c>
      <c r="AD17" s="244" t="str">
        <f t="shared" si="9"/>
        <v>Y</v>
      </c>
      <c r="AE17" s="280">
        <f t="shared" si="10"/>
        <v>65</v>
      </c>
      <c r="AF17" s="277">
        <f t="shared" si="11"/>
        <v>67.5</v>
      </c>
      <c r="AG17" s="222"/>
    </row>
    <row r="18" spans="1:33" ht="15.75" x14ac:dyDescent="0.25">
      <c r="A18" s="245">
        <v>6</v>
      </c>
      <c r="B18" s="246" t="s">
        <v>225</v>
      </c>
      <c r="C18" s="166" t="str">
        <f>'[6]Computer Network'!A31</f>
        <v>2023-IT-06</v>
      </c>
      <c r="D18" s="166" t="str">
        <f>'[6]Computer Network'!B31</f>
        <v>Mehak Asghar</v>
      </c>
      <c r="E18" s="168">
        <f>'[6]Computer Network'!D31</f>
        <v>7</v>
      </c>
      <c r="F18" s="168"/>
      <c r="G18" s="229">
        <f t="shared" si="4"/>
        <v>7</v>
      </c>
      <c r="H18" s="249">
        <v>9</v>
      </c>
      <c r="I18" s="249">
        <v>12</v>
      </c>
      <c r="J18" s="249"/>
      <c r="K18" s="249"/>
      <c r="L18" s="229">
        <f>'[6]Computer Network'!E31</f>
        <v>21</v>
      </c>
      <c r="M18" s="168">
        <f>'[6]Computer Network'!F31</f>
        <v>9</v>
      </c>
      <c r="N18" s="249"/>
      <c r="O18" s="229">
        <f t="shared" si="5"/>
        <v>9</v>
      </c>
      <c r="P18" s="250">
        <v>15</v>
      </c>
      <c r="Q18" s="249">
        <v>20</v>
      </c>
      <c r="R18" s="249"/>
      <c r="S18" s="242"/>
      <c r="T18" s="229">
        <f>'[6]Computer Network'!G31</f>
        <v>35</v>
      </c>
      <c r="U18" s="243">
        <f>'[6]Computer Network'!H31</f>
        <v>9</v>
      </c>
      <c r="V18" s="241"/>
      <c r="W18" s="229">
        <f t="shared" si="6"/>
        <v>9</v>
      </c>
      <c r="X18" s="229">
        <f t="shared" si="0"/>
        <v>81</v>
      </c>
      <c r="Y18" s="244">
        <f t="shared" si="1"/>
        <v>0</v>
      </c>
      <c r="Z18" s="244">
        <f t="shared" si="2"/>
        <v>43</v>
      </c>
      <c r="AA18" s="244">
        <f t="shared" si="3"/>
        <v>38</v>
      </c>
      <c r="AB18" s="244">
        <f t="shared" si="7"/>
        <v>0</v>
      </c>
      <c r="AC18" s="244" t="str">
        <f t="shared" si="8"/>
        <v>Y</v>
      </c>
      <c r="AD18" s="244" t="str">
        <f t="shared" si="9"/>
        <v>Y</v>
      </c>
      <c r="AE18" s="280">
        <f t="shared" si="10"/>
        <v>71.666666666666671</v>
      </c>
      <c r="AF18" s="277">
        <f t="shared" si="11"/>
        <v>95</v>
      </c>
      <c r="AG18" s="222"/>
    </row>
    <row r="19" spans="1:33" ht="15.75" x14ac:dyDescent="0.25">
      <c r="A19" s="245">
        <v>7</v>
      </c>
      <c r="B19" s="246" t="s">
        <v>226</v>
      </c>
      <c r="C19" s="166" t="str">
        <f>'[6]Computer Network'!A32</f>
        <v>2023-IT-07</v>
      </c>
      <c r="D19" s="166" t="str">
        <f>'[6]Computer Network'!B32</f>
        <v>Humaira Afzal</v>
      </c>
      <c r="E19" s="168">
        <f>'[6]Computer Network'!D32</f>
        <v>8</v>
      </c>
      <c r="F19" s="168"/>
      <c r="G19" s="229">
        <f t="shared" si="4"/>
        <v>8</v>
      </c>
      <c r="H19" s="249">
        <v>10</v>
      </c>
      <c r="I19" s="249">
        <v>13</v>
      </c>
      <c r="J19" s="249"/>
      <c r="K19" s="249"/>
      <c r="L19" s="229">
        <f>'[6]Computer Network'!E32</f>
        <v>23</v>
      </c>
      <c r="M19" s="168">
        <f>'[6]Computer Network'!F32</f>
        <v>10</v>
      </c>
      <c r="N19" s="249"/>
      <c r="O19" s="229">
        <f t="shared" si="5"/>
        <v>10</v>
      </c>
      <c r="P19" s="250">
        <v>16</v>
      </c>
      <c r="Q19" s="249">
        <v>15</v>
      </c>
      <c r="R19" s="249"/>
      <c r="S19" s="242"/>
      <c r="T19" s="229">
        <f>'[6]Computer Network'!G32</f>
        <v>31</v>
      </c>
      <c r="U19" s="243">
        <f>'[6]Computer Network'!H32</f>
        <v>6</v>
      </c>
      <c r="V19" s="241"/>
      <c r="W19" s="229">
        <f t="shared" si="6"/>
        <v>6</v>
      </c>
      <c r="X19" s="229">
        <f t="shared" si="0"/>
        <v>78</v>
      </c>
      <c r="Y19" s="244">
        <f t="shared" si="1"/>
        <v>0</v>
      </c>
      <c r="Z19" s="244">
        <f t="shared" si="2"/>
        <v>47</v>
      </c>
      <c r="AA19" s="244">
        <f t="shared" si="3"/>
        <v>31</v>
      </c>
      <c r="AB19" s="244">
        <f t="shared" si="7"/>
        <v>0</v>
      </c>
      <c r="AC19" s="244" t="str">
        <f t="shared" si="8"/>
        <v>Y</v>
      </c>
      <c r="AD19" s="244" t="str">
        <f t="shared" si="9"/>
        <v>Y</v>
      </c>
      <c r="AE19" s="280">
        <f t="shared" si="10"/>
        <v>78.333333333333329</v>
      </c>
      <c r="AF19" s="277">
        <f t="shared" si="11"/>
        <v>77.5</v>
      </c>
      <c r="AG19" s="222"/>
    </row>
    <row r="20" spans="1:33" ht="15.75" x14ac:dyDescent="0.25">
      <c r="A20" s="245">
        <v>10</v>
      </c>
      <c r="B20" s="246" t="s">
        <v>227</v>
      </c>
      <c r="C20" s="166" t="str">
        <f>'[6]Computer Network'!A33</f>
        <v>2023-IT-08</v>
      </c>
      <c r="D20" s="166" t="str">
        <f>'[6]Computer Network'!B33</f>
        <v>Saleena Khan</v>
      </c>
      <c r="E20" s="168">
        <f>'[6]Computer Network'!D33</f>
        <v>0</v>
      </c>
      <c r="F20" s="168"/>
      <c r="G20" s="229">
        <f t="shared" si="4"/>
        <v>0</v>
      </c>
      <c r="H20" s="249">
        <v>0</v>
      </c>
      <c r="I20" s="249">
        <v>0</v>
      </c>
      <c r="J20" s="249"/>
      <c r="K20" s="249"/>
      <c r="L20" s="229">
        <f>'[6]Computer Network'!E33</f>
        <v>0</v>
      </c>
      <c r="M20" s="168">
        <f>'[6]Computer Network'!F33</f>
        <v>0</v>
      </c>
      <c r="N20" s="249"/>
      <c r="O20" s="229">
        <f t="shared" si="5"/>
        <v>0</v>
      </c>
      <c r="P20" s="250">
        <v>0</v>
      </c>
      <c r="Q20" s="249">
        <v>0</v>
      </c>
      <c r="R20" s="249"/>
      <c r="S20" s="242"/>
      <c r="T20" s="229">
        <f>'[6]Computer Network'!G33</f>
        <v>0</v>
      </c>
      <c r="U20" s="243">
        <f>'[6]Computer Network'!H33</f>
        <v>0</v>
      </c>
      <c r="V20" s="241"/>
      <c r="W20" s="229">
        <f t="shared" si="6"/>
        <v>0</v>
      </c>
      <c r="X20" s="229">
        <f t="shared" si="0"/>
        <v>0</v>
      </c>
      <c r="Y20" s="244">
        <f t="shared" si="1"/>
        <v>0</v>
      </c>
      <c r="Z20" s="244">
        <f t="shared" si="2"/>
        <v>0</v>
      </c>
      <c r="AA20" s="244">
        <f t="shared" si="3"/>
        <v>0</v>
      </c>
      <c r="AB20" s="244">
        <f t="shared" si="7"/>
        <v>0</v>
      </c>
      <c r="AC20" s="244" t="str">
        <f t="shared" si="8"/>
        <v>N</v>
      </c>
      <c r="AD20" s="244" t="str">
        <f t="shared" si="9"/>
        <v>N</v>
      </c>
      <c r="AE20" s="280">
        <f t="shared" si="10"/>
        <v>0</v>
      </c>
      <c r="AF20" s="277">
        <f t="shared" si="11"/>
        <v>0</v>
      </c>
      <c r="AG20" s="222"/>
    </row>
    <row r="21" spans="1:33" ht="15.75" x14ac:dyDescent="0.25">
      <c r="A21" s="245">
        <v>11</v>
      </c>
      <c r="B21" s="246" t="s">
        <v>228</v>
      </c>
      <c r="C21" s="166" t="str">
        <f>'[6]Computer Network'!A34</f>
        <v>2023-IT-10</v>
      </c>
      <c r="D21" s="166" t="str">
        <f>'[6]Computer Network'!B34</f>
        <v>Asad Ullah</v>
      </c>
      <c r="E21" s="168">
        <f>'[6]Computer Network'!D34</f>
        <v>8</v>
      </c>
      <c r="F21" s="168"/>
      <c r="G21" s="229">
        <f t="shared" si="4"/>
        <v>8</v>
      </c>
      <c r="H21" s="249">
        <v>10</v>
      </c>
      <c r="I21" s="249">
        <v>13</v>
      </c>
      <c r="J21" s="249"/>
      <c r="K21" s="249"/>
      <c r="L21" s="229">
        <f>'[6]Computer Network'!E34</f>
        <v>13</v>
      </c>
      <c r="M21" s="168">
        <f>'[6]Computer Network'!F34</f>
        <v>9</v>
      </c>
      <c r="N21" s="249"/>
      <c r="O21" s="229">
        <f t="shared" si="5"/>
        <v>9</v>
      </c>
      <c r="P21" s="250">
        <v>10</v>
      </c>
      <c r="Q21" s="249">
        <v>8</v>
      </c>
      <c r="R21" s="249"/>
      <c r="S21" s="242"/>
      <c r="T21" s="229">
        <f>'[6]Computer Network'!G34</f>
        <v>18</v>
      </c>
      <c r="U21" s="243">
        <f>'[6]Computer Network'!H34</f>
        <v>8</v>
      </c>
      <c r="V21" s="241"/>
      <c r="W21" s="229">
        <f t="shared" si="6"/>
        <v>8</v>
      </c>
      <c r="X21" s="229">
        <f t="shared" si="0"/>
        <v>56</v>
      </c>
      <c r="Y21" s="244">
        <f t="shared" si="1"/>
        <v>0</v>
      </c>
      <c r="Z21" s="244">
        <f t="shared" si="2"/>
        <v>41</v>
      </c>
      <c r="AA21" s="244">
        <f t="shared" si="3"/>
        <v>25</v>
      </c>
      <c r="AB21" s="244">
        <f t="shared" si="7"/>
        <v>0</v>
      </c>
      <c r="AC21" s="244" t="str">
        <f t="shared" si="8"/>
        <v>Y</v>
      </c>
      <c r="AD21" s="244" t="str">
        <f t="shared" si="9"/>
        <v>Y</v>
      </c>
      <c r="AE21" s="280">
        <f t="shared" si="10"/>
        <v>68.333333333333329</v>
      </c>
      <c r="AF21" s="277">
        <f t="shared" si="11"/>
        <v>62.5</v>
      </c>
      <c r="AG21" s="222"/>
    </row>
    <row r="22" spans="1:33" ht="15.75" x14ac:dyDescent="0.25">
      <c r="A22" s="245">
        <v>12</v>
      </c>
      <c r="B22" s="246" t="s">
        <v>229</v>
      </c>
      <c r="C22" s="166" t="str">
        <f>'[6]Computer Network'!A35</f>
        <v>2023-IT-11</v>
      </c>
      <c r="D22" s="166" t="str">
        <f>'[6]Computer Network'!B35</f>
        <v>Rana Talha dawood</v>
      </c>
      <c r="E22" s="168">
        <f>'[6]Computer Network'!D35</f>
        <v>9</v>
      </c>
      <c r="F22" s="168"/>
      <c r="G22" s="229">
        <f t="shared" si="4"/>
        <v>9</v>
      </c>
      <c r="H22" s="249">
        <v>10</v>
      </c>
      <c r="I22" s="249">
        <v>13</v>
      </c>
      <c r="J22" s="249"/>
      <c r="K22" s="249"/>
      <c r="L22" s="229">
        <f>'[6]Computer Network'!E35</f>
        <v>22</v>
      </c>
      <c r="M22" s="168">
        <f>'[6]Computer Network'!F35</f>
        <v>5</v>
      </c>
      <c r="N22" s="249"/>
      <c r="O22" s="229">
        <f t="shared" si="5"/>
        <v>5</v>
      </c>
      <c r="P22" s="250">
        <v>10</v>
      </c>
      <c r="Q22" s="249">
        <v>15</v>
      </c>
      <c r="R22" s="249"/>
      <c r="S22" s="242"/>
      <c r="T22" s="229">
        <f>'[6]Computer Network'!G35</f>
        <v>25</v>
      </c>
      <c r="U22" s="243">
        <f>'[6]Computer Network'!H35</f>
        <v>7</v>
      </c>
      <c r="V22" s="241"/>
      <c r="W22" s="229">
        <f t="shared" si="6"/>
        <v>7</v>
      </c>
      <c r="X22" s="229">
        <f t="shared" si="0"/>
        <v>68</v>
      </c>
      <c r="Y22" s="244">
        <f t="shared" si="1"/>
        <v>0</v>
      </c>
      <c r="Z22" s="244">
        <f t="shared" si="2"/>
        <v>42</v>
      </c>
      <c r="AA22" s="244">
        <f t="shared" si="3"/>
        <v>27</v>
      </c>
      <c r="AB22" s="244">
        <f t="shared" si="7"/>
        <v>0</v>
      </c>
      <c r="AC22" s="244" t="str">
        <f t="shared" si="8"/>
        <v>Y</v>
      </c>
      <c r="AD22" s="244" t="str">
        <f t="shared" si="9"/>
        <v>Y</v>
      </c>
      <c r="AE22" s="280">
        <f t="shared" si="10"/>
        <v>70</v>
      </c>
      <c r="AF22" s="277">
        <f t="shared" si="11"/>
        <v>67.5</v>
      </c>
      <c r="AG22" s="222"/>
    </row>
    <row r="23" spans="1:33" ht="15.75" x14ac:dyDescent="0.25">
      <c r="A23" s="245">
        <v>13</v>
      </c>
      <c r="B23" s="246" t="s">
        <v>230</v>
      </c>
      <c r="C23" s="166" t="str">
        <f>'[6]Computer Network'!A36</f>
        <v>2023-IT-12</v>
      </c>
      <c r="D23" s="166" t="str">
        <f>'[6]Computer Network'!B36</f>
        <v>Ali Ahmad</v>
      </c>
      <c r="E23" s="168">
        <f>'[6]Computer Network'!D36</f>
        <v>7</v>
      </c>
      <c r="F23" s="168"/>
      <c r="G23" s="229">
        <f t="shared" si="4"/>
        <v>7</v>
      </c>
      <c r="H23" s="249">
        <v>10</v>
      </c>
      <c r="I23" s="249">
        <v>13</v>
      </c>
      <c r="J23" s="249"/>
      <c r="K23" s="249"/>
      <c r="L23" s="229">
        <f>'[6]Computer Network'!E36</f>
        <v>13</v>
      </c>
      <c r="M23" s="168">
        <f>'[6]Computer Network'!F36</f>
        <v>6</v>
      </c>
      <c r="N23" s="249"/>
      <c r="O23" s="229">
        <f t="shared" si="5"/>
        <v>6</v>
      </c>
      <c r="P23" s="250">
        <v>12</v>
      </c>
      <c r="Q23" s="249">
        <v>10</v>
      </c>
      <c r="R23" s="249"/>
      <c r="S23" s="242"/>
      <c r="T23" s="229">
        <f>'[6]Computer Network'!G36</f>
        <v>22</v>
      </c>
      <c r="U23" s="243">
        <f>'[6]Computer Network'!H36</f>
        <v>8</v>
      </c>
      <c r="V23" s="241"/>
      <c r="W23" s="229">
        <f t="shared" si="6"/>
        <v>8</v>
      </c>
      <c r="X23" s="229">
        <f t="shared" si="0"/>
        <v>56</v>
      </c>
      <c r="Y23" s="244">
        <f t="shared" si="1"/>
        <v>0</v>
      </c>
      <c r="Z23" s="244">
        <f t="shared" si="2"/>
        <v>42</v>
      </c>
      <c r="AA23" s="244">
        <f t="shared" si="3"/>
        <v>24</v>
      </c>
      <c r="AB23" s="244">
        <f t="shared" si="7"/>
        <v>0</v>
      </c>
      <c r="AC23" s="244" t="str">
        <f t="shared" si="8"/>
        <v>Y</v>
      </c>
      <c r="AD23" s="244" t="str">
        <f t="shared" si="9"/>
        <v>Y</v>
      </c>
      <c r="AE23" s="280">
        <f t="shared" si="10"/>
        <v>70</v>
      </c>
      <c r="AF23" s="277">
        <f t="shared" si="11"/>
        <v>60</v>
      </c>
      <c r="AG23" s="222"/>
    </row>
    <row r="24" spans="1:33" ht="15.75" x14ac:dyDescent="0.25">
      <c r="A24" s="245">
        <v>14</v>
      </c>
      <c r="B24" s="246" t="s">
        <v>231</v>
      </c>
      <c r="C24" s="166" t="str">
        <f>'[6]Computer Network'!A37</f>
        <v>2023-IT-13</v>
      </c>
      <c r="D24" s="166" t="str">
        <f>'[6]Computer Network'!B37</f>
        <v>Muhammad Daud</v>
      </c>
      <c r="E24" s="168">
        <f>'[6]Computer Network'!D37</f>
        <v>8</v>
      </c>
      <c r="F24" s="168"/>
      <c r="G24" s="229">
        <f t="shared" si="4"/>
        <v>8</v>
      </c>
      <c r="H24" s="249">
        <v>8</v>
      </c>
      <c r="I24" s="249">
        <v>8</v>
      </c>
      <c r="J24" s="249"/>
      <c r="K24" s="249"/>
      <c r="L24" s="229">
        <f>'[6]Computer Network'!E37</f>
        <v>16</v>
      </c>
      <c r="M24" s="168">
        <f>'[6]Computer Network'!F37</f>
        <v>7</v>
      </c>
      <c r="N24" s="249"/>
      <c r="O24" s="229">
        <f t="shared" si="5"/>
        <v>7</v>
      </c>
      <c r="P24" s="250">
        <v>18</v>
      </c>
      <c r="Q24" s="249">
        <v>10</v>
      </c>
      <c r="R24" s="249"/>
      <c r="S24" s="242"/>
      <c r="T24" s="229">
        <f>'[6]Computer Network'!G37</f>
        <v>28</v>
      </c>
      <c r="U24" s="243">
        <f>'[6]Computer Network'!H37</f>
        <v>8</v>
      </c>
      <c r="V24" s="241"/>
      <c r="W24" s="229">
        <f t="shared" si="6"/>
        <v>8</v>
      </c>
      <c r="X24" s="229">
        <f t="shared" si="0"/>
        <v>67</v>
      </c>
      <c r="Y24" s="244">
        <f t="shared" si="1"/>
        <v>0</v>
      </c>
      <c r="Z24" s="244">
        <f t="shared" si="2"/>
        <v>42</v>
      </c>
      <c r="AA24" s="244">
        <f t="shared" si="3"/>
        <v>25</v>
      </c>
      <c r="AB24" s="244">
        <f t="shared" si="7"/>
        <v>0</v>
      </c>
      <c r="AC24" s="244" t="str">
        <f t="shared" si="8"/>
        <v>Y</v>
      </c>
      <c r="AD24" s="244" t="str">
        <f t="shared" si="9"/>
        <v>Y</v>
      </c>
      <c r="AE24" s="280">
        <f t="shared" si="10"/>
        <v>70</v>
      </c>
      <c r="AF24" s="277">
        <f t="shared" si="11"/>
        <v>62.5</v>
      </c>
      <c r="AG24" s="222"/>
    </row>
    <row r="25" spans="1:33" ht="15.75" x14ac:dyDescent="0.25">
      <c r="A25" s="245">
        <v>16</v>
      </c>
      <c r="B25" s="246" t="s">
        <v>232</v>
      </c>
      <c r="C25" s="166" t="str">
        <f>'[6]Computer Network'!A38</f>
        <v>2023-IT-14</v>
      </c>
      <c r="D25" s="166" t="str">
        <f>'[6]Computer Network'!B38</f>
        <v>Mursil Mateen</v>
      </c>
      <c r="E25" s="168">
        <f>'[6]Computer Network'!D38</f>
        <v>9</v>
      </c>
      <c r="F25" s="168"/>
      <c r="G25" s="229">
        <f t="shared" si="4"/>
        <v>9</v>
      </c>
      <c r="H25" s="249">
        <v>8</v>
      </c>
      <c r="I25" s="249">
        <v>10</v>
      </c>
      <c r="J25" s="249"/>
      <c r="K25" s="249"/>
      <c r="L25" s="229">
        <f>'[6]Computer Network'!E38</f>
        <v>18</v>
      </c>
      <c r="M25" s="168">
        <f>'[6]Computer Network'!F38</f>
        <v>8</v>
      </c>
      <c r="N25" s="249"/>
      <c r="O25" s="229">
        <f t="shared" si="5"/>
        <v>8</v>
      </c>
      <c r="P25" s="250">
        <v>16</v>
      </c>
      <c r="Q25" s="249">
        <v>15</v>
      </c>
      <c r="R25" s="249"/>
      <c r="S25" s="242"/>
      <c r="T25" s="229">
        <f>'[6]Computer Network'!G38</f>
        <v>31</v>
      </c>
      <c r="U25" s="243">
        <f>'[6]Computer Network'!H38</f>
        <v>7</v>
      </c>
      <c r="V25" s="241"/>
      <c r="W25" s="229">
        <f t="shared" si="6"/>
        <v>7</v>
      </c>
      <c r="X25" s="229">
        <f t="shared" si="0"/>
        <v>73</v>
      </c>
      <c r="Y25" s="244">
        <f t="shared" si="1"/>
        <v>0</v>
      </c>
      <c r="Z25" s="244">
        <f t="shared" si="2"/>
        <v>43</v>
      </c>
      <c r="AA25" s="244">
        <f t="shared" si="3"/>
        <v>30</v>
      </c>
      <c r="AB25" s="244">
        <f t="shared" si="7"/>
        <v>0</v>
      </c>
      <c r="AC25" s="244" t="str">
        <f t="shared" si="8"/>
        <v>Y</v>
      </c>
      <c r="AD25" s="244" t="str">
        <f t="shared" si="9"/>
        <v>Y</v>
      </c>
      <c r="AE25" s="280">
        <f t="shared" si="10"/>
        <v>71.666666666666671</v>
      </c>
      <c r="AF25" s="277">
        <f t="shared" si="11"/>
        <v>75</v>
      </c>
      <c r="AG25" s="222"/>
    </row>
    <row r="26" spans="1:33" ht="15.75" x14ac:dyDescent="0.25">
      <c r="A26" s="245">
        <v>17</v>
      </c>
      <c r="B26" s="246" t="s">
        <v>233</v>
      </c>
      <c r="C26" s="166" t="str">
        <f>'[6]Computer Network'!A39</f>
        <v>2023-IT-16</v>
      </c>
      <c r="D26" s="166" t="str">
        <f>'[6]Computer Network'!B39</f>
        <v>Muhammad Usman</v>
      </c>
      <c r="E26" s="168">
        <f>'[6]Computer Network'!D39</f>
        <v>0</v>
      </c>
      <c r="F26" s="168"/>
      <c r="G26" s="229">
        <f t="shared" si="4"/>
        <v>0</v>
      </c>
      <c r="H26" s="249">
        <v>0</v>
      </c>
      <c r="I26" s="249">
        <v>0</v>
      </c>
      <c r="J26" s="249"/>
      <c r="K26" s="249"/>
      <c r="L26" s="229">
        <f>'[6]Computer Network'!E39</f>
        <v>0</v>
      </c>
      <c r="M26" s="168">
        <f>'[6]Computer Network'!F39</f>
        <v>0</v>
      </c>
      <c r="N26" s="249"/>
      <c r="O26" s="229">
        <f t="shared" si="5"/>
        <v>0</v>
      </c>
      <c r="P26" s="250">
        <v>0</v>
      </c>
      <c r="Q26" s="249">
        <v>0</v>
      </c>
      <c r="R26" s="249"/>
      <c r="S26" s="242"/>
      <c r="T26" s="229">
        <f>'[6]Computer Network'!G39</f>
        <v>0</v>
      </c>
      <c r="U26" s="243">
        <f>'[6]Computer Network'!H39</f>
        <v>0</v>
      </c>
      <c r="V26" s="241"/>
      <c r="W26" s="229">
        <f t="shared" si="6"/>
        <v>0</v>
      </c>
      <c r="X26" s="229">
        <f t="shared" si="0"/>
        <v>0</v>
      </c>
      <c r="Y26" s="244">
        <f t="shared" si="1"/>
        <v>0</v>
      </c>
      <c r="Z26" s="244">
        <f t="shared" si="2"/>
        <v>0</v>
      </c>
      <c r="AA26" s="244">
        <f t="shared" si="3"/>
        <v>0</v>
      </c>
      <c r="AB26" s="244">
        <f t="shared" si="7"/>
        <v>0</v>
      </c>
      <c r="AC26" s="244" t="str">
        <f t="shared" si="8"/>
        <v>N</v>
      </c>
      <c r="AD26" s="244" t="str">
        <f t="shared" si="9"/>
        <v>N</v>
      </c>
      <c r="AE26" s="280">
        <f t="shared" si="10"/>
        <v>0</v>
      </c>
      <c r="AF26" s="277">
        <f t="shared" si="11"/>
        <v>0</v>
      </c>
      <c r="AG26" s="222"/>
    </row>
    <row r="27" spans="1:33" ht="15.75" x14ac:dyDescent="0.25">
      <c r="A27" s="247">
        <v>18</v>
      </c>
      <c r="B27" s="248" t="s">
        <v>234</v>
      </c>
      <c r="C27" s="166" t="str">
        <f>'[6]Computer Network'!A40</f>
        <v>2023-IT-18</v>
      </c>
      <c r="D27" s="166" t="str">
        <f>'[6]Computer Network'!B40</f>
        <v>Adeel Maqbool</v>
      </c>
      <c r="E27" s="168">
        <f>'[6]Computer Network'!D40</f>
        <v>10</v>
      </c>
      <c r="F27" s="168"/>
      <c r="G27" s="229">
        <f t="shared" si="4"/>
        <v>10</v>
      </c>
      <c r="H27" s="249">
        <v>6</v>
      </c>
      <c r="I27" s="249">
        <v>10</v>
      </c>
      <c r="J27" s="249"/>
      <c r="K27" s="249"/>
      <c r="L27" s="229">
        <f>'[6]Computer Network'!E40</f>
        <v>16</v>
      </c>
      <c r="M27" s="168">
        <f>'[6]Computer Network'!F40</f>
        <v>8</v>
      </c>
      <c r="N27" s="249"/>
      <c r="O27" s="229">
        <f t="shared" si="5"/>
        <v>8</v>
      </c>
      <c r="P27" s="250">
        <v>17</v>
      </c>
      <c r="Q27" s="249">
        <v>10</v>
      </c>
      <c r="R27" s="249"/>
      <c r="S27" s="242"/>
      <c r="T27" s="229">
        <f>'[6]Computer Network'!G40</f>
        <v>27</v>
      </c>
      <c r="U27" s="243">
        <f>'[6]Computer Network'!H40</f>
        <v>5</v>
      </c>
      <c r="V27" s="241"/>
      <c r="W27" s="229">
        <f t="shared" si="6"/>
        <v>5</v>
      </c>
      <c r="X27" s="229">
        <f t="shared" si="0"/>
        <v>66</v>
      </c>
      <c r="Y27" s="244">
        <f t="shared" si="1"/>
        <v>0</v>
      </c>
      <c r="Z27" s="244">
        <f t="shared" si="2"/>
        <v>43</v>
      </c>
      <c r="AA27" s="244">
        <f t="shared" si="3"/>
        <v>23</v>
      </c>
      <c r="AB27" s="244">
        <f t="shared" si="7"/>
        <v>0</v>
      </c>
      <c r="AC27" s="244" t="str">
        <f t="shared" si="8"/>
        <v>Y</v>
      </c>
      <c r="AD27" s="244" t="str">
        <f t="shared" si="9"/>
        <v>Y</v>
      </c>
      <c r="AE27" s="280">
        <f t="shared" si="10"/>
        <v>71.666666666666671</v>
      </c>
      <c r="AF27" s="277">
        <f t="shared" si="11"/>
        <v>57.499999999999993</v>
      </c>
      <c r="AG27" s="222"/>
    </row>
    <row r="28" spans="1:33" ht="15.75" x14ac:dyDescent="0.25">
      <c r="A28" s="247">
        <v>19</v>
      </c>
      <c r="B28" s="248" t="s">
        <v>235</v>
      </c>
      <c r="C28" s="166" t="str">
        <f>'[6]Computer Network'!A41</f>
        <v>2023-IT-20</v>
      </c>
      <c r="D28" s="166" t="str">
        <f>'[6]Computer Network'!B41</f>
        <v>Husnain Saleem</v>
      </c>
      <c r="E28" s="168">
        <f>'[6]Computer Network'!D41</f>
        <v>9</v>
      </c>
      <c r="F28" s="168"/>
      <c r="G28" s="229">
        <f t="shared" si="4"/>
        <v>9</v>
      </c>
      <c r="H28" s="249">
        <v>6</v>
      </c>
      <c r="I28" s="249">
        <v>12</v>
      </c>
      <c r="J28" s="249"/>
      <c r="K28" s="249"/>
      <c r="L28" s="229">
        <f>'[6]Computer Network'!E41</f>
        <v>18</v>
      </c>
      <c r="M28" s="168">
        <f>'[6]Computer Network'!F41</f>
        <v>9</v>
      </c>
      <c r="N28" s="249"/>
      <c r="O28" s="229">
        <f t="shared" si="5"/>
        <v>9</v>
      </c>
      <c r="P28" s="250">
        <v>15</v>
      </c>
      <c r="Q28" s="249">
        <v>16</v>
      </c>
      <c r="R28" s="249"/>
      <c r="S28" s="242"/>
      <c r="T28" s="229">
        <f>'[6]Computer Network'!G41</f>
        <v>31</v>
      </c>
      <c r="U28" s="243">
        <f>'[6]Computer Network'!H41</f>
        <v>6</v>
      </c>
      <c r="V28" s="241"/>
      <c r="W28" s="229">
        <f t="shared" si="6"/>
        <v>6</v>
      </c>
      <c r="X28" s="229">
        <f t="shared" si="0"/>
        <v>73</v>
      </c>
      <c r="Y28" s="244">
        <f t="shared" si="1"/>
        <v>0</v>
      </c>
      <c r="Z28" s="244">
        <f t="shared" si="2"/>
        <v>42</v>
      </c>
      <c r="AA28" s="244">
        <f t="shared" si="3"/>
        <v>31</v>
      </c>
      <c r="AB28" s="244">
        <f t="shared" si="7"/>
        <v>0</v>
      </c>
      <c r="AC28" s="244" t="str">
        <f t="shared" si="8"/>
        <v>Y</v>
      </c>
      <c r="AD28" s="244" t="str">
        <f t="shared" si="9"/>
        <v>Y</v>
      </c>
      <c r="AE28" s="280">
        <f t="shared" si="10"/>
        <v>70</v>
      </c>
      <c r="AF28" s="277">
        <f t="shared" si="11"/>
        <v>77.5</v>
      </c>
      <c r="AG28" s="222"/>
    </row>
    <row r="29" spans="1:33" ht="15.75" x14ac:dyDescent="0.25">
      <c r="A29" s="245">
        <v>21</v>
      </c>
      <c r="B29" s="246" t="s">
        <v>236</v>
      </c>
      <c r="C29" s="166" t="str">
        <f>'[6]Computer Network'!A42</f>
        <v>2023-IT-22</v>
      </c>
      <c r="D29" s="166" t="str">
        <f>'[6]Computer Network'!B42</f>
        <v>Muhammad Sameer</v>
      </c>
      <c r="E29" s="168">
        <f>'[6]Computer Network'!D42</f>
        <v>9</v>
      </c>
      <c r="F29" s="168"/>
      <c r="G29" s="229">
        <f t="shared" si="4"/>
        <v>9</v>
      </c>
      <c r="H29" s="249">
        <v>7</v>
      </c>
      <c r="I29" s="249">
        <v>10</v>
      </c>
      <c r="J29" s="249"/>
      <c r="K29" s="249"/>
      <c r="L29" s="229">
        <f>'[6]Computer Network'!E42</f>
        <v>17</v>
      </c>
      <c r="M29" s="168">
        <f>'[6]Computer Network'!F42</f>
        <v>6</v>
      </c>
      <c r="N29" s="249"/>
      <c r="O29" s="229">
        <f t="shared" si="5"/>
        <v>6</v>
      </c>
      <c r="P29" s="250">
        <v>12</v>
      </c>
      <c r="Q29" s="249">
        <v>14</v>
      </c>
      <c r="R29" s="249"/>
      <c r="S29" s="242"/>
      <c r="T29" s="229">
        <f>'[6]Computer Network'!G42</f>
        <v>26</v>
      </c>
      <c r="U29" s="243">
        <f>'[6]Computer Network'!H42</f>
        <v>7</v>
      </c>
      <c r="V29" s="241"/>
      <c r="W29" s="229">
        <f t="shared" si="6"/>
        <v>7</v>
      </c>
      <c r="X29" s="229">
        <f t="shared" si="0"/>
        <v>65</v>
      </c>
      <c r="Y29" s="244">
        <f t="shared" si="1"/>
        <v>0</v>
      </c>
      <c r="Z29" s="244">
        <f t="shared" si="2"/>
        <v>38</v>
      </c>
      <c r="AA29" s="244">
        <f t="shared" si="3"/>
        <v>27</v>
      </c>
      <c r="AB29" s="244">
        <f t="shared" si="7"/>
        <v>0</v>
      </c>
      <c r="AC29" s="244" t="str">
        <f t="shared" si="8"/>
        <v>Y</v>
      </c>
      <c r="AD29" s="244" t="str">
        <f t="shared" si="9"/>
        <v>Y</v>
      </c>
      <c r="AE29" s="280">
        <f t="shared" si="10"/>
        <v>63.333333333333329</v>
      </c>
      <c r="AF29" s="277">
        <f t="shared" si="11"/>
        <v>67.5</v>
      </c>
      <c r="AG29" s="222"/>
    </row>
    <row r="30" spans="1:33" ht="15.75" x14ac:dyDescent="0.25">
      <c r="A30" s="245">
        <v>22</v>
      </c>
      <c r="B30" s="246" t="s">
        <v>237</v>
      </c>
      <c r="C30" s="166" t="str">
        <f>'[6]Computer Network'!A43</f>
        <v>2023-IT-24</v>
      </c>
      <c r="D30" s="166" t="str">
        <f>'[6]Computer Network'!B43</f>
        <v>Sher Shah Hussain</v>
      </c>
      <c r="E30" s="168">
        <f>'[6]Computer Network'!D43</f>
        <v>8</v>
      </c>
      <c r="F30" s="168"/>
      <c r="G30" s="229">
        <f t="shared" si="4"/>
        <v>8</v>
      </c>
      <c r="H30" s="249">
        <v>8</v>
      </c>
      <c r="I30" s="249">
        <v>12</v>
      </c>
      <c r="J30" s="249"/>
      <c r="K30" s="249"/>
      <c r="L30" s="229">
        <f>'[6]Computer Network'!E43</f>
        <v>20</v>
      </c>
      <c r="M30" s="168">
        <f>'[6]Computer Network'!F43</f>
        <v>6</v>
      </c>
      <c r="N30" s="249"/>
      <c r="O30" s="229">
        <f t="shared" si="5"/>
        <v>6</v>
      </c>
      <c r="P30" s="250">
        <v>10</v>
      </c>
      <c r="Q30" s="249">
        <v>13</v>
      </c>
      <c r="R30" s="249"/>
      <c r="S30" s="242"/>
      <c r="T30" s="229">
        <f>'[6]Computer Network'!G43</f>
        <v>23</v>
      </c>
      <c r="U30" s="243">
        <f>'[6]Computer Network'!H43</f>
        <v>6</v>
      </c>
      <c r="V30" s="241"/>
      <c r="W30" s="229">
        <f t="shared" si="6"/>
        <v>6</v>
      </c>
      <c r="X30" s="229">
        <f t="shared" si="0"/>
        <v>63</v>
      </c>
      <c r="Y30" s="244">
        <f t="shared" si="1"/>
        <v>0</v>
      </c>
      <c r="Z30" s="244">
        <f t="shared" si="2"/>
        <v>38</v>
      </c>
      <c r="AA30" s="244">
        <f t="shared" si="3"/>
        <v>25</v>
      </c>
      <c r="AB30" s="244">
        <f t="shared" si="7"/>
        <v>0</v>
      </c>
      <c r="AC30" s="244" t="str">
        <f t="shared" si="8"/>
        <v>Y</v>
      </c>
      <c r="AD30" s="244" t="str">
        <f t="shared" si="9"/>
        <v>Y</v>
      </c>
      <c r="AE30" s="280">
        <f t="shared" si="10"/>
        <v>63.333333333333329</v>
      </c>
      <c r="AF30" s="277">
        <f t="shared" si="11"/>
        <v>62.5</v>
      </c>
      <c r="AG30" s="222"/>
    </row>
    <row r="31" spans="1:33" ht="15.75" x14ac:dyDescent="0.25">
      <c r="A31" s="247">
        <v>23</v>
      </c>
      <c r="B31" s="248" t="s">
        <v>238</v>
      </c>
      <c r="C31" s="166" t="str">
        <f>'[6]Computer Network'!A44</f>
        <v>2023-IT-26</v>
      </c>
      <c r="D31" s="166" t="str">
        <f>'[6]Computer Network'!B44</f>
        <v>Abdul Ahad</v>
      </c>
      <c r="E31" s="168">
        <f>'[6]Computer Network'!D44</f>
        <v>0</v>
      </c>
      <c r="F31" s="168"/>
      <c r="G31" s="229">
        <f t="shared" si="4"/>
        <v>0</v>
      </c>
      <c r="H31" s="249">
        <v>0</v>
      </c>
      <c r="I31" s="249">
        <v>0</v>
      </c>
      <c r="J31" s="249"/>
      <c r="K31" s="249"/>
      <c r="L31" s="229">
        <f>'[6]Computer Network'!E44</f>
        <v>0</v>
      </c>
      <c r="M31" s="168">
        <f>'[6]Computer Network'!F44</f>
        <v>0</v>
      </c>
      <c r="N31" s="249"/>
      <c r="O31" s="229">
        <f t="shared" si="5"/>
        <v>0</v>
      </c>
      <c r="P31" s="250">
        <v>0</v>
      </c>
      <c r="Q31" s="249">
        <v>0</v>
      </c>
      <c r="R31" s="249"/>
      <c r="S31" s="242"/>
      <c r="T31" s="229">
        <f>'[6]Computer Network'!G44</f>
        <v>0</v>
      </c>
      <c r="U31" s="243">
        <f>'[6]Computer Network'!H44</f>
        <v>0</v>
      </c>
      <c r="V31" s="241"/>
      <c r="W31" s="229">
        <f t="shared" si="6"/>
        <v>0</v>
      </c>
      <c r="X31" s="229">
        <f t="shared" si="0"/>
        <v>0</v>
      </c>
      <c r="Y31" s="244">
        <f t="shared" si="1"/>
        <v>0</v>
      </c>
      <c r="Z31" s="244">
        <f t="shared" si="2"/>
        <v>0</v>
      </c>
      <c r="AA31" s="244">
        <f t="shared" si="3"/>
        <v>0</v>
      </c>
      <c r="AB31" s="244">
        <f t="shared" si="7"/>
        <v>0</v>
      </c>
      <c r="AC31" s="244" t="str">
        <f t="shared" si="8"/>
        <v>N</v>
      </c>
      <c r="AD31" s="244" t="str">
        <f t="shared" si="9"/>
        <v>N</v>
      </c>
      <c r="AE31" s="280">
        <f t="shared" si="10"/>
        <v>0</v>
      </c>
      <c r="AF31" s="277">
        <f t="shared" si="11"/>
        <v>0</v>
      </c>
      <c r="AG31" s="222"/>
    </row>
    <row r="32" spans="1:33" ht="15.75" x14ac:dyDescent="0.25">
      <c r="A32" s="247">
        <v>24</v>
      </c>
      <c r="B32" s="248" t="s">
        <v>239</v>
      </c>
      <c r="C32" s="166" t="str">
        <f>'[6]Computer Network'!A45</f>
        <v>2023-IT-28</v>
      </c>
      <c r="D32" s="166" t="str">
        <f>'[6]Computer Network'!B45</f>
        <v>Ahmad Latif</v>
      </c>
      <c r="E32" s="168">
        <f>'[6]Computer Network'!D45</f>
        <v>9</v>
      </c>
      <c r="F32" s="168"/>
      <c r="G32" s="229">
        <f t="shared" si="4"/>
        <v>9</v>
      </c>
      <c r="H32" s="249">
        <v>5</v>
      </c>
      <c r="I32" s="249">
        <v>10</v>
      </c>
      <c r="J32" s="249"/>
      <c r="K32" s="249"/>
      <c r="L32" s="229">
        <f>'[6]Computer Network'!E45</f>
        <v>15</v>
      </c>
      <c r="M32" s="168">
        <f>'[6]Computer Network'!F45</f>
        <v>8</v>
      </c>
      <c r="N32" s="249"/>
      <c r="O32" s="229">
        <f t="shared" si="5"/>
        <v>8</v>
      </c>
      <c r="P32" s="250">
        <v>10</v>
      </c>
      <c r="Q32" s="249">
        <v>14</v>
      </c>
      <c r="R32" s="249"/>
      <c r="S32" s="242"/>
      <c r="T32" s="229">
        <f>'[6]Computer Network'!G45</f>
        <v>24</v>
      </c>
      <c r="U32" s="243">
        <f>'[6]Computer Network'!H45</f>
        <v>6</v>
      </c>
      <c r="V32" s="241"/>
      <c r="W32" s="229">
        <f t="shared" si="6"/>
        <v>6</v>
      </c>
      <c r="X32" s="229">
        <f t="shared" si="0"/>
        <v>62</v>
      </c>
      <c r="Y32" s="244">
        <f t="shared" si="1"/>
        <v>0</v>
      </c>
      <c r="Z32" s="244">
        <f t="shared" si="2"/>
        <v>34</v>
      </c>
      <c r="AA32" s="244">
        <f t="shared" si="3"/>
        <v>28</v>
      </c>
      <c r="AB32" s="244">
        <f t="shared" si="7"/>
        <v>0</v>
      </c>
      <c r="AC32" s="244" t="str">
        <f t="shared" si="8"/>
        <v>Y</v>
      </c>
      <c r="AD32" s="244" t="str">
        <f t="shared" si="9"/>
        <v>Y</v>
      </c>
      <c r="AE32" s="280">
        <f t="shared" si="10"/>
        <v>56.666666666666664</v>
      </c>
      <c r="AF32" s="277">
        <f t="shared" si="11"/>
        <v>70</v>
      </c>
      <c r="AG32" s="222"/>
    </row>
    <row r="33" spans="1:33" ht="15.75" x14ac:dyDescent="0.25">
      <c r="A33" s="245">
        <v>25</v>
      </c>
      <c r="B33" s="246" t="s">
        <v>240</v>
      </c>
      <c r="C33" s="166" t="str">
        <f>'[6]Computer Network'!A46</f>
        <v>2023-IT-32</v>
      </c>
      <c r="D33" s="166" t="str">
        <f>'[6]Computer Network'!B46</f>
        <v>Muhammad Faisal</v>
      </c>
      <c r="E33" s="168">
        <f>'[6]Computer Network'!D46</f>
        <v>8</v>
      </c>
      <c r="F33" s="168"/>
      <c r="G33" s="229">
        <f t="shared" si="4"/>
        <v>8</v>
      </c>
      <c r="H33" s="249">
        <v>7</v>
      </c>
      <c r="I33" s="249">
        <v>10</v>
      </c>
      <c r="J33" s="249"/>
      <c r="K33" s="249"/>
      <c r="L33" s="229">
        <f>'[6]Computer Network'!E46</f>
        <v>17</v>
      </c>
      <c r="M33" s="168">
        <f>'[6]Computer Network'!F46</f>
        <v>7</v>
      </c>
      <c r="N33" s="249"/>
      <c r="O33" s="229">
        <f t="shared" si="5"/>
        <v>7</v>
      </c>
      <c r="P33" s="250">
        <v>17</v>
      </c>
      <c r="Q33" s="249">
        <v>14</v>
      </c>
      <c r="R33" s="249"/>
      <c r="S33" s="242"/>
      <c r="T33" s="229">
        <f>'[6]Computer Network'!G46</f>
        <v>31</v>
      </c>
      <c r="U33" s="243">
        <f>'[6]Computer Network'!H46</f>
        <v>7</v>
      </c>
      <c r="V33" s="241"/>
      <c r="W33" s="229">
        <f t="shared" si="6"/>
        <v>7</v>
      </c>
      <c r="X33" s="229">
        <f t="shared" si="0"/>
        <v>70</v>
      </c>
      <c r="Y33" s="244">
        <f t="shared" si="1"/>
        <v>0</v>
      </c>
      <c r="Z33" s="244">
        <f t="shared" si="2"/>
        <v>42</v>
      </c>
      <c r="AA33" s="244">
        <f t="shared" si="3"/>
        <v>28</v>
      </c>
      <c r="AB33" s="244">
        <f t="shared" si="7"/>
        <v>0</v>
      </c>
      <c r="AC33" s="244" t="str">
        <f t="shared" si="8"/>
        <v>Y</v>
      </c>
      <c r="AD33" s="244" t="str">
        <f t="shared" si="9"/>
        <v>Y</v>
      </c>
      <c r="AE33" s="280">
        <f t="shared" si="10"/>
        <v>70</v>
      </c>
      <c r="AF33" s="277">
        <f t="shared" si="11"/>
        <v>70</v>
      </c>
      <c r="AG33" s="222"/>
    </row>
    <row r="34" spans="1:33" ht="15.75" x14ac:dyDescent="0.25">
      <c r="A34" s="247">
        <v>27</v>
      </c>
      <c r="B34" s="248" t="s">
        <v>241</v>
      </c>
      <c r="C34" s="166" t="str">
        <f>'[6]Computer Network'!A47</f>
        <v>2023-IT-34</v>
      </c>
      <c r="D34" s="166" t="str">
        <f>'[6]Computer Network'!B47</f>
        <v>Jamshaid Abbas</v>
      </c>
      <c r="E34" s="168">
        <f>'[6]Computer Network'!D47</f>
        <v>10</v>
      </c>
      <c r="F34" s="168"/>
      <c r="G34" s="229">
        <f t="shared" si="4"/>
        <v>10</v>
      </c>
      <c r="H34" s="249">
        <v>5</v>
      </c>
      <c r="I34" s="249">
        <v>10</v>
      </c>
      <c r="J34" s="249"/>
      <c r="K34" s="249"/>
      <c r="L34" s="229">
        <f>'[6]Computer Network'!E47</f>
        <v>15</v>
      </c>
      <c r="M34" s="168">
        <f>'[6]Computer Network'!F47</f>
        <v>8</v>
      </c>
      <c r="N34" s="249"/>
      <c r="O34" s="229">
        <f t="shared" si="5"/>
        <v>8</v>
      </c>
      <c r="P34" s="250">
        <v>4</v>
      </c>
      <c r="Q34" s="249">
        <v>9</v>
      </c>
      <c r="R34" s="249"/>
      <c r="S34" s="242"/>
      <c r="T34" s="229">
        <f>'[6]Computer Network'!G47</f>
        <v>13</v>
      </c>
      <c r="U34" s="243">
        <f>'[6]Computer Network'!H47</f>
        <v>5</v>
      </c>
      <c r="V34" s="241"/>
      <c r="W34" s="229">
        <f t="shared" si="6"/>
        <v>5</v>
      </c>
      <c r="X34" s="229">
        <f t="shared" si="0"/>
        <v>51</v>
      </c>
      <c r="Y34" s="244">
        <f t="shared" si="1"/>
        <v>0</v>
      </c>
      <c r="Z34" s="244">
        <f t="shared" si="2"/>
        <v>29</v>
      </c>
      <c r="AA34" s="244">
        <f t="shared" si="3"/>
        <v>22</v>
      </c>
      <c r="AB34" s="244">
        <f t="shared" si="7"/>
        <v>0</v>
      </c>
      <c r="AC34" s="244" t="str">
        <f t="shared" si="8"/>
        <v>N</v>
      </c>
      <c r="AD34" s="244" t="str">
        <f t="shared" si="9"/>
        <v>Y</v>
      </c>
      <c r="AE34" s="280">
        <f t="shared" si="10"/>
        <v>48.333333333333336</v>
      </c>
      <c r="AF34" s="277">
        <f t="shared" si="11"/>
        <v>55.000000000000007</v>
      </c>
      <c r="AG34" s="222"/>
    </row>
    <row r="35" spans="1:33" ht="15.75" x14ac:dyDescent="0.25">
      <c r="A35" s="245">
        <v>28</v>
      </c>
      <c r="B35" s="246" t="s">
        <v>242</v>
      </c>
      <c r="C35" s="166" t="str">
        <f>'[6]Computer Network'!A48</f>
        <v>2023-IT-38</v>
      </c>
      <c r="D35" s="166" t="str">
        <f>'[6]Computer Network'!B48</f>
        <v>Sherzaman Bukhari</v>
      </c>
      <c r="E35" s="168">
        <f>'[6]Computer Network'!D48</f>
        <v>9</v>
      </c>
      <c r="F35" s="168"/>
      <c r="G35" s="229">
        <f t="shared" si="4"/>
        <v>9</v>
      </c>
      <c r="H35" s="249">
        <v>4</v>
      </c>
      <c r="I35" s="249">
        <v>5</v>
      </c>
      <c r="J35" s="249"/>
      <c r="K35" s="249"/>
      <c r="L35" s="229">
        <f>'[6]Computer Network'!E48</f>
        <v>9</v>
      </c>
      <c r="M35" s="168">
        <f>'[6]Computer Network'!F48</f>
        <v>8</v>
      </c>
      <c r="N35" s="249"/>
      <c r="O35" s="229">
        <f t="shared" si="5"/>
        <v>8</v>
      </c>
      <c r="P35" s="250">
        <v>15</v>
      </c>
      <c r="Q35" s="249">
        <v>10</v>
      </c>
      <c r="R35" s="249"/>
      <c r="S35" s="242"/>
      <c r="T35" s="229">
        <f>'[6]Computer Network'!G48</f>
        <v>25</v>
      </c>
      <c r="U35" s="243">
        <f>'[6]Computer Network'!H48</f>
        <v>7</v>
      </c>
      <c r="V35" s="241"/>
      <c r="W35" s="229">
        <f t="shared" si="6"/>
        <v>7</v>
      </c>
      <c r="X35" s="229">
        <f t="shared" si="0"/>
        <v>58</v>
      </c>
      <c r="Y35" s="244">
        <f t="shared" si="1"/>
        <v>0</v>
      </c>
      <c r="Z35" s="244">
        <f t="shared" si="2"/>
        <v>33</v>
      </c>
      <c r="AA35" s="244">
        <f t="shared" si="3"/>
        <v>25</v>
      </c>
      <c r="AB35" s="244">
        <f t="shared" si="7"/>
        <v>0</v>
      </c>
      <c r="AC35" s="244" t="str">
        <f t="shared" si="8"/>
        <v>Y</v>
      </c>
      <c r="AD35" s="244" t="str">
        <f t="shared" si="9"/>
        <v>Y</v>
      </c>
      <c r="AE35" s="280">
        <f t="shared" si="10"/>
        <v>55.000000000000007</v>
      </c>
      <c r="AF35" s="277">
        <f t="shared" si="11"/>
        <v>62.5</v>
      </c>
      <c r="AG35" s="222"/>
    </row>
    <row r="36" spans="1:33" ht="15.75" x14ac:dyDescent="0.25">
      <c r="A36" s="245"/>
      <c r="B36" s="246"/>
      <c r="C36" s="166" t="str">
        <f>'[6]Computer Network'!A49</f>
        <v>2023-IT-40</v>
      </c>
      <c r="D36" s="166" t="str">
        <f>'[6]Computer Network'!B49</f>
        <v>Ahmad Raza Shareef</v>
      </c>
      <c r="E36" s="168">
        <f>'[6]Computer Network'!D49</f>
        <v>8</v>
      </c>
      <c r="F36" s="168"/>
      <c r="G36" s="229">
        <f t="shared" si="4"/>
        <v>8</v>
      </c>
      <c r="H36" s="249">
        <v>6</v>
      </c>
      <c r="I36" s="249">
        <v>10</v>
      </c>
      <c r="J36" s="249"/>
      <c r="K36" s="249"/>
      <c r="L36" s="229">
        <f>'[6]Computer Network'!E49</f>
        <v>16</v>
      </c>
      <c r="M36" s="168">
        <f>'[6]Computer Network'!F49</f>
        <v>9</v>
      </c>
      <c r="N36" s="249"/>
      <c r="O36" s="229">
        <f t="shared" si="5"/>
        <v>9</v>
      </c>
      <c r="P36" s="250">
        <v>10</v>
      </c>
      <c r="Q36" s="249">
        <v>14</v>
      </c>
      <c r="R36" s="249"/>
      <c r="S36" s="242"/>
      <c r="T36" s="229">
        <f>'[6]Computer Network'!G49</f>
        <v>24</v>
      </c>
      <c r="U36" s="243">
        <f>'[6]Computer Network'!H49</f>
        <v>5</v>
      </c>
      <c r="V36" s="241"/>
      <c r="W36" s="229">
        <f t="shared" si="6"/>
        <v>5</v>
      </c>
      <c r="X36" s="229">
        <f t="shared" si="0"/>
        <v>62</v>
      </c>
      <c r="Y36" s="244">
        <f t="shared" si="1"/>
        <v>0</v>
      </c>
      <c r="Z36" s="244">
        <f t="shared" si="2"/>
        <v>34</v>
      </c>
      <c r="AA36" s="244">
        <f t="shared" si="3"/>
        <v>28</v>
      </c>
      <c r="AB36" s="244">
        <f t="shared" si="7"/>
        <v>0</v>
      </c>
      <c r="AC36" s="244" t="str">
        <f t="shared" si="8"/>
        <v>Y</v>
      </c>
      <c r="AD36" s="244" t="str">
        <f t="shared" si="9"/>
        <v>Y</v>
      </c>
      <c r="AE36" s="280">
        <f t="shared" si="10"/>
        <v>56.666666666666664</v>
      </c>
      <c r="AF36" s="277">
        <f t="shared" si="11"/>
        <v>70</v>
      </c>
      <c r="AG36" s="222"/>
    </row>
    <row r="37" spans="1:33" ht="15.75" x14ac:dyDescent="0.25">
      <c r="A37" s="245"/>
      <c r="B37" s="246"/>
      <c r="C37" s="166" t="str">
        <f>'[6]Computer Network'!A50</f>
        <v>2023-IT-41</v>
      </c>
      <c r="D37" s="166" t="str">
        <f>'[6]Computer Network'!B50</f>
        <v>Anas Noor</v>
      </c>
      <c r="E37" s="168">
        <f>'[6]Computer Network'!D50</f>
        <v>0</v>
      </c>
      <c r="F37" s="168"/>
      <c r="G37" s="229">
        <f t="shared" si="4"/>
        <v>0</v>
      </c>
      <c r="H37" s="249">
        <v>0</v>
      </c>
      <c r="I37" s="249">
        <v>0</v>
      </c>
      <c r="J37" s="249"/>
      <c r="K37" s="249"/>
      <c r="L37" s="229">
        <f>'[6]Computer Network'!E50</f>
        <v>0</v>
      </c>
      <c r="M37" s="168">
        <f>'[6]Computer Network'!F50</f>
        <v>0</v>
      </c>
      <c r="N37" s="249"/>
      <c r="O37" s="229">
        <f t="shared" si="5"/>
        <v>0</v>
      </c>
      <c r="P37" s="250">
        <v>0</v>
      </c>
      <c r="Q37" s="249">
        <v>0</v>
      </c>
      <c r="R37" s="249"/>
      <c r="S37" s="242"/>
      <c r="T37" s="229">
        <f>'[6]Computer Network'!G50</f>
        <v>0</v>
      </c>
      <c r="U37" s="243">
        <f>'[6]Computer Network'!H50</f>
        <v>0</v>
      </c>
      <c r="V37" s="241"/>
      <c r="W37" s="229">
        <f t="shared" si="6"/>
        <v>0</v>
      </c>
      <c r="X37" s="229">
        <f t="shared" si="0"/>
        <v>0</v>
      </c>
      <c r="Y37" s="244">
        <f t="shared" si="1"/>
        <v>0</v>
      </c>
      <c r="Z37" s="244">
        <f t="shared" si="2"/>
        <v>0</v>
      </c>
      <c r="AA37" s="244">
        <f t="shared" si="3"/>
        <v>0</v>
      </c>
      <c r="AB37" s="244">
        <f t="shared" si="7"/>
        <v>0</v>
      </c>
      <c r="AC37" s="244" t="str">
        <f t="shared" si="8"/>
        <v>N</v>
      </c>
      <c r="AD37" s="244" t="str">
        <f t="shared" si="9"/>
        <v>N</v>
      </c>
      <c r="AE37" s="280">
        <f t="shared" si="10"/>
        <v>0</v>
      </c>
      <c r="AF37" s="277">
        <f t="shared" si="11"/>
        <v>0</v>
      </c>
      <c r="AG37" s="222"/>
    </row>
    <row r="38" spans="1:33" ht="15.75" x14ac:dyDescent="0.25">
      <c r="A38" s="247"/>
      <c r="B38" s="248"/>
      <c r="C38" s="166" t="str">
        <f>'[6]Computer Network'!A51</f>
        <v>2023-IT-42</v>
      </c>
      <c r="D38" s="166" t="str">
        <f>'[6]Computer Network'!B51</f>
        <v>Muhammad Moosa Bhatti</v>
      </c>
      <c r="E38" s="168">
        <f>'[6]Computer Network'!D51</f>
        <v>8</v>
      </c>
      <c r="F38" s="168"/>
      <c r="G38" s="229">
        <f t="shared" si="4"/>
        <v>8</v>
      </c>
      <c r="H38" s="249">
        <v>4</v>
      </c>
      <c r="I38" s="249">
        <v>8</v>
      </c>
      <c r="J38" s="249"/>
      <c r="K38" s="249"/>
      <c r="L38" s="229">
        <f>'[6]Computer Network'!E51</f>
        <v>12</v>
      </c>
      <c r="M38" s="168">
        <f>'[6]Computer Network'!F51</f>
        <v>8</v>
      </c>
      <c r="N38" s="249"/>
      <c r="O38" s="229">
        <f t="shared" si="5"/>
        <v>8</v>
      </c>
      <c r="P38" s="250">
        <v>10</v>
      </c>
      <c r="Q38" s="249">
        <v>10</v>
      </c>
      <c r="R38" s="249"/>
      <c r="S38" s="242"/>
      <c r="T38" s="229">
        <f>'[6]Computer Network'!G51</f>
        <v>20</v>
      </c>
      <c r="U38" s="243">
        <f>'[6]Computer Network'!H51</f>
        <v>9</v>
      </c>
      <c r="V38" s="241"/>
      <c r="W38" s="229">
        <f t="shared" si="6"/>
        <v>9</v>
      </c>
      <c r="X38" s="229">
        <f t="shared" si="0"/>
        <v>57</v>
      </c>
      <c r="Y38" s="244">
        <f t="shared" si="1"/>
        <v>0</v>
      </c>
      <c r="Z38" s="244">
        <f t="shared" si="2"/>
        <v>30</v>
      </c>
      <c r="AA38" s="244">
        <f t="shared" si="3"/>
        <v>27</v>
      </c>
      <c r="AB38" s="244">
        <f t="shared" si="7"/>
        <v>0</v>
      </c>
      <c r="AC38" s="244" t="str">
        <f t="shared" si="8"/>
        <v>Y</v>
      </c>
      <c r="AD38" s="244" t="str">
        <f t="shared" si="9"/>
        <v>Y</v>
      </c>
      <c r="AE38" s="280">
        <f t="shared" si="10"/>
        <v>50</v>
      </c>
      <c r="AF38" s="277">
        <f t="shared" si="11"/>
        <v>67.5</v>
      </c>
      <c r="AG38" s="222"/>
    </row>
    <row r="39" spans="1:33" ht="15.75" x14ac:dyDescent="0.25">
      <c r="A39" s="245"/>
      <c r="B39" s="246"/>
      <c r="C39" s="166" t="str">
        <f>'[6]Computer Network'!A52</f>
        <v>2023-IT-44</v>
      </c>
      <c r="D39" s="166" t="str">
        <f>'[6]Computer Network'!B52</f>
        <v>Muhammad Nouman Aslam</v>
      </c>
      <c r="E39" s="168">
        <f>'[6]Computer Network'!D52</f>
        <v>9</v>
      </c>
      <c r="F39" s="168"/>
      <c r="G39" s="229">
        <f t="shared" si="4"/>
        <v>9</v>
      </c>
      <c r="H39" s="249">
        <v>6</v>
      </c>
      <c r="I39" s="249">
        <v>10</v>
      </c>
      <c r="J39" s="249"/>
      <c r="K39" s="249"/>
      <c r="L39" s="229">
        <f>'[6]Computer Network'!E52</f>
        <v>16</v>
      </c>
      <c r="M39" s="168">
        <f>'[6]Computer Network'!F52</f>
        <v>9</v>
      </c>
      <c r="N39" s="249"/>
      <c r="O39" s="229">
        <f t="shared" si="5"/>
        <v>9</v>
      </c>
      <c r="P39" s="250">
        <v>18</v>
      </c>
      <c r="Q39" s="249">
        <v>12</v>
      </c>
      <c r="R39" s="249"/>
      <c r="S39" s="242"/>
      <c r="T39" s="229">
        <f>'[6]Computer Network'!G52</f>
        <v>30</v>
      </c>
      <c r="U39" s="243">
        <f>'[6]Computer Network'!H52</f>
        <v>8</v>
      </c>
      <c r="V39" s="241"/>
      <c r="W39" s="229">
        <f t="shared" si="6"/>
        <v>8</v>
      </c>
      <c r="X39" s="229">
        <f t="shared" si="0"/>
        <v>72</v>
      </c>
      <c r="Y39" s="244">
        <f t="shared" si="1"/>
        <v>0</v>
      </c>
      <c r="Z39" s="244">
        <f t="shared" si="2"/>
        <v>43</v>
      </c>
      <c r="AA39" s="244">
        <f t="shared" si="3"/>
        <v>29</v>
      </c>
      <c r="AB39" s="244">
        <f t="shared" si="7"/>
        <v>0</v>
      </c>
      <c r="AC39" s="244" t="str">
        <f t="shared" si="8"/>
        <v>Y</v>
      </c>
      <c r="AD39" s="244" t="str">
        <f t="shared" si="9"/>
        <v>Y</v>
      </c>
      <c r="AE39" s="280">
        <f t="shared" si="10"/>
        <v>71.666666666666671</v>
      </c>
      <c r="AF39" s="277">
        <f t="shared" si="11"/>
        <v>72.5</v>
      </c>
      <c r="AG39" s="222"/>
    </row>
    <row r="40" spans="1:33" ht="15.75" x14ac:dyDescent="0.25">
      <c r="A40" s="245"/>
      <c r="B40" s="246"/>
      <c r="C40" s="166" t="str">
        <f>'[6]Computer Network'!A53</f>
        <v>2023-IT-46</v>
      </c>
      <c r="D40" s="166" t="str">
        <f>'[6]Computer Network'!B53</f>
        <v>Muhammad Haseeb Anjum</v>
      </c>
      <c r="E40" s="168">
        <f>'[6]Computer Network'!D53</f>
        <v>10</v>
      </c>
      <c r="F40" s="168"/>
      <c r="G40" s="229">
        <f t="shared" si="4"/>
        <v>10</v>
      </c>
      <c r="H40" s="249">
        <v>8</v>
      </c>
      <c r="I40" s="249">
        <v>12</v>
      </c>
      <c r="J40" s="249"/>
      <c r="K40" s="249"/>
      <c r="L40" s="229">
        <f>'[6]Computer Network'!E53</f>
        <v>20</v>
      </c>
      <c r="M40" s="168">
        <f>'[6]Computer Network'!F53</f>
        <v>5</v>
      </c>
      <c r="N40" s="249"/>
      <c r="O40" s="229">
        <f t="shared" si="5"/>
        <v>5</v>
      </c>
      <c r="P40" s="250">
        <v>15</v>
      </c>
      <c r="Q40" s="249">
        <v>16</v>
      </c>
      <c r="R40" s="249"/>
      <c r="S40" s="242"/>
      <c r="T40" s="229">
        <f>'[6]Computer Network'!G53</f>
        <v>31</v>
      </c>
      <c r="U40" s="243">
        <f>'[6]Computer Network'!H53</f>
        <v>6</v>
      </c>
      <c r="V40" s="241"/>
      <c r="W40" s="229">
        <f t="shared" si="6"/>
        <v>6</v>
      </c>
      <c r="X40" s="229">
        <f t="shared" si="0"/>
        <v>72</v>
      </c>
      <c r="Y40" s="244">
        <f t="shared" si="1"/>
        <v>0</v>
      </c>
      <c r="Z40" s="244">
        <f t="shared" si="2"/>
        <v>45</v>
      </c>
      <c r="AA40" s="244">
        <f t="shared" si="3"/>
        <v>27</v>
      </c>
      <c r="AB40" s="244">
        <f t="shared" si="7"/>
        <v>0</v>
      </c>
      <c r="AC40" s="244" t="str">
        <f t="shared" si="8"/>
        <v>Y</v>
      </c>
      <c r="AD40" s="244" t="str">
        <f t="shared" si="9"/>
        <v>Y</v>
      </c>
      <c r="AE40" s="280">
        <f t="shared" si="10"/>
        <v>75</v>
      </c>
      <c r="AF40" s="277">
        <f t="shared" si="11"/>
        <v>67.5</v>
      </c>
      <c r="AG40" s="222"/>
    </row>
    <row r="41" spans="1:33" ht="15.75" x14ac:dyDescent="0.25">
      <c r="A41" s="245"/>
      <c r="B41" s="246"/>
      <c r="C41" s="166" t="str">
        <f>'[6]Computer Network'!A54</f>
        <v>2023-IT-48</v>
      </c>
      <c r="D41" s="166" t="str">
        <f>'[6]Computer Network'!B54</f>
        <v>Muhammad Arslan Waheed</v>
      </c>
      <c r="E41" s="168">
        <f>'[6]Computer Network'!D54</f>
        <v>9</v>
      </c>
      <c r="F41" s="168"/>
      <c r="G41" s="229">
        <f t="shared" si="4"/>
        <v>9</v>
      </c>
      <c r="H41" s="249">
        <v>9</v>
      </c>
      <c r="I41" s="249">
        <v>12</v>
      </c>
      <c r="J41" s="249"/>
      <c r="K41" s="249"/>
      <c r="L41" s="229">
        <f>'[6]Computer Network'!E54</f>
        <v>21</v>
      </c>
      <c r="M41" s="168">
        <f>'[6]Computer Network'!F54</f>
        <v>9</v>
      </c>
      <c r="N41" s="249"/>
      <c r="O41" s="229">
        <f t="shared" si="5"/>
        <v>9</v>
      </c>
      <c r="P41" s="250">
        <v>13</v>
      </c>
      <c r="Q41" s="249">
        <v>10</v>
      </c>
      <c r="R41" s="249"/>
      <c r="S41" s="242"/>
      <c r="T41" s="229">
        <f>'[6]Computer Network'!G54</f>
        <v>23</v>
      </c>
      <c r="U41" s="243">
        <f>'[6]Computer Network'!H54</f>
        <v>8</v>
      </c>
      <c r="V41" s="241"/>
      <c r="W41" s="229">
        <f t="shared" si="6"/>
        <v>8</v>
      </c>
      <c r="X41" s="229">
        <f t="shared" si="0"/>
        <v>70</v>
      </c>
      <c r="Y41" s="244">
        <f t="shared" si="1"/>
        <v>0</v>
      </c>
      <c r="Z41" s="244">
        <f t="shared" si="2"/>
        <v>43</v>
      </c>
      <c r="AA41" s="244">
        <f t="shared" si="3"/>
        <v>27</v>
      </c>
      <c r="AB41" s="244">
        <f t="shared" si="7"/>
        <v>0</v>
      </c>
      <c r="AC41" s="244" t="str">
        <f t="shared" si="8"/>
        <v>Y</v>
      </c>
      <c r="AD41" s="244" t="str">
        <f t="shared" si="9"/>
        <v>Y</v>
      </c>
      <c r="AE41" s="280">
        <f t="shared" si="10"/>
        <v>71.666666666666671</v>
      </c>
      <c r="AF41" s="277">
        <f t="shared" si="11"/>
        <v>67.5</v>
      </c>
      <c r="AG41" s="222"/>
    </row>
    <row r="42" spans="1:33" ht="15.75" x14ac:dyDescent="0.25">
      <c r="A42" s="245"/>
      <c r="B42" s="246"/>
      <c r="C42" s="166" t="str">
        <f>'[6]Computer Network'!A55</f>
        <v>2023-IT-50</v>
      </c>
      <c r="D42" s="166" t="str">
        <f>'[6]Computer Network'!B55</f>
        <v>Hafiz Muhammad Hasnain Saif</v>
      </c>
      <c r="E42" s="168">
        <f>'[6]Computer Network'!D55</f>
        <v>7</v>
      </c>
      <c r="F42" s="168"/>
      <c r="G42" s="229">
        <f t="shared" si="4"/>
        <v>7</v>
      </c>
      <c r="H42" s="249">
        <v>9</v>
      </c>
      <c r="I42" s="249">
        <v>10</v>
      </c>
      <c r="J42" s="249"/>
      <c r="K42" s="249"/>
      <c r="L42" s="229">
        <f>'[6]Computer Network'!E55</f>
        <v>19</v>
      </c>
      <c r="M42" s="168">
        <f>'[6]Computer Network'!F55</f>
        <v>6</v>
      </c>
      <c r="N42" s="249"/>
      <c r="O42" s="229">
        <f t="shared" si="5"/>
        <v>6</v>
      </c>
      <c r="P42" s="250">
        <v>15</v>
      </c>
      <c r="Q42" s="249">
        <v>16</v>
      </c>
      <c r="R42" s="249"/>
      <c r="S42" s="242"/>
      <c r="T42" s="229">
        <f>'[6]Computer Network'!G55</f>
        <v>31</v>
      </c>
      <c r="U42" s="243">
        <f>'[6]Computer Network'!H55</f>
        <v>7</v>
      </c>
      <c r="V42" s="241"/>
      <c r="W42" s="229">
        <f t="shared" si="6"/>
        <v>7</v>
      </c>
      <c r="X42" s="229">
        <f t="shared" si="0"/>
        <v>70</v>
      </c>
      <c r="Y42" s="244">
        <f t="shared" si="1"/>
        <v>0</v>
      </c>
      <c r="Z42" s="244">
        <f t="shared" si="2"/>
        <v>41</v>
      </c>
      <c r="AA42" s="244">
        <f t="shared" si="3"/>
        <v>29</v>
      </c>
      <c r="AB42" s="244">
        <f t="shared" si="7"/>
        <v>0</v>
      </c>
      <c r="AC42" s="244" t="str">
        <f t="shared" si="8"/>
        <v>Y</v>
      </c>
      <c r="AD42" s="244" t="str">
        <f t="shared" si="9"/>
        <v>Y</v>
      </c>
      <c r="AE42" s="280">
        <f t="shared" si="10"/>
        <v>68.333333333333329</v>
      </c>
      <c r="AF42" s="277">
        <f t="shared" si="11"/>
        <v>72.5</v>
      </c>
      <c r="AG42" s="222"/>
    </row>
    <row r="43" spans="1:33" ht="15.75" x14ac:dyDescent="0.25">
      <c r="A43" s="245"/>
      <c r="B43" s="246"/>
      <c r="C43" s="166" t="str">
        <f>'[6]Computer Network'!A56</f>
        <v>2023-IT-54</v>
      </c>
      <c r="D43" s="166" t="str">
        <f>'[6]Computer Network'!B56</f>
        <v>Muhammad Zeeshan</v>
      </c>
      <c r="E43" s="168">
        <f>'[6]Computer Network'!D56</f>
        <v>9</v>
      </c>
      <c r="F43" s="168"/>
      <c r="G43" s="229">
        <f t="shared" si="4"/>
        <v>9</v>
      </c>
      <c r="H43" s="249">
        <v>9</v>
      </c>
      <c r="I43" s="249">
        <v>10</v>
      </c>
      <c r="J43" s="249"/>
      <c r="K43" s="249"/>
      <c r="L43" s="229">
        <f>'[6]Computer Network'!E56</f>
        <v>19</v>
      </c>
      <c r="M43" s="168">
        <f>'[6]Computer Network'!F56</f>
        <v>8</v>
      </c>
      <c r="N43" s="249"/>
      <c r="O43" s="229">
        <f t="shared" si="5"/>
        <v>8</v>
      </c>
      <c r="P43" s="250">
        <v>15</v>
      </c>
      <c r="Q43" s="249">
        <v>10</v>
      </c>
      <c r="R43" s="249"/>
      <c r="S43" s="242"/>
      <c r="T43" s="229">
        <f>'[6]Computer Network'!G56</f>
        <v>25</v>
      </c>
      <c r="U43" s="243">
        <f>'[6]Computer Network'!H56</f>
        <v>8</v>
      </c>
      <c r="V43" s="241"/>
      <c r="W43" s="229">
        <f t="shared" si="6"/>
        <v>8</v>
      </c>
      <c r="X43" s="229">
        <f t="shared" si="0"/>
        <v>69</v>
      </c>
      <c r="Y43" s="244">
        <f t="shared" si="1"/>
        <v>0</v>
      </c>
      <c r="Z43" s="244">
        <f t="shared" si="2"/>
        <v>43</v>
      </c>
      <c r="AA43" s="244">
        <f t="shared" si="3"/>
        <v>26</v>
      </c>
      <c r="AB43" s="244">
        <f t="shared" si="7"/>
        <v>0</v>
      </c>
      <c r="AC43" s="244" t="str">
        <f t="shared" si="8"/>
        <v>Y</v>
      </c>
      <c r="AD43" s="244" t="str">
        <f t="shared" si="9"/>
        <v>Y</v>
      </c>
      <c r="AE43" s="280">
        <f t="shared" si="10"/>
        <v>71.666666666666671</v>
      </c>
      <c r="AF43" s="277">
        <f t="shared" si="11"/>
        <v>65</v>
      </c>
      <c r="AG43" s="222"/>
    </row>
    <row r="44" spans="1:33" ht="15.75" x14ac:dyDescent="0.25">
      <c r="A44" s="245"/>
      <c r="B44" s="246"/>
      <c r="C44" s="166" t="str">
        <f>'[6]Computer Network'!A57</f>
        <v>2023-IT-56</v>
      </c>
      <c r="D44" s="166" t="str">
        <f>'[6]Computer Network'!B57</f>
        <v>Muhammad Adeel</v>
      </c>
      <c r="E44" s="168">
        <f>'[6]Computer Network'!D57</f>
        <v>9</v>
      </c>
      <c r="F44" s="168"/>
      <c r="G44" s="229">
        <f t="shared" si="4"/>
        <v>9</v>
      </c>
      <c r="H44" s="249">
        <v>5</v>
      </c>
      <c r="I44" s="249">
        <v>10</v>
      </c>
      <c r="J44" s="249"/>
      <c r="K44" s="249"/>
      <c r="L44" s="229">
        <f>'[6]Computer Network'!E57</f>
        <v>15</v>
      </c>
      <c r="M44" s="168">
        <f>'[6]Computer Network'!F57</f>
        <v>8</v>
      </c>
      <c r="N44" s="249"/>
      <c r="O44" s="229">
        <f t="shared" si="5"/>
        <v>8</v>
      </c>
      <c r="P44" s="250">
        <v>7</v>
      </c>
      <c r="Q44" s="249">
        <v>10</v>
      </c>
      <c r="R44" s="249"/>
      <c r="S44" s="242"/>
      <c r="T44" s="229">
        <f>'[6]Computer Network'!G57</f>
        <v>17</v>
      </c>
      <c r="U44" s="243">
        <f>'[6]Computer Network'!H57</f>
        <v>4</v>
      </c>
      <c r="V44" s="241"/>
      <c r="W44" s="229">
        <f t="shared" si="6"/>
        <v>4</v>
      </c>
      <c r="X44" s="229">
        <f t="shared" si="0"/>
        <v>53</v>
      </c>
      <c r="Y44" s="244">
        <f t="shared" si="1"/>
        <v>0</v>
      </c>
      <c r="Z44" s="244">
        <f t="shared" si="2"/>
        <v>31</v>
      </c>
      <c r="AA44" s="244">
        <f t="shared" si="3"/>
        <v>22</v>
      </c>
      <c r="AB44" s="244">
        <f t="shared" si="7"/>
        <v>0</v>
      </c>
      <c r="AC44" s="244" t="str">
        <f t="shared" si="8"/>
        <v>Y</v>
      </c>
      <c r="AD44" s="244" t="str">
        <f t="shared" si="9"/>
        <v>Y</v>
      </c>
      <c r="AE44" s="280">
        <f t="shared" si="10"/>
        <v>51.666666666666671</v>
      </c>
      <c r="AF44" s="277">
        <f t="shared" si="11"/>
        <v>55.000000000000007</v>
      </c>
      <c r="AG44" s="222"/>
    </row>
    <row r="45" spans="1:33" ht="15.75" x14ac:dyDescent="0.25">
      <c r="A45" s="245"/>
      <c r="B45" s="246"/>
      <c r="C45" s="166" t="str">
        <f>'[6]Computer Network'!A58</f>
        <v>2023-IT-60</v>
      </c>
      <c r="D45" s="166" t="str">
        <f>'[6]Computer Network'!B58</f>
        <v>Mughees Ahmad</v>
      </c>
      <c r="E45" s="168">
        <f>'[6]Computer Network'!D58</f>
        <v>7</v>
      </c>
      <c r="F45" s="168"/>
      <c r="G45" s="229">
        <f t="shared" si="4"/>
        <v>7</v>
      </c>
      <c r="H45" s="249">
        <v>6</v>
      </c>
      <c r="I45" s="249">
        <v>10</v>
      </c>
      <c r="J45" s="249"/>
      <c r="K45" s="249"/>
      <c r="L45" s="229">
        <f>'[6]Computer Network'!E58</f>
        <v>16</v>
      </c>
      <c r="M45" s="168">
        <f>'[6]Computer Network'!F58</f>
        <v>6</v>
      </c>
      <c r="N45" s="249"/>
      <c r="O45" s="229">
        <f t="shared" si="5"/>
        <v>6</v>
      </c>
      <c r="P45" s="250">
        <v>18</v>
      </c>
      <c r="Q45" s="249">
        <v>10</v>
      </c>
      <c r="R45" s="249"/>
      <c r="S45" s="242"/>
      <c r="T45" s="229">
        <f>'[6]Computer Network'!G58</f>
        <v>28</v>
      </c>
      <c r="U45" s="243">
        <f>'[6]Computer Network'!H58</f>
        <v>7</v>
      </c>
      <c r="V45" s="241"/>
      <c r="W45" s="229">
        <f t="shared" si="6"/>
        <v>7</v>
      </c>
      <c r="X45" s="229">
        <f t="shared" si="0"/>
        <v>64</v>
      </c>
      <c r="Y45" s="244">
        <f t="shared" si="1"/>
        <v>0</v>
      </c>
      <c r="Z45" s="244">
        <f t="shared" si="2"/>
        <v>41</v>
      </c>
      <c r="AA45" s="244">
        <f t="shared" si="3"/>
        <v>23</v>
      </c>
      <c r="AB45" s="244">
        <f t="shared" si="7"/>
        <v>0</v>
      </c>
      <c r="AC45" s="244" t="str">
        <f t="shared" si="8"/>
        <v>Y</v>
      </c>
      <c r="AD45" s="244" t="str">
        <f t="shared" si="9"/>
        <v>Y</v>
      </c>
      <c r="AE45" s="280">
        <f t="shared" si="10"/>
        <v>68.333333333333329</v>
      </c>
      <c r="AF45" s="277">
        <f t="shared" si="11"/>
        <v>57.499999999999993</v>
      </c>
      <c r="AG45" s="222"/>
    </row>
    <row r="46" spans="1:33" ht="15.75" x14ac:dyDescent="0.25">
      <c r="A46" s="245"/>
      <c r="B46" s="246"/>
      <c r="C46" s="166" t="str">
        <f>'[6]Computer Network'!A59</f>
        <v>2023-IT-62</v>
      </c>
      <c r="D46" s="166" t="str">
        <f>'[6]Computer Network'!B59</f>
        <v>Muhammad Azeem</v>
      </c>
      <c r="E46" s="168">
        <f>'[6]Computer Network'!D59</f>
        <v>10</v>
      </c>
      <c r="F46" s="168"/>
      <c r="G46" s="229">
        <f t="shared" si="4"/>
        <v>10</v>
      </c>
      <c r="H46" s="249">
        <v>5</v>
      </c>
      <c r="I46" s="249">
        <v>10</v>
      </c>
      <c r="J46" s="249"/>
      <c r="K46" s="249"/>
      <c r="L46" s="229">
        <f>'[6]Computer Network'!E59</f>
        <v>15</v>
      </c>
      <c r="M46" s="168">
        <f>'[6]Computer Network'!F59</f>
        <v>6</v>
      </c>
      <c r="N46" s="249"/>
      <c r="O46" s="229">
        <f t="shared" si="5"/>
        <v>6</v>
      </c>
      <c r="P46" s="250">
        <v>18</v>
      </c>
      <c r="Q46" s="249">
        <v>10</v>
      </c>
      <c r="R46" s="249"/>
      <c r="S46" s="242"/>
      <c r="T46" s="229">
        <f>'[6]Computer Network'!G59</f>
        <v>28</v>
      </c>
      <c r="U46" s="243">
        <f>'[6]Computer Network'!H59</f>
        <v>7</v>
      </c>
      <c r="V46" s="241"/>
      <c r="W46" s="229">
        <f t="shared" si="6"/>
        <v>7</v>
      </c>
      <c r="X46" s="229">
        <f t="shared" si="0"/>
        <v>66</v>
      </c>
      <c r="Y46" s="244">
        <f t="shared" si="1"/>
        <v>0</v>
      </c>
      <c r="Z46" s="244">
        <f t="shared" si="2"/>
        <v>43</v>
      </c>
      <c r="AA46" s="244">
        <f t="shared" si="3"/>
        <v>23</v>
      </c>
      <c r="AB46" s="244">
        <f t="shared" si="7"/>
        <v>0</v>
      </c>
      <c r="AC46" s="244" t="str">
        <f t="shared" si="8"/>
        <v>Y</v>
      </c>
      <c r="AD46" s="244" t="str">
        <f t="shared" si="9"/>
        <v>Y</v>
      </c>
      <c r="AE46" s="280">
        <f t="shared" si="10"/>
        <v>71.666666666666671</v>
      </c>
      <c r="AF46" s="277">
        <f t="shared" si="11"/>
        <v>57.499999999999993</v>
      </c>
      <c r="AG46" s="222"/>
    </row>
    <row r="47" spans="1:33" ht="15.75" x14ac:dyDescent="0.25">
      <c r="A47" s="245"/>
      <c r="B47" s="246"/>
      <c r="C47" s="166" t="str">
        <f>'[6]Computer Network'!A60</f>
        <v>2023-IT-64</v>
      </c>
      <c r="D47" s="166" t="str">
        <f>'[6]Computer Network'!B60</f>
        <v>Abdul Ahad</v>
      </c>
      <c r="E47" s="168">
        <f>'[6]Computer Network'!D60</f>
        <v>0</v>
      </c>
      <c r="F47" s="168"/>
      <c r="G47" s="229">
        <f t="shared" si="4"/>
        <v>0</v>
      </c>
      <c r="H47" s="249">
        <v>0</v>
      </c>
      <c r="I47" s="249">
        <v>0</v>
      </c>
      <c r="J47" s="249"/>
      <c r="K47" s="249"/>
      <c r="L47" s="229">
        <f>'[6]Computer Network'!E60</f>
        <v>0</v>
      </c>
      <c r="M47" s="168">
        <f>'[6]Computer Network'!F60</f>
        <v>0</v>
      </c>
      <c r="N47" s="249"/>
      <c r="O47" s="229">
        <f t="shared" si="5"/>
        <v>0</v>
      </c>
      <c r="P47" s="250">
        <v>0</v>
      </c>
      <c r="Q47" s="249">
        <v>0</v>
      </c>
      <c r="R47" s="249"/>
      <c r="S47" s="242"/>
      <c r="T47" s="229">
        <f>'[6]Computer Network'!G60</f>
        <v>0</v>
      </c>
      <c r="U47" s="243">
        <f>'[6]Computer Network'!H60</f>
        <v>0</v>
      </c>
      <c r="V47" s="241"/>
      <c r="W47" s="229">
        <f t="shared" si="6"/>
        <v>0</v>
      </c>
      <c r="X47" s="229">
        <f t="shared" si="0"/>
        <v>0</v>
      </c>
      <c r="Y47" s="244">
        <f t="shared" si="1"/>
        <v>0</v>
      </c>
      <c r="Z47" s="244">
        <f t="shared" si="2"/>
        <v>0</v>
      </c>
      <c r="AA47" s="244">
        <f t="shared" si="3"/>
        <v>0</v>
      </c>
      <c r="AB47" s="244">
        <f t="shared" si="7"/>
        <v>0</v>
      </c>
      <c r="AC47" s="244" t="str">
        <f t="shared" si="8"/>
        <v>N</v>
      </c>
      <c r="AD47" s="244" t="str">
        <f t="shared" si="9"/>
        <v>N</v>
      </c>
      <c r="AE47" s="280">
        <f t="shared" si="10"/>
        <v>0</v>
      </c>
      <c r="AF47" s="277">
        <f t="shared" si="11"/>
        <v>0</v>
      </c>
      <c r="AG47" s="222"/>
    </row>
    <row r="48" spans="1:33" ht="15.75" x14ac:dyDescent="0.25">
      <c r="A48" s="245"/>
      <c r="B48" s="246"/>
      <c r="C48" s="166" t="str">
        <f>'[6]Computer Network'!A61</f>
        <v>2023-IT-66</v>
      </c>
      <c r="D48" s="166" t="str">
        <f>'[6]Computer Network'!B61</f>
        <v>Muhammad Haris Javed</v>
      </c>
      <c r="E48" s="168">
        <f>'[6]Computer Network'!D61</f>
        <v>9</v>
      </c>
      <c r="F48" s="168"/>
      <c r="G48" s="229">
        <f t="shared" si="4"/>
        <v>9</v>
      </c>
      <c r="H48" s="249">
        <v>5</v>
      </c>
      <c r="I48" s="249">
        <v>10</v>
      </c>
      <c r="J48" s="249"/>
      <c r="K48" s="249"/>
      <c r="L48" s="229">
        <f>'[6]Computer Network'!E61</f>
        <v>15</v>
      </c>
      <c r="M48" s="168">
        <f>'[6]Computer Network'!F61</f>
        <v>7</v>
      </c>
      <c r="N48" s="249"/>
      <c r="O48" s="229">
        <f t="shared" si="5"/>
        <v>7</v>
      </c>
      <c r="P48" s="250">
        <v>10</v>
      </c>
      <c r="Q48" s="249">
        <v>19</v>
      </c>
      <c r="R48" s="249"/>
      <c r="S48" s="242"/>
      <c r="T48" s="229">
        <f>'[6]Computer Network'!G61</f>
        <v>29</v>
      </c>
      <c r="U48" s="243">
        <f>'[6]Computer Network'!H61</f>
        <v>8</v>
      </c>
      <c r="V48" s="241"/>
      <c r="W48" s="229">
        <f t="shared" si="6"/>
        <v>8</v>
      </c>
      <c r="X48" s="229">
        <f t="shared" si="0"/>
        <v>68</v>
      </c>
      <c r="Y48" s="244">
        <f t="shared" si="1"/>
        <v>0</v>
      </c>
      <c r="Z48" s="244">
        <f t="shared" si="2"/>
        <v>34</v>
      </c>
      <c r="AA48" s="244">
        <f t="shared" si="3"/>
        <v>34</v>
      </c>
      <c r="AB48" s="244">
        <f t="shared" si="7"/>
        <v>0</v>
      </c>
      <c r="AC48" s="244" t="str">
        <f t="shared" si="8"/>
        <v>Y</v>
      </c>
      <c r="AD48" s="244" t="str">
        <f t="shared" si="9"/>
        <v>Y</v>
      </c>
      <c r="AE48" s="280">
        <f t="shared" si="10"/>
        <v>56.666666666666664</v>
      </c>
      <c r="AF48" s="277">
        <f t="shared" si="11"/>
        <v>85</v>
      </c>
      <c r="AG48" s="222"/>
    </row>
    <row r="49" spans="1:33" ht="15.75" x14ac:dyDescent="0.25">
      <c r="A49" s="245"/>
      <c r="B49" s="246"/>
      <c r="C49" s="166" t="str">
        <f>'[6]Computer Network'!A62</f>
        <v>2023-IT-68</v>
      </c>
      <c r="D49" s="166" t="str">
        <f>'[6]Computer Network'!B62</f>
        <v>Muhammad Mubashir</v>
      </c>
      <c r="E49" s="168">
        <f>'[6]Computer Network'!D62</f>
        <v>9</v>
      </c>
      <c r="F49" s="168"/>
      <c r="G49" s="229">
        <f t="shared" si="4"/>
        <v>9</v>
      </c>
      <c r="H49" s="249">
        <v>8</v>
      </c>
      <c r="I49" s="249">
        <v>12</v>
      </c>
      <c r="J49" s="249"/>
      <c r="K49" s="249"/>
      <c r="L49" s="229">
        <f>'[6]Computer Network'!E62</f>
        <v>20</v>
      </c>
      <c r="M49" s="168">
        <f>'[6]Computer Network'!F62</f>
        <v>6</v>
      </c>
      <c r="N49" s="249"/>
      <c r="O49" s="229">
        <f t="shared" si="5"/>
        <v>6</v>
      </c>
      <c r="P49" s="250">
        <v>16</v>
      </c>
      <c r="Q49" s="249">
        <v>15</v>
      </c>
      <c r="R49" s="249"/>
      <c r="S49" s="242"/>
      <c r="T49" s="229">
        <f>'[6]Computer Network'!G62</f>
        <v>31</v>
      </c>
      <c r="U49" s="243">
        <f>'[6]Computer Network'!H62</f>
        <v>8</v>
      </c>
      <c r="V49" s="241"/>
      <c r="W49" s="229">
        <f t="shared" si="6"/>
        <v>8</v>
      </c>
      <c r="X49" s="229">
        <f t="shared" si="0"/>
        <v>74</v>
      </c>
      <c r="Y49" s="244">
        <f t="shared" si="1"/>
        <v>0</v>
      </c>
      <c r="Z49" s="244">
        <f t="shared" si="2"/>
        <v>45</v>
      </c>
      <c r="AA49" s="244">
        <f t="shared" si="3"/>
        <v>29</v>
      </c>
      <c r="AB49" s="244">
        <f t="shared" si="7"/>
        <v>0</v>
      </c>
      <c r="AC49" s="244" t="str">
        <f t="shared" si="8"/>
        <v>Y</v>
      </c>
      <c r="AD49" s="244" t="str">
        <f t="shared" si="9"/>
        <v>Y</v>
      </c>
      <c r="AE49" s="280">
        <f t="shared" si="10"/>
        <v>75</v>
      </c>
      <c r="AF49" s="277">
        <f t="shared" si="11"/>
        <v>72.5</v>
      </c>
      <c r="AG49" s="222"/>
    </row>
    <row r="50" spans="1:33" ht="15.75" x14ac:dyDescent="0.25">
      <c r="A50" s="245"/>
      <c r="B50" s="246"/>
      <c r="C50" s="166" t="str">
        <f>'[6]Computer Network'!A63</f>
        <v>2023-IT-70</v>
      </c>
      <c r="D50" s="166" t="str">
        <f>'[6]Computer Network'!B63</f>
        <v>Muhammad Usama</v>
      </c>
      <c r="E50" s="168">
        <f>'[6]Computer Network'!D63</f>
        <v>0</v>
      </c>
      <c r="F50" s="168"/>
      <c r="G50" s="229">
        <f t="shared" si="4"/>
        <v>0</v>
      </c>
      <c r="H50" s="249">
        <v>0</v>
      </c>
      <c r="I50" s="249">
        <v>0</v>
      </c>
      <c r="J50" s="249"/>
      <c r="K50" s="249"/>
      <c r="L50" s="229">
        <f>'[6]Computer Network'!E63</f>
        <v>0</v>
      </c>
      <c r="M50" s="168">
        <f>'[6]Computer Network'!F63</f>
        <v>0</v>
      </c>
      <c r="N50" s="249"/>
      <c r="O50" s="229">
        <f t="shared" si="5"/>
        <v>0</v>
      </c>
      <c r="P50" s="250">
        <v>0</v>
      </c>
      <c r="Q50" s="249">
        <v>0</v>
      </c>
      <c r="R50" s="249"/>
      <c r="S50" s="242"/>
      <c r="T50" s="229">
        <f>'[6]Computer Network'!G63</f>
        <v>0</v>
      </c>
      <c r="U50" s="243">
        <f>'[6]Computer Network'!H63</f>
        <v>0</v>
      </c>
      <c r="V50" s="241"/>
      <c r="W50" s="229">
        <f t="shared" si="6"/>
        <v>0</v>
      </c>
      <c r="X50" s="229">
        <f t="shared" ref="X50:X56" si="12">SUM(G50+L50+O50+T50+W50)</f>
        <v>0</v>
      </c>
      <c r="Y50" s="244">
        <f t="shared" si="1"/>
        <v>0</v>
      </c>
      <c r="Z50" s="244">
        <f t="shared" si="2"/>
        <v>0</v>
      </c>
      <c r="AA50" s="244">
        <f t="shared" si="3"/>
        <v>0</v>
      </c>
      <c r="AB50" s="244">
        <f t="shared" si="7"/>
        <v>0</v>
      </c>
      <c r="AC50" s="244" t="str">
        <f t="shared" si="8"/>
        <v>N</v>
      </c>
      <c r="AD50" s="244" t="str">
        <f t="shared" si="9"/>
        <v>N</v>
      </c>
      <c r="AE50" s="280">
        <f t="shared" si="10"/>
        <v>0</v>
      </c>
      <c r="AF50" s="277">
        <f t="shared" si="11"/>
        <v>0</v>
      </c>
      <c r="AG50" s="222"/>
    </row>
    <row r="51" spans="1:33" ht="15.75" x14ac:dyDescent="0.25">
      <c r="A51" s="245"/>
      <c r="B51" s="246"/>
      <c r="C51" s="166" t="str">
        <f>'[6]Computer Network'!A64</f>
        <v>2023-IT-72</v>
      </c>
      <c r="D51" s="166" t="str">
        <f>'[6]Computer Network'!B64</f>
        <v>Muhammad Zohaib Akhtar</v>
      </c>
      <c r="E51" s="168">
        <f>'[6]Computer Network'!D64</f>
        <v>8</v>
      </c>
      <c r="F51" s="168"/>
      <c r="G51" s="229">
        <f t="shared" si="4"/>
        <v>8</v>
      </c>
      <c r="H51" s="249">
        <v>7</v>
      </c>
      <c r="I51" s="249">
        <v>12</v>
      </c>
      <c r="J51" s="249"/>
      <c r="K51" s="249"/>
      <c r="L51" s="229">
        <f>'[6]Computer Network'!E64</f>
        <v>19</v>
      </c>
      <c r="M51" s="168">
        <f>'[6]Computer Network'!F64</f>
        <v>9</v>
      </c>
      <c r="N51" s="249"/>
      <c r="O51" s="229">
        <f t="shared" si="5"/>
        <v>9</v>
      </c>
      <c r="P51" s="250">
        <v>8</v>
      </c>
      <c r="Q51" s="249">
        <v>15</v>
      </c>
      <c r="R51" s="249"/>
      <c r="S51" s="242"/>
      <c r="T51" s="229">
        <f>'[6]Computer Network'!G64</f>
        <v>23</v>
      </c>
      <c r="U51" s="243">
        <f>'[6]Computer Network'!H64</f>
        <v>7</v>
      </c>
      <c r="V51" s="241"/>
      <c r="W51" s="229">
        <f t="shared" si="6"/>
        <v>7</v>
      </c>
      <c r="X51" s="229">
        <f t="shared" si="12"/>
        <v>66</v>
      </c>
      <c r="Y51" s="244">
        <f t="shared" si="1"/>
        <v>0</v>
      </c>
      <c r="Z51" s="244">
        <f t="shared" si="2"/>
        <v>35</v>
      </c>
      <c r="AA51" s="244">
        <f t="shared" si="3"/>
        <v>31</v>
      </c>
      <c r="AB51" s="244">
        <f t="shared" si="7"/>
        <v>0</v>
      </c>
      <c r="AC51" s="244" t="str">
        <f t="shared" si="8"/>
        <v>Y</v>
      </c>
      <c r="AD51" s="244" t="str">
        <f t="shared" si="9"/>
        <v>Y</v>
      </c>
      <c r="AE51" s="280">
        <f t="shared" si="10"/>
        <v>58.333333333333336</v>
      </c>
      <c r="AF51" s="277">
        <f t="shared" si="11"/>
        <v>77.5</v>
      </c>
      <c r="AG51" s="222"/>
    </row>
    <row r="52" spans="1:33" ht="15.75" x14ac:dyDescent="0.25">
      <c r="A52" s="245"/>
      <c r="B52" s="246"/>
      <c r="C52" s="166" t="str">
        <f>'[6]Computer Network'!A65</f>
        <v>2023-IT-74</v>
      </c>
      <c r="D52" s="166" t="str">
        <f>'[6]Computer Network'!B65</f>
        <v>Ashir Mudassir</v>
      </c>
      <c r="E52" s="168">
        <f>'[6]Computer Network'!D65</f>
        <v>9</v>
      </c>
      <c r="F52" s="168"/>
      <c r="G52" s="229">
        <f t="shared" si="4"/>
        <v>9</v>
      </c>
      <c r="H52" s="249">
        <v>5</v>
      </c>
      <c r="I52" s="249">
        <v>12</v>
      </c>
      <c r="J52" s="249"/>
      <c r="K52" s="249"/>
      <c r="L52" s="229">
        <f>'[6]Computer Network'!E65</f>
        <v>17</v>
      </c>
      <c r="M52" s="168">
        <f>'[6]Computer Network'!F65</f>
        <v>6</v>
      </c>
      <c r="N52" s="249"/>
      <c r="O52" s="229">
        <f t="shared" si="5"/>
        <v>6</v>
      </c>
      <c r="P52" s="250">
        <v>10</v>
      </c>
      <c r="Q52" s="249">
        <v>18</v>
      </c>
      <c r="R52" s="249"/>
      <c r="S52" s="242"/>
      <c r="T52" s="229">
        <f>'[6]Computer Network'!G65</f>
        <v>28</v>
      </c>
      <c r="U52" s="243">
        <f>'[6]Computer Network'!H65</f>
        <v>6</v>
      </c>
      <c r="V52" s="241"/>
      <c r="W52" s="229">
        <f t="shared" si="6"/>
        <v>6</v>
      </c>
      <c r="X52" s="229">
        <f t="shared" si="12"/>
        <v>66</v>
      </c>
      <c r="Y52" s="244">
        <f t="shared" si="1"/>
        <v>0</v>
      </c>
      <c r="Z52" s="244">
        <f t="shared" si="2"/>
        <v>36</v>
      </c>
      <c r="AA52" s="244">
        <f t="shared" si="3"/>
        <v>30</v>
      </c>
      <c r="AB52" s="244">
        <f t="shared" si="7"/>
        <v>0</v>
      </c>
      <c r="AC52" s="244" t="str">
        <f t="shared" si="8"/>
        <v>Y</v>
      </c>
      <c r="AD52" s="244" t="str">
        <f t="shared" si="9"/>
        <v>Y</v>
      </c>
      <c r="AE52" s="280">
        <f t="shared" si="10"/>
        <v>60</v>
      </c>
      <c r="AF52" s="277">
        <f t="shared" si="11"/>
        <v>75</v>
      </c>
      <c r="AG52" s="222"/>
    </row>
    <row r="53" spans="1:33" ht="15.75" x14ac:dyDescent="0.25">
      <c r="A53" s="245"/>
      <c r="B53" s="246"/>
      <c r="C53" s="166" t="str">
        <f>'[6]Computer Network'!A66</f>
        <v>2023-IT-76</v>
      </c>
      <c r="D53" s="166" t="str">
        <f>'[6]Computer Network'!B66</f>
        <v>Rao Usama</v>
      </c>
      <c r="E53" s="168">
        <f>'[6]Computer Network'!D66</f>
        <v>7</v>
      </c>
      <c r="F53" s="168"/>
      <c r="G53" s="229">
        <f t="shared" si="4"/>
        <v>7</v>
      </c>
      <c r="H53" s="249">
        <v>4</v>
      </c>
      <c r="I53" s="249">
        <v>6</v>
      </c>
      <c r="J53" s="249"/>
      <c r="K53" s="249"/>
      <c r="L53" s="229">
        <f>'[6]Computer Network'!E66</f>
        <v>10</v>
      </c>
      <c r="M53" s="168">
        <f>'[6]Computer Network'!F66</f>
        <v>8</v>
      </c>
      <c r="N53" s="249"/>
      <c r="O53" s="229">
        <f t="shared" si="5"/>
        <v>8</v>
      </c>
      <c r="P53" s="250">
        <v>13</v>
      </c>
      <c r="Q53" s="249">
        <v>13</v>
      </c>
      <c r="R53" s="249"/>
      <c r="S53" s="242"/>
      <c r="T53" s="229">
        <f>'[6]Computer Network'!G66</f>
        <v>26</v>
      </c>
      <c r="U53" s="243">
        <f>'[6]Computer Network'!H66</f>
        <v>6</v>
      </c>
      <c r="V53" s="241"/>
      <c r="W53" s="229">
        <f t="shared" si="6"/>
        <v>6</v>
      </c>
      <c r="X53" s="229">
        <f t="shared" si="12"/>
        <v>57</v>
      </c>
      <c r="Y53" s="244">
        <f t="shared" si="1"/>
        <v>0</v>
      </c>
      <c r="Z53" s="244">
        <f t="shared" si="2"/>
        <v>30</v>
      </c>
      <c r="AA53" s="244">
        <f t="shared" si="3"/>
        <v>27</v>
      </c>
      <c r="AB53" s="244">
        <f t="shared" si="7"/>
        <v>0</v>
      </c>
      <c r="AC53" s="244" t="str">
        <f t="shared" si="8"/>
        <v>Y</v>
      </c>
      <c r="AD53" s="244" t="str">
        <f t="shared" si="9"/>
        <v>Y</v>
      </c>
      <c r="AE53" s="280">
        <f t="shared" si="10"/>
        <v>50</v>
      </c>
      <c r="AF53" s="277">
        <f t="shared" si="11"/>
        <v>67.5</v>
      </c>
      <c r="AG53" s="222"/>
    </row>
    <row r="54" spans="1:33" ht="15.75" x14ac:dyDescent="0.25">
      <c r="A54" s="245"/>
      <c r="B54" s="246"/>
      <c r="C54" s="166" t="str">
        <f>'[6]Computer Network'!A67</f>
        <v>2023-IT-78</v>
      </c>
      <c r="D54" s="166" t="str">
        <f>'[6]Computer Network'!B67</f>
        <v>Muhammad Zaman</v>
      </c>
      <c r="E54" s="168">
        <f>'[6]Computer Network'!D67</f>
        <v>6</v>
      </c>
      <c r="F54" s="168"/>
      <c r="G54" s="229">
        <f t="shared" si="4"/>
        <v>6</v>
      </c>
      <c r="H54" s="249">
        <v>4</v>
      </c>
      <c r="I54" s="249">
        <v>8</v>
      </c>
      <c r="J54" s="249"/>
      <c r="K54" s="249"/>
      <c r="L54" s="229">
        <f>'[6]Computer Network'!E67</f>
        <v>12</v>
      </c>
      <c r="M54" s="168">
        <f>'[6]Computer Network'!F67</f>
        <v>8</v>
      </c>
      <c r="N54" s="249"/>
      <c r="O54" s="229">
        <f t="shared" si="5"/>
        <v>8</v>
      </c>
      <c r="P54" s="250">
        <v>10</v>
      </c>
      <c r="Q54" s="249">
        <v>10</v>
      </c>
      <c r="R54" s="249"/>
      <c r="S54" s="242"/>
      <c r="T54" s="229">
        <f>'[6]Computer Network'!G67</f>
        <v>20</v>
      </c>
      <c r="U54" s="243">
        <f>'[6]Computer Network'!H67</f>
        <v>7</v>
      </c>
      <c r="V54" s="241"/>
      <c r="W54" s="229">
        <f t="shared" si="6"/>
        <v>7</v>
      </c>
      <c r="X54" s="229">
        <f t="shared" si="12"/>
        <v>53</v>
      </c>
      <c r="Y54" s="244">
        <f t="shared" si="1"/>
        <v>0</v>
      </c>
      <c r="Z54" s="244">
        <f t="shared" si="2"/>
        <v>28</v>
      </c>
      <c r="AA54" s="244">
        <f t="shared" si="3"/>
        <v>25</v>
      </c>
      <c r="AB54" s="244">
        <f t="shared" si="7"/>
        <v>0</v>
      </c>
      <c r="AC54" s="244" t="str">
        <f t="shared" si="8"/>
        <v>N</v>
      </c>
      <c r="AD54" s="244" t="str">
        <f t="shared" si="9"/>
        <v>Y</v>
      </c>
      <c r="AE54" s="280">
        <f t="shared" si="10"/>
        <v>46.666666666666664</v>
      </c>
      <c r="AF54" s="277">
        <f t="shared" si="11"/>
        <v>62.5</v>
      </c>
      <c r="AG54" s="222"/>
    </row>
    <row r="55" spans="1:33" ht="15.75" x14ac:dyDescent="0.25">
      <c r="A55" s="245"/>
      <c r="B55" s="246"/>
      <c r="C55" s="166" t="str">
        <f>'[6]Computer Network'!A68</f>
        <v>2023-IT-79</v>
      </c>
      <c r="D55" s="166" t="str">
        <f>'[6]Computer Network'!B68</f>
        <v>Iqra Moeen</v>
      </c>
      <c r="E55" s="168">
        <f>'[6]Computer Network'!D68</f>
        <v>6</v>
      </c>
      <c r="F55" s="168"/>
      <c r="G55" s="229">
        <f t="shared" si="4"/>
        <v>6</v>
      </c>
      <c r="H55" s="249">
        <v>4</v>
      </c>
      <c r="I55" s="249">
        <v>8</v>
      </c>
      <c r="J55" s="249"/>
      <c r="K55" s="249"/>
      <c r="L55" s="229">
        <f>'[6]Computer Network'!E68</f>
        <v>12</v>
      </c>
      <c r="M55" s="168">
        <f>'[6]Computer Network'!F68</f>
        <v>7</v>
      </c>
      <c r="N55" s="249"/>
      <c r="O55" s="229">
        <f t="shared" si="5"/>
        <v>7</v>
      </c>
      <c r="P55" s="250">
        <v>13</v>
      </c>
      <c r="Q55" s="249">
        <v>13</v>
      </c>
      <c r="R55" s="249"/>
      <c r="S55" s="242"/>
      <c r="T55" s="229">
        <f>'[6]Computer Network'!G68</f>
        <v>26</v>
      </c>
      <c r="U55" s="243">
        <f>'[6]Computer Network'!H68</f>
        <v>5</v>
      </c>
      <c r="V55" s="241"/>
      <c r="W55" s="229">
        <f t="shared" si="6"/>
        <v>5</v>
      </c>
      <c r="X55" s="229">
        <f t="shared" si="12"/>
        <v>56</v>
      </c>
      <c r="Y55" s="244">
        <f t="shared" si="1"/>
        <v>0</v>
      </c>
      <c r="Z55" s="244">
        <f t="shared" si="2"/>
        <v>31</v>
      </c>
      <c r="AA55" s="244">
        <f t="shared" si="3"/>
        <v>25</v>
      </c>
      <c r="AB55" s="244">
        <f t="shared" si="7"/>
        <v>0</v>
      </c>
      <c r="AC55" s="244" t="str">
        <f t="shared" si="8"/>
        <v>Y</v>
      </c>
      <c r="AD55" s="244" t="str">
        <f t="shared" si="9"/>
        <v>Y</v>
      </c>
      <c r="AE55" s="280">
        <f t="shared" si="10"/>
        <v>51.666666666666671</v>
      </c>
      <c r="AF55" s="277">
        <f t="shared" si="11"/>
        <v>62.5</v>
      </c>
      <c r="AG55" s="222"/>
    </row>
    <row r="56" spans="1:33" ht="15.75" x14ac:dyDescent="0.25">
      <c r="A56" s="251"/>
      <c r="B56" s="252"/>
      <c r="C56" s="166" t="str">
        <f>'[6]Computer Network'!A69</f>
        <v>2023-IT-80</v>
      </c>
      <c r="D56" s="166" t="str">
        <f>'[6]Computer Network'!B69</f>
        <v>Ali Raza</v>
      </c>
      <c r="E56" s="168">
        <f>'[6]Computer Network'!D69</f>
        <v>7</v>
      </c>
      <c r="F56" s="168"/>
      <c r="G56" s="229">
        <f t="shared" si="4"/>
        <v>7</v>
      </c>
      <c r="H56" s="249">
        <v>8</v>
      </c>
      <c r="I56" s="249">
        <v>10</v>
      </c>
      <c r="J56" s="249"/>
      <c r="K56" s="249"/>
      <c r="L56" s="229">
        <f>'[6]Computer Network'!E69</f>
        <v>18</v>
      </c>
      <c r="M56" s="168">
        <f>'[6]Computer Network'!F69</f>
        <v>8</v>
      </c>
      <c r="N56" s="249"/>
      <c r="O56" s="229">
        <f t="shared" si="5"/>
        <v>8</v>
      </c>
      <c r="P56" s="250">
        <v>14</v>
      </c>
      <c r="Q56" s="249">
        <v>14</v>
      </c>
      <c r="R56" s="249"/>
      <c r="S56" s="242"/>
      <c r="T56" s="229">
        <f>'[6]Computer Network'!G69</f>
        <v>28</v>
      </c>
      <c r="U56" s="243">
        <f>'[6]Computer Network'!H69</f>
        <v>8</v>
      </c>
      <c r="V56" s="241"/>
      <c r="W56" s="229">
        <f t="shared" si="6"/>
        <v>8</v>
      </c>
      <c r="X56" s="229">
        <f t="shared" si="12"/>
        <v>69</v>
      </c>
      <c r="Y56" s="244">
        <f t="shared" si="1"/>
        <v>0</v>
      </c>
      <c r="Z56" s="244">
        <f t="shared" si="2"/>
        <v>39</v>
      </c>
      <c r="AA56" s="244">
        <f t="shared" si="3"/>
        <v>30</v>
      </c>
      <c r="AB56" s="244">
        <f t="shared" si="7"/>
        <v>0</v>
      </c>
      <c r="AC56" s="244" t="str">
        <f t="shared" si="8"/>
        <v>Y</v>
      </c>
      <c r="AD56" s="244" t="str">
        <f t="shared" si="9"/>
        <v>Y</v>
      </c>
      <c r="AE56" s="280">
        <f t="shared" si="10"/>
        <v>65</v>
      </c>
      <c r="AF56" s="277">
        <f t="shared" si="11"/>
        <v>75</v>
      </c>
      <c r="AG56" s="222"/>
    </row>
    <row r="57" spans="1:33" ht="15.75" x14ac:dyDescent="0.25">
      <c r="A57" s="251"/>
      <c r="B57" s="252"/>
      <c r="C57" s="529" t="s">
        <v>243</v>
      </c>
      <c r="D57" s="530"/>
      <c r="E57" s="531"/>
      <c r="F57" s="260" t="str">
        <f>Y11</f>
        <v>PLO1</v>
      </c>
      <c r="G57" s="261">
        <f>COUNTIF($AB$13:$AB$55,"Y")</f>
        <v>0</v>
      </c>
      <c r="H57" s="261">
        <f>COUNTIF($AB$13:$AB$55,"N")</f>
        <v>0</v>
      </c>
      <c r="J57" s="253"/>
      <c r="K57" s="253"/>
      <c r="L57" s="253"/>
      <c r="M57" s="253"/>
      <c r="N57" s="253"/>
      <c r="O57" s="253"/>
      <c r="P57" s="256"/>
      <c r="Q57" s="253"/>
      <c r="R57" s="253"/>
      <c r="S57" s="257"/>
      <c r="T57" s="257"/>
      <c r="U57" s="257"/>
      <c r="V57" s="257"/>
      <c r="W57" s="257"/>
      <c r="X57" s="258"/>
      <c r="Y57" s="258"/>
      <c r="Z57" s="258"/>
      <c r="AA57" s="258"/>
      <c r="AB57" s="259"/>
      <c r="AC57" s="259"/>
      <c r="AD57" s="259"/>
      <c r="AE57" s="222"/>
      <c r="AF57" s="222"/>
      <c r="AG57" s="222"/>
    </row>
    <row r="58" spans="1:33" x14ac:dyDescent="0.25">
      <c r="A58" s="251"/>
      <c r="B58" s="252"/>
      <c r="C58" s="532"/>
      <c r="D58" s="533"/>
      <c r="E58" s="534"/>
      <c r="F58" s="260" t="str">
        <f>Z11</f>
        <v>PLO2</v>
      </c>
      <c r="G58" s="261">
        <f>COUNTIF($AC$13:$AC$55,"Y")</f>
        <v>35</v>
      </c>
      <c r="H58" s="261">
        <f>COUNTIF($AC$13:$AC$55,"N")</f>
        <v>8</v>
      </c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</row>
    <row r="59" spans="1:33" x14ac:dyDescent="0.25">
      <c r="A59" s="251"/>
      <c r="B59" s="252"/>
      <c r="C59" s="535"/>
      <c r="D59" s="536"/>
      <c r="E59" s="537"/>
      <c r="F59" s="260" t="str">
        <f>AA11</f>
        <v>PLO3</v>
      </c>
      <c r="G59" s="261">
        <f>COUNTIF($AD$13:$AD$55,"Y")</f>
        <v>37</v>
      </c>
      <c r="H59" s="261">
        <f>COUNTIF($AD$13:$AD$55,"N")</f>
        <v>6</v>
      </c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</row>
    <row r="60" spans="1:33" x14ac:dyDescent="0.25">
      <c r="A60" s="262">
        <v>9</v>
      </c>
      <c r="B60" s="263" t="s">
        <v>244</v>
      </c>
      <c r="C60" s="222"/>
      <c r="D60" s="264"/>
      <c r="E60" s="264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</row>
    <row r="61" spans="1:33" ht="33.950000000000003" customHeight="1" x14ac:dyDescent="0.25">
      <c r="A61" s="262">
        <v>10</v>
      </c>
      <c r="B61" s="263" t="s">
        <v>245</v>
      </c>
      <c r="C61" s="222"/>
      <c r="D61" s="264"/>
      <c r="E61" s="264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</row>
    <row r="62" spans="1:33" x14ac:dyDescent="0.25">
      <c r="A62" s="262">
        <v>11</v>
      </c>
      <c r="B62" s="263" t="s">
        <v>246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</row>
    <row r="63" spans="1:33" ht="31.5" customHeight="1" x14ac:dyDescent="0.25">
      <c r="A63" s="262">
        <v>12</v>
      </c>
      <c r="B63" s="263" t="s">
        <v>247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</row>
    <row r="64" spans="1:33" x14ac:dyDescent="0.25">
      <c r="A64" s="262">
        <v>13</v>
      </c>
      <c r="B64" s="263" t="s">
        <v>248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</row>
    <row r="65" spans="1:33" x14ac:dyDescent="0.25">
      <c r="A65" s="262">
        <v>14</v>
      </c>
      <c r="B65" s="263" t="s">
        <v>249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</row>
    <row r="66" spans="1:33" x14ac:dyDescent="0.25">
      <c r="A66" s="262">
        <v>15</v>
      </c>
      <c r="B66" s="263" t="s">
        <v>250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</row>
    <row r="67" spans="1:33" ht="32.1" customHeight="1" x14ac:dyDescent="0.25">
      <c r="A67" s="262">
        <v>16</v>
      </c>
      <c r="B67" s="263" t="s">
        <v>251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</row>
    <row r="68" spans="1:33" x14ac:dyDescent="0.25">
      <c r="A68" s="262">
        <v>17</v>
      </c>
      <c r="B68" s="263" t="s">
        <v>252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</row>
    <row r="69" spans="1:33" x14ac:dyDescent="0.25">
      <c r="A69" s="262">
        <v>18</v>
      </c>
      <c r="B69" s="263" t="s">
        <v>253</v>
      </c>
      <c r="C69" s="222"/>
      <c r="AE69" s="222"/>
      <c r="AF69" s="222"/>
      <c r="AG69" s="222"/>
    </row>
    <row r="70" spans="1:33" x14ac:dyDescent="0.25">
      <c r="A70" s="262">
        <v>19</v>
      </c>
      <c r="B70" s="263" t="s">
        <v>254</v>
      </c>
      <c r="C70" s="222"/>
      <c r="AE70" s="222"/>
      <c r="AF70" s="222"/>
      <c r="AG70" s="222"/>
    </row>
    <row r="71" spans="1:33" x14ac:dyDescent="0.25">
      <c r="A71" s="262">
        <v>20</v>
      </c>
      <c r="B71" s="263" t="s">
        <v>255</v>
      </c>
      <c r="C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</row>
    <row r="72" spans="1:33" x14ac:dyDescent="0.25">
      <c r="A72" s="262">
        <v>21</v>
      </c>
      <c r="B72" s="263" t="s">
        <v>256</v>
      </c>
      <c r="C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</row>
    <row r="73" spans="1:33" x14ac:dyDescent="0.25">
      <c r="A73" s="262">
        <v>22</v>
      </c>
      <c r="B73" s="263" t="s">
        <v>257</v>
      </c>
      <c r="C73" s="222"/>
      <c r="D73" s="265"/>
      <c r="E73" s="265"/>
      <c r="F73" s="538" t="s">
        <v>30</v>
      </c>
      <c r="G73" s="539"/>
      <c r="H73" s="539"/>
      <c r="I73" s="539"/>
      <c r="J73" s="539"/>
      <c r="K73" s="539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538" t="s">
        <v>31</v>
      </c>
      <c r="W73" s="538"/>
      <c r="X73" s="538"/>
      <c r="Y73" s="538"/>
      <c r="Z73" s="538"/>
      <c r="AA73" s="538"/>
      <c r="AB73" s="538"/>
      <c r="AC73" s="265"/>
      <c r="AD73" s="265"/>
      <c r="AE73" s="222"/>
      <c r="AF73" s="222"/>
      <c r="AG73" s="222"/>
    </row>
    <row r="74" spans="1:33" x14ac:dyDescent="0.25">
      <c r="A74" s="262">
        <v>23</v>
      </c>
      <c r="B74" s="263" t="s">
        <v>258</v>
      </c>
      <c r="C74" s="222"/>
      <c r="D74" s="222"/>
      <c r="E74" s="222"/>
      <c r="F74" s="539" t="str">
        <f>J5</f>
        <v>Name: Mr. Arbab Haider</v>
      </c>
      <c r="G74" s="539"/>
      <c r="H74" s="539"/>
      <c r="I74" s="539"/>
      <c r="J74" s="539"/>
      <c r="K74" s="539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539" t="s">
        <v>259</v>
      </c>
      <c r="W74" s="539"/>
      <c r="X74" s="539"/>
      <c r="Y74" s="539"/>
      <c r="Z74" s="539"/>
      <c r="AA74" s="539"/>
      <c r="AB74" s="539"/>
      <c r="AC74" s="222"/>
      <c r="AD74" s="222"/>
      <c r="AE74" s="222"/>
      <c r="AF74" s="222"/>
      <c r="AG74" s="222"/>
    </row>
    <row r="75" spans="1:33" x14ac:dyDescent="0.25">
      <c r="A75" s="262">
        <v>24</v>
      </c>
      <c r="B75" s="263" t="s">
        <v>260</v>
      </c>
      <c r="C75" s="222"/>
      <c r="D75" s="264"/>
      <c r="E75" s="264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</row>
    <row r="76" spans="1:33" x14ac:dyDescent="0.25">
      <c r="A76" s="262">
        <v>25</v>
      </c>
      <c r="B76" s="263" t="s">
        <v>261</v>
      </c>
      <c r="C76" s="222"/>
      <c r="D76" s="264"/>
      <c r="E76" s="264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</row>
    <row r="77" spans="1:33" ht="15.75" thickBot="1" x14ac:dyDescent="0.3">
      <c r="A77" s="266">
        <v>26</v>
      </c>
      <c r="B77" s="267" t="s">
        <v>262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</row>
    <row r="78" spans="1:33" x14ac:dyDescent="0.25">
      <c r="D78" s="264"/>
      <c r="E78" s="264"/>
    </row>
    <row r="79" spans="1:33" x14ac:dyDescent="0.25">
      <c r="D79" s="264"/>
      <c r="E79" s="264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</sheetData>
  <protectedRanges>
    <protectedRange sqref="H10:K49 P10:S49 E10:F49 M10:N49 U10:V49" name="questions maping clo plo"/>
    <protectedRange sqref="C3:L6" name="Course Information"/>
    <protectedRange sqref="Y11:AA11" name="plo assesment"/>
    <protectedRange sqref="H50:K56 P50:S56 E50:F56 M50:N56 U50:V56" name="questions maping clo plo_1"/>
  </protectedRanges>
  <mergeCells count="38">
    <mergeCell ref="C57:E59"/>
    <mergeCell ref="F73:K73"/>
    <mergeCell ref="V73:AB73"/>
    <mergeCell ref="F74:K74"/>
    <mergeCell ref="V74:AB74"/>
    <mergeCell ref="AE10:AF10"/>
    <mergeCell ref="AB9:AD9"/>
    <mergeCell ref="C10:D10"/>
    <mergeCell ref="X10:X12"/>
    <mergeCell ref="C11:D11"/>
    <mergeCell ref="G11:G12"/>
    <mergeCell ref="L11:L12"/>
    <mergeCell ref="O11:O12"/>
    <mergeCell ref="T11:T12"/>
    <mergeCell ref="W11:W12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F0FE-932C-42E7-AA80-9E02DF80E26B}">
  <sheetPr>
    <pageSetUpPr fitToPage="1"/>
  </sheetPr>
  <dimension ref="A1:AG88"/>
  <sheetViews>
    <sheetView topLeftCell="E8" zoomScale="80" zoomScaleNormal="80" workbookViewId="0">
      <selection activeCell="AE56" sqref="AE56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31" width="11.42578125" style="220" bestFit="1" customWidth="1"/>
    <col min="32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s">
        <v>182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'[9]Linear Algebra'!B5</f>
        <v>Title (Code):  Linear Algebra (MTH-124)</v>
      </c>
      <c r="E5" s="485"/>
      <c r="F5" s="485"/>
      <c r="G5" s="486"/>
      <c r="H5" s="473" t="s">
        <v>189</v>
      </c>
      <c r="I5" s="474"/>
      <c r="J5" s="489" t="str">
        <f>'[9]Linear Algebra'!H5</f>
        <v>Name: Dr. Farooq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263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TRANSPOSE(_xlfn._xlws.FILTER('[9]CLO &amp; PLO'!K1:K10,'Linear Algebra 2'!E7='[9]CLO &amp; PLO'!A1))</f>
        <v>30</v>
      </c>
      <c r="F8" s="226">
        <v>40</v>
      </c>
      <c r="G8" s="226">
        <v>20</v>
      </c>
      <c r="H8" s="226">
        <v>10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_xlfn._xlws.FILTER('[9]CLO &amp; PLO'!X1:X10,'[9]CLO &amp; PLO'!N1='Linear Algebra 2'!P7))</f>
        <v>0</v>
      </c>
      <c r="Q8" s="227">
        <v>70</v>
      </c>
      <c r="R8" s="227">
        <v>0</v>
      </c>
      <c r="S8" s="227">
        <v>30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  <c r="AE10" s="540" t="s">
        <v>269</v>
      </c>
      <c r="AF10" s="540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194</v>
      </c>
      <c r="F11" s="235"/>
      <c r="G11" s="525" t="s">
        <v>9</v>
      </c>
      <c r="H11" s="236" t="s">
        <v>193</v>
      </c>
      <c r="I11" s="235" t="s">
        <v>194</v>
      </c>
      <c r="J11" s="236"/>
      <c r="K11" s="236"/>
      <c r="L11" s="525" t="s">
        <v>9</v>
      </c>
      <c r="M11" s="235" t="s">
        <v>196</v>
      </c>
      <c r="N11" s="235"/>
      <c r="O11" s="525" t="s">
        <v>9</v>
      </c>
      <c r="P11" s="235" t="s">
        <v>193</v>
      </c>
      <c r="Q11" s="235" t="s">
        <v>195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180</v>
      </c>
      <c r="AB11" s="237" t="str">
        <f>Y11</f>
        <v>PLO1</v>
      </c>
      <c r="AC11" s="237" t="str">
        <f>Z11</f>
        <v>PLO2</v>
      </c>
      <c r="AD11" s="237" t="str">
        <f>AA11</f>
        <v>PLO4</v>
      </c>
      <c r="AE11" s="283" t="s">
        <v>267</v>
      </c>
      <c r="AF11" s="283" t="s">
        <v>270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173</v>
      </c>
      <c r="F12" s="235"/>
      <c r="G12" s="527"/>
      <c r="H12" s="235" t="s">
        <v>173</v>
      </c>
      <c r="I12" s="235" t="s">
        <v>173</v>
      </c>
      <c r="J12" s="236"/>
      <c r="K12" s="236"/>
      <c r="L12" s="527"/>
      <c r="M12" s="235" t="s">
        <v>180</v>
      </c>
      <c r="N12" s="235"/>
      <c r="O12" s="527"/>
      <c r="P12" s="235" t="s">
        <v>173</v>
      </c>
      <c r="Q12" s="235" t="s">
        <v>180</v>
      </c>
      <c r="R12" s="235"/>
      <c r="S12" s="235"/>
      <c r="T12" s="527"/>
      <c r="U12" s="237" t="s">
        <v>173</v>
      </c>
      <c r="V12" s="237"/>
      <c r="W12" s="527"/>
      <c r="X12" s="527"/>
      <c r="Y12" s="237" cm="1">
        <f t="array" ref="Y12">IFERROR(_xlfn._xlws.FILTER(_xlfn.ANCHORARRAY(P8),Y11=$P$7:$Y$7),0)</f>
        <v>0</v>
      </c>
      <c r="Z12" s="237" cm="1">
        <f t="array" ref="Z12">IFERROR(_xlfn._xlws.FILTER(_xlfn.ANCHORARRAY(P8),Z11=$P$7:$Y$7),0)</f>
        <v>70</v>
      </c>
      <c r="AA12" s="237" cm="1">
        <f t="array" ref="AA12">IFERROR(_xlfn._xlws.FILTER(_xlfn.ANCHORARRAY(P8),AA11=$P$7:$Y$7),0)</f>
        <v>30</v>
      </c>
      <c r="AB12" s="237" cm="1">
        <f t="array" ref="AB12">IFERROR(_xlfn._xlws.FILTER(_xlfn.ANCHORARRAY(P8),AB11=$P$7:$Y$7),0)</f>
        <v>0</v>
      </c>
      <c r="AC12" s="237" cm="1">
        <f t="array" ref="AC12">IFERROR(_xlfn._xlws.FILTER(_xlfn.ANCHORARRAY(P8),AC11=$P$7:$Y$7),0)</f>
        <v>70</v>
      </c>
      <c r="AD12" s="237" cm="1">
        <f t="array" ref="AD12">IFERROR(_xlfn._xlws.FILTER(_xlfn.ANCHORARRAY(P8),AD11=$P$7:$Y$7),0)</f>
        <v>30</v>
      </c>
      <c r="AE12" s="277"/>
      <c r="AF12" s="277"/>
    </row>
    <row r="13" spans="1:33" ht="15.75" x14ac:dyDescent="0.25">
      <c r="A13" s="239">
        <v>1</v>
      </c>
      <c r="B13" s="240" t="s">
        <v>220</v>
      </c>
      <c r="C13" s="166" t="str">
        <f>'[9]Linear Algebra'!A26</f>
        <v>2023-IT-01</v>
      </c>
      <c r="D13" s="166" t="str">
        <f>'[9]Linear Algebra'!B26</f>
        <v>Rahma Noor</v>
      </c>
      <c r="E13" s="168">
        <f>'[9]Linear Algebra'!D26</f>
        <v>8</v>
      </c>
      <c r="F13" s="168"/>
      <c r="G13" s="229">
        <f>E13</f>
        <v>8</v>
      </c>
      <c r="H13" s="168">
        <v>10</v>
      </c>
      <c r="I13" s="168">
        <v>12</v>
      </c>
      <c r="J13" s="168"/>
      <c r="K13" s="168"/>
      <c r="L13" s="229">
        <f>'[9]Linear Algebra'!E26</f>
        <v>22</v>
      </c>
      <c r="M13" s="168">
        <f>'[9]Linear Algebra'!F26</f>
        <v>8</v>
      </c>
      <c r="N13" s="168"/>
      <c r="O13" s="229">
        <f>M13</f>
        <v>8</v>
      </c>
      <c r="P13" s="241">
        <v>14</v>
      </c>
      <c r="Q13" s="168">
        <v>15</v>
      </c>
      <c r="R13" s="168"/>
      <c r="S13" s="242"/>
      <c r="T13" s="229">
        <f>'[9]Linear Algebra'!G26</f>
        <v>29</v>
      </c>
      <c r="U13" s="243">
        <f>'[9]Linear Algebra'!H26</f>
        <v>8</v>
      </c>
      <c r="V13" s="241"/>
      <c r="W13" s="229">
        <f>U13</f>
        <v>8</v>
      </c>
      <c r="X13" s="229">
        <f t="shared" ref="X13:X49" si="0">SUM(G13+L13+O13+T13+W13)</f>
        <v>75</v>
      </c>
      <c r="Y13" s="244">
        <f t="shared" ref="Y13:Y56" si="1">SUMIF($E$12:$V$12,$Y$11,E13:V13)</f>
        <v>0</v>
      </c>
      <c r="Z13" s="244">
        <f t="shared" ref="Z13:Z56" si="2">SUMIF($E$12:$V$12,$Z$11,E13:V13)</f>
        <v>52</v>
      </c>
      <c r="AA13" s="244">
        <f t="shared" ref="AA13:AA56" si="3">SUMIF($E$12:$V$12,$AA$11,E13:V13)</f>
        <v>23</v>
      </c>
      <c r="AB13" s="244">
        <f>IFERROR(IF(Y13/$Y$12*100&gt;=50,"Y","N"),0)</f>
        <v>0</v>
      </c>
      <c r="AC13" s="244" t="str">
        <f>IFERROR(IF(Z13/$Z$12*100&gt;=50,"Y","N"),0)</f>
        <v>Y</v>
      </c>
      <c r="AD13" s="244" t="str">
        <f>IFERROR(IF(AA13/$AA$12*100&gt;=50,"Y","N"),0)</f>
        <v>Y</v>
      </c>
      <c r="AE13" s="279">
        <f>Z13/70*100</f>
        <v>74.285714285714292</v>
      </c>
      <c r="AF13" s="279">
        <f>AA13/30*100</f>
        <v>76.666666666666671</v>
      </c>
    </row>
    <row r="14" spans="1:33" ht="15.75" x14ac:dyDescent="0.25">
      <c r="A14" s="245">
        <v>2</v>
      </c>
      <c r="B14" s="246" t="s">
        <v>221</v>
      </c>
      <c r="C14" s="166" t="str">
        <f>'[9]Linear Algebra'!A27</f>
        <v>2023-IT-02</v>
      </c>
      <c r="D14" s="166" t="str">
        <f>'[9]Linear Algebra'!B27</f>
        <v>Alishba Manzoor</v>
      </c>
      <c r="E14" s="168">
        <f>'[9]Linear Algebra'!D27</f>
        <v>7</v>
      </c>
      <c r="F14" s="168"/>
      <c r="G14" s="229">
        <f t="shared" ref="G14:G56" si="4">E14</f>
        <v>7</v>
      </c>
      <c r="H14" s="168">
        <v>8</v>
      </c>
      <c r="I14" s="168">
        <v>10</v>
      </c>
      <c r="J14" s="168"/>
      <c r="K14" s="168"/>
      <c r="L14" s="229">
        <f>'[9]Linear Algebra'!E27</f>
        <v>18</v>
      </c>
      <c r="M14" s="168">
        <f>'[9]Linear Algebra'!F27</f>
        <v>7</v>
      </c>
      <c r="N14" s="168"/>
      <c r="O14" s="229">
        <f t="shared" ref="O14:O56" si="5">M14</f>
        <v>7</v>
      </c>
      <c r="P14" s="241">
        <v>12</v>
      </c>
      <c r="Q14" s="168">
        <v>14</v>
      </c>
      <c r="R14" s="168"/>
      <c r="S14" s="242"/>
      <c r="T14" s="229">
        <f>'[9]Linear Algebra'!G27</f>
        <v>26</v>
      </c>
      <c r="U14" s="243">
        <f>'[9]Linear Algebra'!H27</f>
        <v>7</v>
      </c>
      <c r="V14" s="241"/>
      <c r="W14" s="229">
        <f t="shared" ref="W14:W56" si="6">U14</f>
        <v>7</v>
      </c>
      <c r="X14" s="229">
        <f t="shared" si="0"/>
        <v>65</v>
      </c>
      <c r="Y14" s="244">
        <f t="shared" si="1"/>
        <v>0</v>
      </c>
      <c r="Z14" s="244">
        <f t="shared" si="2"/>
        <v>44</v>
      </c>
      <c r="AA14" s="244">
        <f t="shared" si="3"/>
        <v>21</v>
      </c>
      <c r="AB14" s="244">
        <f t="shared" ref="AB14:AB56" si="7">IFERROR(IF(Y14/$Y$12*100&gt;=50,"Y","N"),0)</f>
        <v>0</v>
      </c>
      <c r="AC14" s="244" t="str">
        <f t="shared" ref="AC14:AC56" si="8">IFERROR(IF(Z14/$Z$12*100&gt;=50,"Y","N"),0)</f>
        <v>Y</v>
      </c>
      <c r="AD14" s="244" t="str">
        <f t="shared" ref="AD14:AD56" si="9">IFERROR(IF(AA14/$AA$12*100&gt;=50,"Y","N"),0)</f>
        <v>Y</v>
      </c>
      <c r="AE14" s="279">
        <f t="shared" ref="AE14:AE49" si="10">Z14/70*100</f>
        <v>62.857142857142854</v>
      </c>
      <c r="AF14" s="279">
        <f t="shared" ref="AF14:AF49" si="11">AA14/30*100</f>
        <v>70</v>
      </c>
      <c r="AG14" s="222"/>
    </row>
    <row r="15" spans="1:33" ht="15.75" x14ac:dyDescent="0.25">
      <c r="A15" s="247">
        <v>3</v>
      </c>
      <c r="B15" s="248" t="s">
        <v>222</v>
      </c>
      <c r="C15" s="166" t="str">
        <f>'[9]Linear Algebra'!A28</f>
        <v>2023-IT-03</v>
      </c>
      <c r="D15" s="166" t="str">
        <f>'[9]Linear Algebra'!B28</f>
        <v>Maheen Fatima</v>
      </c>
      <c r="E15" s="168">
        <f>'[9]Linear Algebra'!D28</f>
        <v>6</v>
      </c>
      <c r="F15" s="168"/>
      <c r="G15" s="229">
        <f t="shared" si="4"/>
        <v>6</v>
      </c>
      <c r="H15" s="168">
        <v>6</v>
      </c>
      <c r="I15" s="168">
        <v>10</v>
      </c>
      <c r="J15" s="168"/>
      <c r="K15" s="168"/>
      <c r="L15" s="229">
        <f>'[9]Linear Algebra'!E28</f>
        <v>16</v>
      </c>
      <c r="M15" s="168">
        <f>'[9]Linear Algebra'!F28</f>
        <v>7</v>
      </c>
      <c r="N15" s="168"/>
      <c r="O15" s="229">
        <f t="shared" si="5"/>
        <v>7</v>
      </c>
      <c r="P15" s="241">
        <v>12</v>
      </c>
      <c r="Q15" s="168">
        <v>16</v>
      </c>
      <c r="R15" s="168"/>
      <c r="S15" s="242"/>
      <c r="T15" s="229">
        <f>'[9]Linear Algebra'!G28</f>
        <v>28</v>
      </c>
      <c r="U15" s="243">
        <f>'[9]Linear Algebra'!H28</f>
        <v>7</v>
      </c>
      <c r="V15" s="241"/>
      <c r="W15" s="229">
        <f t="shared" si="6"/>
        <v>7</v>
      </c>
      <c r="X15" s="229">
        <f t="shared" si="0"/>
        <v>64</v>
      </c>
      <c r="Y15" s="244">
        <f t="shared" si="1"/>
        <v>0</v>
      </c>
      <c r="Z15" s="244">
        <f t="shared" si="2"/>
        <v>41</v>
      </c>
      <c r="AA15" s="244">
        <f t="shared" si="3"/>
        <v>23</v>
      </c>
      <c r="AB15" s="244">
        <f t="shared" si="7"/>
        <v>0</v>
      </c>
      <c r="AC15" s="244" t="str">
        <f t="shared" si="8"/>
        <v>Y</v>
      </c>
      <c r="AD15" s="244" t="str">
        <f t="shared" si="9"/>
        <v>Y</v>
      </c>
      <c r="AE15" s="279">
        <f t="shared" si="10"/>
        <v>58.571428571428577</v>
      </c>
      <c r="AF15" s="279">
        <f t="shared" si="11"/>
        <v>76.666666666666671</v>
      </c>
      <c r="AG15" s="222"/>
    </row>
    <row r="16" spans="1:33" ht="15.75" x14ac:dyDescent="0.25">
      <c r="A16" s="245">
        <v>4</v>
      </c>
      <c r="B16" s="246" t="s">
        <v>223</v>
      </c>
      <c r="C16" s="166" t="str">
        <f>'[9]Linear Algebra'!A29</f>
        <v>2023-IT-04</v>
      </c>
      <c r="D16" s="166" t="str">
        <f>'[9]Linear Algebra'!B29</f>
        <v>Aneela</v>
      </c>
      <c r="E16" s="168">
        <f>'[9]Linear Algebra'!D29</f>
        <v>8</v>
      </c>
      <c r="F16" s="168"/>
      <c r="G16" s="229">
        <f t="shared" si="4"/>
        <v>8</v>
      </c>
      <c r="H16" s="168">
        <v>8</v>
      </c>
      <c r="I16" s="168">
        <v>12</v>
      </c>
      <c r="J16" s="168"/>
      <c r="K16" s="168"/>
      <c r="L16" s="229">
        <f>'[9]Linear Algebra'!E29</f>
        <v>20</v>
      </c>
      <c r="M16" s="168">
        <f>'[9]Linear Algebra'!F29</f>
        <v>8</v>
      </c>
      <c r="N16" s="168"/>
      <c r="O16" s="229">
        <f t="shared" si="5"/>
        <v>8</v>
      </c>
      <c r="P16" s="241">
        <v>10</v>
      </c>
      <c r="Q16" s="168">
        <v>19</v>
      </c>
      <c r="R16" s="168"/>
      <c r="S16" s="242"/>
      <c r="T16" s="229">
        <f>'[9]Linear Algebra'!G29</f>
        <v>29</v>
      </c>
      <c r="U16" s="243">
        <f>'[9]Linear Algebra'!H29</f>
        <v>9</v>
      </c>
      <c r="V16" s="241"/>
      <c r="W16" s="229">
        <f t="shared" si="6"/>
        <v>9</v>
      </c>
      <c r="X16" s="229">
        <f t="shared" si="0"/>
        <v>74</v>
      </c>
      <c r="Y16" s="244">
        <f t="shared" si="1"/>
        <v>0</v>
      </c>
      <c r="Z16" s="244">
        <f t="shared" si="2"/>
        <v>47</v>
      </c>
      <c r="AA16" s="244">
        <f t="shared" si="3"/>
        <v>27</v>
      </c>
      <c r="AB16" s="244">
        <f t="shared" si="7"/>
        <v>0</v>
      </c>
      <c r="AC16" s="244" t="str">
        <f t="shared" si="8"/>
        <v>Y</v>
      </c>
      <c r="AD16" s="244" t="str">
        <f t="shared" si="9"/>
        <v>Y</v>
      </c>
      <c r="AE16" s="279">
        <f t="shared" si="10"/>
        <v>67.142857142857139</v>
      </c>
      <c r="AF16" s="279">
        <f t="shared" si="11"/>
        <v>90</v>
      </c>
      <c r="AG16" s="222"/>
    </row>
    <row r="17" spans="1:33" ht="15.75" x14ac:dyDescent="0.25">
      <c r="A17" s="245">
        <v>5</v>
      </c>
      <c r="B17" s="246" t="s">
        <v>224</v>
      </c>
      <c r="C17" s="166" t="str">
        <f>'[9]Linear Algebra'!A30</f>
        <v>2023-IT-05</v>
      </c>
      <c r="D17" s="166" t="str">
        <f>'[9]Linear Algebra'!B30</f>
        <v>Alishba Saleem</v>
      </c>
      <c r="E17" s="168">
        <f>'[9]Linear Algebra'!D30</f>
        <v>6</v>
      </c>
      <c r="F17" s="168"/>
      <c r="G17" s="229">
        <f t="shared" si="4"/>
        <v>6</v>
      </c>
      <c r="H17" s="249">
        <v>6</v>
      </c>
      <c r="I17" s="249">
        <v>8</v>
      </c>
      <c r="J17" s="249"/>
      <c r="K17" s="249"/>
      <c r="L17" s="229">
        <f>'[9]Linear Algebra'!E30</f>
        <v>14</v>
      </c>
      <c r="M17" s="168">
        <f>'[9]Linear Algebra'!F30</f>
        <v>8</v>
      </c>
      <c r="N17" s="249"/>
      <c r="O17" s="229">
        <f t="shared" si="5"/>
        <v>8</v>
      </c>
      <c r="P17" s="250">
        <v>15</v>
      </c>
      <c r="Q17" s="249">
        <v>19</v>
      </c>
      <c r="R17" s="249"/>
      <c r="S17" s="242"/>
      <c r="T17" s="229">
        <f>'[9]Linear Algebra'!G30</f>
        <v>34</v>
      </c>
      <c r="U17" s="243">
        <f>'[9]Linear Algebra'!H30</f>
        <v>9</v>
      </c>
      <c r="V17" s="241"/>
      <c r="W17" s="229">
        <f t="shared" si="6"/>
        <v>9</v>
      </c>
      <c r="X17" s="229">
        <f t="shared" si="0"/>
        <v>71</v>
      </c>
      <c r="Y17" s="244">
        <f t="shared" si="1"/>
        <v>0</v>
      </c>
      <c r="Z17" s="244">
        <f t="shared" si="2"/>
        <v>44</v>
      </c>
      <c r="AA17" s="244">
        <f t="shared" si="3"/>
        <v>27</v>
      </c>
      <c r="AB17" s="244">
        <f t="shared" si="7"/>
        <v>0</v>
      </c>
      <c r="AC17" s="244" t="str">
        <f t="shared" si="8"/>
        <v>Y</v>
      </c>
      <c r="AD17" s="244" t="str">
        <f t="shared" si="9"/>
        <v>Y</v>
      </c>
      <c r="AE17" s="279">
        <f t="shared" si="10"/>
        <v>62.857142857142854</v>
      </c>
      <c r="AF17" s="279">
        <f t="shared" si="11"/>
        <v>90</v>
      </c>
      <c r="AG17" s="222"/>
    </row>
    <row r="18" spans="1:33" ht="15.75" x14ac:dyDescent="0.25">
      <c r="A18" s="245">
        <v>6</v>
      </c>
      <c r="B18" s="246" t="s">
        <v>225</v>
      </c>
      <c r="C18" s="166" t="str">
        <f>'[9]Linear Algebra'!A31</f>
        <v>2023-IT-06</v>
      </c>
      <c r="D18" s="166" t="str">
        <f>'[9]Linear Algebra'!B31</f>
        <v>Mehak Asghar</v>
      </c>
      <c r="E18" s="168">
        <f>'[9]Linear Algebra'!D31</f>
        <v>9</v>
      </c>
      <c r="F18" s="168"/>
      <c r="G18" s="229">
        <f t="shared" si="4"/>
        <v>9</v>
      </c>
      <c r="H18" s="249">
        <v>9</v>
      </c>
      <c r="I18" s="249">
        <v>12</v>
      </c>
      <c r="J18" s="249"/>
      <c r="K18" s="249"/>
      <c r="L18" s="229">
        <f>'[9]Linear Algebra'!E31</f>
        <v>21</v>
      </c>
      <c r="M18" s="168">
        <f>'[9]Linear Algebra'!F31</f>
        <v>8</v>
      </c>
      <c r="N18" s="249"/>
      <c r="O18" s="229">
        <f t="shared" si="5"/>
        <v>8</v>
      </c>
      <c r="P18" s="250">
        <v>15</v>
      </c>
      <c r="Q18" s="249">
        <v>18</v>
      </c>
      <c r="R18" s="249"/>
      <c r="S18" s="242"/>
      <c r="T18" s="229">
        <f>'[9]Linear Algebra'!G31</f>
        <v>33</v>
      </c>
      <c r="U18" s="243">
        <f>'[9]Linear Algebra'!H31</f>
        <v>9</v>
      </c>
      <c r="V18" s="241"/>
      <c r="W18" s="229">
        <f t="shared" si="6"/>
        <v>9</v>
      </c>
      <c r="X18" s="229">
        <f t="shared" si="0"/>
        <v>80</v>
      </c>
      <c r="Y18" s="244">
        <f t="shared" si="1"/>
        <v>0</v>
      </c>
      <c r="Z18" s="244">
        <f t="shared" si="2"/>
        <v>54</v>
      </c>
      <c r="AA18" s="244">
        <f t="shared" si="3"/>
        <v>26</v>
      </c>
      <c r="AB18" s="244">
        <f t="shared" si="7"/>
        <v>0</v>
      </c>
      <c r="AC18" s="244" t="str">
        <f t="shared" si="8"/>
        <v>Y</v>
      </c>
      <c r="AD18" s="244" t="str">
        <f t="shared" si="9"/>
        <v>Y</v>
      </c>
      <c r="AE18" s="279">
        <f t="shared" si="10"/>
        <v>77.142857142857153</v>
      </c>
      <c r="AF18" s="279">
        <f t="shared" si="11"/>
        <v>86.666666666666671</v>
      </c>
      <c r="AG18" s="222"/>
    </row>
    <row r="19" spans="1:33" ht="15.75" x14ac:dyDescent="0.25">
      <c r="A19" s="245">
        <v>7</v>
      </c>
      <c r="B19" s="246" t="s">
        <v>226</v>
      </c>
      <c r="C19" s="166" t="str">
        <f>'[9]Linear Algebra'!A32</f>
        <v>2023-IT-07</v>
      </c>
      <c r="D19" s="166" t="str">
        <f>'[9]Linear Algebra'!B32</f>
        <v>Humaira Afzal</v>
      </c>
      <c r="E19" s="168">
        <f>'[9]Linear Algebra'!D32</f>
        <v>9</v>
      </c>
      <c r="F19" s="168"/>
      <c r="G19" s="229">
        <f t="shared" si="4"/>
        <v>9</v>
      </c>
      <c r="H19" s="249">
        <v>10</v>
      </c>
      <c r="I19" s="249">
        <v>16</v>
      </c>
      <c r="J19" s="249"/>
      <c r="K19" s="249"/>
      <c r="L19" s="229">
        <f>'[9]Linear Algebra'!E32</f>
        <v>26</v>
      </c>
      <c r="M19" s="168">
        <f>'[9]Linear Algebra'!F32</f>
        <v>9</v>
      </c>
      <c r="N19" s="249"/>
      <c r="O19" s="229">
        <f t="shared" si="5"/>
        <v>9</v>
      </c>
      <c r="P19" s="250">
        <v>15</v>
      </c>
      <c r="Q19" s="249">
        <v>19</v>
      </c>
      <c r="R19" s="249"/>
      <c r="S19" s="242"/>
      <c r="T19" s="229">
        <f>'[9]Linear Algebra'!G32</f>
        <v>34</v>
      </c>
      <c r="U19" s="243">
        <f>'[9]Linear Algebra'!H32</f>
        <v>9</v>
      </c>
      <c r="V19" s="241"/>
      <c r="W19" s="229">
        <f t="shared" si="6"/>
        <v>9</v>
      </c>
      <c r="X19" s="229">
        <f t="shared" si="0"/>
        <v>87</v>
      </c>
      <c r="Y19" s="244">
        <f t="shared" si="1"/>
        <v>0</v>
      </c>
      <c r="Z19" s="244">
        <f t="shared" si="2"/>
        <v>59</v>
      </c>
      <c r="AA19" s="244">
        <f t="shared" si="3"/>
        <v>28</v>
      </c>
      <c r="AB19" s="244">
        <f t="shared" si="7"/>
        <v>0</v>
      </c>
      <c r="AC19" s="244" t="str">
        <f t="shared" si="8"/>
        <v>Y</v>
      </c>
      <c r="AD19" s="244" t="str">
        <f t="shared" si="9"/>
        <v>Y</v>
      </c>
      <c r="AE19" s="279">
        <f t="shared" si="10"/>
        <v>84.285714285714292</v>
      </c>
      <c r="AF19" s="279">
        <f t="shared" si="11"/>
        <v>93.333333333333329</v>
      </c>
      <c r="AG19" s="222"/>
    </row>
    <row r="20" spans="1:33" ht="15.75" x14ac:dyDescent="0.25">
      <c r="A20" s="245">
        <v>10</v>
      </c>
      <c r="B20" s="246" t="s">
        <v>227</v>
      </c>
      <c r="C20" s="166" t="str">
        <f>'[9]Linear Algebra'!A33</f>
        <v>2023-IT-08</v>
      </c>
      <c r="D20" s="166" t="str">
        <f>'[9]Linear Algebra'!B33</f>
        <v>Saleena Khan</v>
      </c>
      <c r="E20" s="168">
        <f>'[9]Linear Algebra'!D33</f>
        <v>0</v>
      </c>
      <c r="F20" s="168"/>
      <c r="G20" s="229">
        <f t="shared" si="4"/>
        <v>0</v>
      </c>
      <c r="H20" s="249">
        <v>0</v>
      </c>
      <c r="I20" s="249">
        <v>0</v>
      </c>
      <c r="J20" s="249"/>
      <c r="K20" s="249"/>
      <c r="L20" s="229">
        <f>'[9]Linear Algebra'!E33</f>
        <v>0</v>
      </c>
      <c r="M20" s="168">
        <f>'[9]Linear Algebra'!F33</f>
        <v>0</v>
      </c>
      <c r="N20" s="249"/>
      <c r="O20" s="229">
        <f t="shared" si="5"/>
        <v>0</v>
      </c>
      <c r="P20" s="250">
        <v>0</v>
      </c>
      <c r="Q20" s="249">
        <v>0</v>
      </c>
      <c r="R20" s="249"/>
      <c r="S20" s="242"/>
      <c r="T20" s="229">
        <f>'[9]Linear Algebra'!G33</f>
        <v>0</v>
      </c>
      <c r="U20" s="243">
        <f>'[9]Linear Algebra'!H33</f>
        <v>0</v>
      </c>
      <c r="V20" s="241"/>
      <c r="W20" s="229">
        <f t="shared" si="6"/>
        <v>0</v>
      </c>
      <c r="X20" s="229">
        <f t="shared" si="0"/>
        <v>0</v>
      </c>
      <c r="Y20" s="244">
        <f t="shared" si="1"/>
        <v>0</v>
      </c>
      <c r="Z20" s="244">
        <f t="shared" si="2"/>
        <v>0</v>
      </c>
      <c r="AA20" s="244">
        <f t="shared" si="3"/>
        <v>0</v>
      </c>
      <c r="AB20" s="244">
        <f t="shared" si="7"/>
        <v>0</v>
      </c>
      <c r="AC20" s="244" t="str">
        <f t="shared" si="8"/>
        <v>N</v>
      </c>
      <c r="AD20" s="244" t="str">
        <f t="shared" si="9"/>
        <v>N</v>
      </c>
      <c r="AE20" s="279">
        <f t="shared" si="10"/>
        <v>0</v>
      </c>
      <c r="AF20" s="279">
        <f t="shared" si="11"/>
        <v>0</v>
      </c>
      <c r="AG20" s="222"/>
    </row>
    <row r="21" spans="1:33" ht="15.75" x14ac:dyDescent="0.25">
      <c r="A21" s="245">
        <v>11</v>
      </c>
      <c r="B21" s="246" t="s">
        <v>228</v>
      </c>
      <c r="C21" s="166" t="str">
        <f>'[9]Linear Algebra'!A34</f>
        <v>2023-IT-10</v>
      </c>
      <c r="D21" s="166" t="str">
        <f>'[9]Linear Algebra'!B34</f>
        <v>Asad Ullah</v>
      </c>
      <c r="E21" s="168">
        <f>'[9]Linear Algebra'!D34</f>
        <v>6</v>
      </c>
      <c r="F21" s="168"/>
      <c r="G21" s="229">
        <f t="shared" si="4"/>
        <v>6</v>
      </c>
      <c r="H21" s="249">
        <v>10</v>
      </c>
      <c r="I21" s="249">
        <v>13</v>
      </c>
      <c r="J21" s="249"/>
      <c r="K21" s="249"/>
      <c r="L21" s="229">
        <f>'[9]Linear Algebra'!E34</f>
        <v>13</v>
      </c>
      <c r="M21" s="168">
        <f>'[9]Linear Algebra'!F34</f>
        <v>6</v>
      </c>
      <c r="N21" s="249"/>
      <c r="O21" s="229">
        <f t="shared" si="5"/>
        <v>6</v>
      </c>
      <c r="P21" s="250">
        <v>7</v>
      </c>
      <c r="Q21" s="249">
        <v>10</v>
      </c>
      <c r="R21" s="249"/>
      <c r="S21" s="242"/>
      <c r="T21" s="229">
        <f>'[9]Linear Algebra'!G34</f>
        <v>17</v>
      </c>
      <c r="U21" s="243">
        <f>'[9]Linear Algebra'!H34</f>
        <v>8</v>
      </c>
      <c r="V21" s="241"/>
      <c r="W21" s="229">
        <f t="shared" si="6"/>
        <v>8</v>
      </c>
      <c r="X21" s="229">
        <f t="shared" si="0"/>
        <v>50</v>
      </c>
      <c r="Y21" s="244">
        <f t="shared" si="1"/>
        <v>0</v>
      </c>
      <c r="Z21" s="244">
        <f t="shared" si="2"/>
        <v>44</v>
      </c>
      <c r="AA21" s="244">
        <f t="shared" si="3"/>
        <v>16</v>
      </c>
      <c r="AB21" s="244">
        <f t="shared" si="7"/>
        <v>0</v>
      </c>
      <c r="AC21" s="244" t="str">
        <f t="shared" si="8"/>
        <v>Y</v>
      </c>
      <c r="AD21" s="244" t="str">
        <f t="shared" si="9"/>
        <v>Y</v>
      </c>
      <c r="AE21" s="279">
        <f t="shared" si="10"/>
        <v>62.857142857142854</v>
      </c>
      <c r="AF21" s="279">
        <f t="shared" si="11"/>
        <v>53.333333333333336</v>
      </c>
      <c r="AG21" s="222"/>
    </row>
    <row r="22" spans="1:33" ht="15.75" x14ac:dyDescent="0.25">
      <c r="A22" s="245">
        <v>12</v>
      </c>
      <c r="B22" s="246" t="s">
        <v>229</v>
      </c>
      <c r="C22" s="166" t="str">
        <f>'[9]Linear Algebra'!A35</f>
        <v>2023-IT-11</v>
      </c>
      <c r="D22" s="166" t="str">
        <f>'[9]Linear Algebra'!B35</f>
        <v>Rana Talha dawood</v>
      </c>
      <c r="E22" s="168">
        <f>'[9]Linear Algebra'!D35</f>
        <v>8</v>
      </c>
      <c r="F22" s="168"/>
      <c r="G22" s="229">
        <f t="shared" si="4"/>
        <v>8</v>
      </c>
      <c r="H22" s="249">
        <v>9</v>
      </c>
      <c r="I22" s="249">
        <v>12</v>
      </c>
      <c r="J22" s="249"/>
      <c r="K22" s="249"/>
      <c r="L22" s="229">
        <f>'[9]Linear Algebra'!E35</f>
        <v>21</v>
      </c>
      <c r="M22" s="168">
        <f>'[9]Linear Algebra'!F35</f>
        <v>7</v>
      </c>
      <c r="N22" s="249"/>
      <c r="O22" s="229">
        <f t="shared" si="5"/>
        <v>7</v>
      </c>
      <c r="P22" s="250">
        <v>10</v>
      </c>
      <c r="Q22" s="249">
        <v>17</v>
      </c>
      <c r="R22" s="249"/>
      <c r="S22" s="242"/>
      <c r="T22" s="229">
        <f>'[9]Linear Algebra'!G35</f>
        <v>27</v>
      </c>
      <c r="U22" s="243">
        <f>'[9]Linear Algebra'!H35</f>
        <v>8</v>
      </c>
      <c r="V22" s="241"/>
      <c r="W22" s="229">
        <f t="shared" si="6"/>
        <v>8</v>
      </c>
      <c r="X22" s="229">
        <f t="shared" si="0"/>
        <v>71</v>
      </c>
      <c r="Y22" s="244">
        <f t="shared" si="1"/>
        <v>0</v>
      </c>
      <c r="Z22" s="244">
        <f t="shared" si="2"/>
        <v>47</v>
      </c>
      <c r="AA22" s="244">
        <f t="shared" si="3"/>
        <v>24</v>
      </c>
      <c r="AB22" s="244">
        <f t="shared" si="7"/>
        <v>0</v>
      </c>
      <c r="AC22" s="244" t="str">
        <f t="shared" si="8"/>
        <v>Y</v>
      </c>
      <c r="AD22" s="244" t="str">
        <f t="shared" si="9"/>
        <v>Y</v>
      </c>
      <c r="AE22" s="279">
        <f t="shared" si="10"/>
        <v>67.142857142857139</v>
      </c>
      <c r="AF22" s="279">
        <f t="shared" si="11"/>
        <v>80</v>
      </c>
      <c r="AG22" s="222"/>
    </row>
    <row r="23" spans="1:33" ht="15.75" x14ac:dyDescent="0.25">
      <c r="A23" s="245">
        <v>13</v>
      </c>
      <c r="B23" s="246" t="s">
        <v>230</v>
      </c>
      <c r="C23" s="166" t="str">
        <f>'[9]Linear Algebra'!A36</f>
        <v>2023-IT-12</v>
      </c>
      <c r="D23" s="166" t="str">
        <f>'[9]Linear Algebra'!B36</f>
        <v>Ali Ahmad</v>
      </c>
      <c r="E23" s="168">
        <f>'[9]Linear Algebra'!D36</f>
        <v>8</v>
      </c>
      <c r="F23" s="168"/>
      <c r="G23" s="229">
        <f t="shared" si="4"/>
        <v>8</v>
      </c>
      <c r="H23" s="249">
        <v>9</v>
      </c>
      <c r="I23" s="249">
        <v>11</v>
      </c>
      <c r="J23" s="249"/>
      <c r="K23" s="249"/>
      <c r="L23" s="229">
        <f>'[9]Linear Algebra'!E36</f>
        <v>20</v>
      </c>
      <c r="M23" s="168">
        <f>'[9]Linear Algebra'!F36</f>
        <v>7</v>
      </c>
      <c r="N23" s="249"/>
      <c r="O23" s="229">
        <f t="shared" si="5"/>
        <v>7</v>
      </c>
      <c r="P23" s="250">
        <v>10</v>
      </c>
      <c r="Q23" s="249">
        <v>13</v>
      </c>
      <c r="R23" s="249"/>
      <c r="S23" s="242"/>
      <c r="T23" s="229">
        <f>'[9]Linear Algebra'!G36</f>
        <v>23</v>
      </c>
      <c r="U23" s="243">
        <f>'[9]Linear Algebra'!H36</f>
        <v>8</v>
      </c>
      <c r="V23" s="241"/>
      <c r="W23" s="229">
        <f t="shared" si="6"/>
        <v>8</v>
      </c>
      <c r="X23" s="229">
        <f t="shared" si="0"/>
        <v>66</v>
      </c>
      <c r="Y23" s="244">
        <f t="shared" si="1"/>
        <v>0</v>
      </c>
      <c r="Z23" s="244">
        <f t="shared" si="2"/>
        <v>46</v>
      </c>
      <c r="AA23" s="244">
        <f t="shared" si="3"/>
        <v>20</v>
      </c>
      <c r="AB23" s="244">
        <f t="shared" si="7"/>
        <v>0</v>
      </c>
      <c r="AC23" s="244" t="str">
        <f t="shared" si="8"/>
        <v>Y</v>
      </c>
      <c r="AD23" s="244" t="str">
        <f t="shared" si="9"/>
        <v>Y</v>
      </c>
      <c r="AE23" s="279">
        <f t="shared" si="10"/>
        <v>65.714285714285708</v>
      </c>
      <c r="AF23" s="279">
        <f t="shared" si="11"/>
        <v>66.666666666666657</v>
      </c>
      <c r="AG23" s="222"/>
    </row>
    <row r="24" spans="1:33" ht="15.75" x14ac:dyDescent="0.25">
      <c r="A24" s="245">
        <v>14</v>
      </c>
      <c r="B24" s="246" t="s">
        <v>231</v>
      </c>
      <c r="C24" s="166" t="str">
        <f>'[9]Linear Algebra'!A37</f>
        <v>2023-IT-13</v>
      </c>
      <c r="D24" s="166" t="str">
        <f>'[9]Linear Algebra'!B37</f>
        <v>Muhammad Daud</v>
      </c>
      <c r="E24" s="168">
        <f>'[9]Linear Algebra'!D37</f>
        <v>7</v>
      </c>
      <c r="F24" s="168"/>
      <c r="G24" s="229">
        <f t="shared" si="4"/>
        <v>7</v>
      </c>
      <c r="H24" s="249">
        <v>9</v>
      </c>
      <c r="I24" s="249">
        <v>10</v>
      </c>
      <c r="J24" s="249"/>
      <c r="K24" s="249"/>
      <c r="L24" s="229">
        <f>'[9]Linear Algebra'!E37</f>
        <v>19</v>
      </c>
      <c r="M24" s="168">
        <f>'[9]Linear Algebra'!F37</f>
        <v>7</v>
      </c>
      <c r="N24" s="249"/>
      <c r="O24" s="229">
        <f t="shared" si="5"/>
        <v>7</v>
      </c>
      <c r="P24" s="250">
        <v>10</v>
      </c>
      <c r="Q24" s="249">
        <v>16</v>
      </c>
      <c r="R24" s="249"/>
      <c r="S24" s="242"/>
      <c r="T24" s="229">
        <f>'[9]Linear Algebra'!G37</f>
        <v>26</v>
      </c>
      <c r="U24" s="243">
        <f>'[9]Linear Algebra'!H37</f>
        <v>8</v>
      </c>
      <c r="V24" s="241"/>
      <c r="W24" s="229">
        <f t="shared" si="6"/>
        <v>8</v>
      </c>
      <c r="X24" s="229">
        <f t="shared" si="0"/>
        <v>67</v>
      </c>
      <c r="Y24" s="244">
        <f t="shared" si="1"/>
        <v>0</v>
      </c>
      <c r="Z24" s="244">
        <f t="shared" si="2"/>
        <v>44</v>
      </c>
      <c r="AA24" s="244">
        <f t="shared" si="3"/>
        <v>23</v>
      </c>
      <c r="AB24" s="244">
        <f t="shared" si="7"/>
        <v>0</v>
      </c>
      <c r="AC24" s="244" t="str">
        <f t="shared" si="8"/>
        <v>Y</v>
      </c>
      <c r="AD24" s="244" t="str">
        <f t="shared" si="9"/>
        <v>Y</v>
      </c>
      <c r="AE24" s="279">
        <f t="shared" si="10"/>
        <v>62.857142857142854</v>
      </c>
      <c r="AF24" s="279">
        <f t="shared" si="11"/>
        <v>76.666666666666671</v>
      </c>
      <c r="AG24" s="222"/>
    </row>
    <row r="25" spans="1:33" ht="15.75" x14ac:dyDescent="0.25">
      <c r="A25" s="245">
        <v>16</v>
      </c>
      <c r="B25" s="246" t="s">
        <v>232</v>
      </c>
      <c r="C25" s="166" t="str">
        <f>'[9]Linear Algebra'!A38</f>
        <v>2023-IT-14</v>
      </c>
      <c r="D25" s="166" t="str">
        <f>'[9]Linear Algebra'!B38</f>
        <v>Mursil Mateen</v>
      </c>
      <c r="E25" s="168">
        <f>'[9]Linear Algebra'!D38</f>
        <v>8</v>
      </c>
      <c r="F25" s="168"/>
      <c r="G25" s="229">
        <f t="shared" si="4"/>
        <v>8</v>
      </c>
      <c r="H25" s="249">
        <v>8</v>
      </c>
      <c r="I25" s="249">
        <v>12</v>
      </c>
      <c r="J25" s="249"/>
      <c r="K25" s="249"/>
      <c r="L25" s="229">
        <f>'[9]Linear Algebra'!E38</f>
        <v>20</v>
      </c>
      <c r="M25" s="168">
        <f>'[9]Linear Algebra'!F38</f>
        <v>8</v>
      </c>
      <c r="N25" s="249"/>
      <c r="O25" s="229">
        <f t="shared" si="5"/>
        <v>8</v>
      </c>
      <c r="P25" s="250">
        <v>10</v>
      </c>
      <c r="Q25" s="249">
        <v>19</v>
      </c>
      <c r="R25" s="249"/>
      <c r="S25" s="242"/>
      <c r="T25" s="229">
        <f>'[9]Linear Algebra'!G38</f>
        <v>29</v>
      </c>
      <c r="U25" s="243">
        <f>'[9]Linear Algebra'!H38</f>
        <v>8</v>
      </c>
      <c r="V25" s="241"/>
      <c r="W25" s="229">
        <f t="shared" si="6"/>
        <v>8</v>
      </c>
      <c r="X25" s="229">
        <f t="shared" si="0"/>
        <v>73</v>
      </c>
      <c r="Y25" s="244">
        <f t="shared" si="1"/>
        <v>0</v>
      </c>
      <c r="Z25" s="244">
        <f t="shared" si="2"/>
        <v>46</v>
      </c>
      <c r="AA25" s="244">
        <f t="shared" si="3"/>
        <v>27</v>
      </c>
      <c r="AB25" s="244">
        <f t="shared" si="7"/>
        <v>0</v>
      </c>
      <c r="AC25" s="244" t="str">
        <f t="shared" si="8"/>
        <v>Y</v>
      </c>
      <c r="AD25" s="244" t="str">
        <f t="shared" si="9"/>
        <v>Y</v>
      </c>
      <c r="AE25" s="279">
        <f t="shared" si="10"/>
        <v>65.714285714285708</v>
      </c>
      <c r="AF25" s="279">
        <f t="shared" si="11"/>
        <v>90</v>
      </c>
      <c r="AG25" s="222"/>
    </row>
    <row r="26" spans="1:33" ht="15.75" x14ac:dyDescent="0.25">
      <c r="A26" s="245">
        <v>17</v>
      </c>
      <c r="B26" s="246" t="s">
        <v>233</v>
      </c>
      <c r="C26" s="166" t="str">
        <f>'[9]Linear Algebra'!A39</f>
        <v>2023-IT-16</v>
      </c>
      <c r="D26" s="166" t="str">
        <f>'[9]Linear Algebra'!B39</f>
        <v>Muhammad Usman</v>
      </c>
      <c r="E26" s="168">
        <f>'[9]Linear Algebra'!D39</f>
        <v>0</v>
      </c>
      <c r="F26" s="168"/>
      <c r="G26" s="229">
        <f t="shared" si="4"/>
        <v>0</v>
      </c>
      <c r="H26" s="249">
        <v>0</v>
      </c>
      <c r="I26" s="249">
        <v>0</v>
      </c>
      <c r="J26" s="249"/>
      <c r="K26" s="249"/>
      <c r="L26" s="229">
        <f>'[9]Linear Algebra'!E39</f>
        <v>0</v>
      </c>
      <c r="M26" s="168">
        <f>'[9]Linear Algebra'!F39</f>
        <v>0</v>
      </c>
      <c r="N26" s="249"/>
      <c r="O26" s="229">
        <f t="shared" si="5"/>
        <v>0</v>
      </c>
      <c r="P26" s="250">
        <v>0</v>
      </c>
      <c r="Q26" s="249">
        <v>0</v>
      </c>
      <c r="R26" s="249"/>
      <c r="S26" s="242"/>
      <c r="T26" s="229">
        <f>'[9]Linear Algebra'!G39</f>
        <v>0</v>
      </c>
      <c r="U26" s="243">
        <f>'[9]Linear Algebra'!H39</f>
        <v>0</v>
      </c>
      <c r="V26" s="241"/>
      <c r="W26" s="229">
        <f t="shared" si="6"/>
        <v>0</v>
      </c>
      <c r="X26" s="229">
        <f t="shared" si="0"/>
        <v>0</v>
      </c>
      <c r="Y26" s="244">
        <f t="shared" si="1"/>
        <v>0</v>
      </c>
      <c r="Z26" s="244">
        <f t="shared" si="2"/>
        <v>0</v>
      </c>
      <c r="AA26" s="244">
        <f t="shared" si="3"/>
        <v>0</v>
      </c>
      <c r="AB26" s="244">
        <f t="shared" si="7"/>
        <v>0</v>
      </c>
      <c r="AC26" s="244" t="str">
        <f t="shared" si="8"/>
        <v>N</v>
      </c>
      <c r="AD26" s="244" t="str">
        <f t="shared" si="9"/>
        <v>N</v>
      </c>
      <c r="AE26" s="279">
        <f t="shared" si="10"/>
        <v>0</v>
      </c>
      <c r="AF26" s="279">
        <f t="shared" si="11"/>
        <v>0</v>
      </c>
      <c r="AG26" s="222"/>
    </row>
    <row r="27" spans="1:33" ht="15.75" x14ac:dyDescent="0.25">
      <c r="A27" s="247">
        <v>18</v>
      </c>
      <c r="B27" s="248" t="s">
        <v>234</v>
      </c>
      <c r="C27" s="166" t="str">
        <f>'[9]Linear Algebra'!A40</f>
        <v>2023-IT-18</v>
      </c>
      <c r="D27" s="166" t="str">
        <f>'[9]Linear Algebra'!B40</f>
        <v>Adeel Maqbool</v>
      </c>
      <c r="E27" s="168">
        <f>'[9]Linear Algebra'!D40</f>
        <v>9</v>
      </c>
      <c r="F27" s="168"/>
      <c r="G27" s="229">
        <f t="shared" si="4"/>
        <v>9</v>
      </c>
      <c r="H27" s="249">
        <v>10</v>
      </c>
      <c r="I27" s="249">
        <v>12</v>
      </c>
      <c r="J27" s="249"/>
      <c r="K27" s="249"/>
      <c r="L27" s="229">
        <f>'[9]Linear Algebra'!E40</f>
        <v>22</v>
      </c>
      <c r="M27" s="168">
        <f>'[9]Linear Algebra'!F40</f>
        <v>7</v>
      </c>
      <c r="N27" s="249"/>
      <c r="O27" s="229">
        <f t="shared" si="5"/>
        <v>7</v>
      </c>
      <c r="P27" s="250">
        <v>10</v>
      </c>
      <c r="Q27" s="249">
        <v>16</v>
      </c>
      <c r="R27" s="249"/>
      <c r="S27" s="242"/>
      <c r="T27" s="229">
        <f>'[9]Linear Algebra'!G40</f>
        <v>26</v>
      </c>
      <c r="U27" s="243">
        <f>'[9]Linear Algebra'!H40</f>
        <v>8</v>
      </c>
      <c r="V27" s="241"/>
      <c r="W27" s="229">
        <f t="shared" si="6"/>
        <v>8</v>
      </c>
      <c r="X27" s="229">
        <f t="shared" si="0"/>
        <v>72</v>
      </c>
      <c r="Y27" s="244">
        <f t="shared" si="1"/>
        <v>0</v>
      </c>
      <c r="Z27" s="244">
        <f t="shared" si="2"/>
        <v>49</v>
      </c>
      <c r="AA27" s="244">
        <f t="shared" si="3"/>
        <v>23</v>
      </c>
      <c r="AB27" s="244">
        <f t="shared" si="7"/>
        <v>0</v>
      </c>
      <c r="AC27" s="244" t="str">
        <f t="shared" si="8"/>
        <v>Y</v>
      </c>
      <c r="AD27" s="244" t="str">
        <f t="shared" si="9"/>
        <v>Y</v>
      </c>
      <c r="AE27" s="279">
        <f t="shared" si="10"/>
        <v>70</v>
      </c>
      <c r="AF27" s="279">
        <f t="shared" si="11"/>
        <v>76.666666666666671</v>
      </c>
      <c r="AG27" s="222"/>
    </row>
    <row r="28" spans="1:33" ht="15.75" x14ac:dyDescent="0.25">
      <c r="A28" s="247">
        <v>19</v>
      </c>
      <c r="B28" s="248" t="s">
        <v>235</v>
      </c>
      <c r="C28" s="166" t="str">
        <f>'[9]Linear Algebra'!A41</f>
        <v>2023-IT-20</v>
      </c>
      <c r="D28" s="166" t="str">
        <f>'[9]Linear Algebra'!B41</f>
        <v>Husnain Saleem</v>
      </c>
      <c r="E28" s="168">
        <f>'[9]Linear Algebra'!D41</f>
        <v>9</v>
      </c>
      <c r="F28" s="168"/>
      <c r="G28" s="229">
        <f t="shared" si="4"/>
        <v>9</v>
      </c>
      <c r="H28" s="249">
        <v>9</v>
      </c>
      <c r="I28" s="249">
        <v>12</v>
      </c>
      <c r="J28" s="249"/>
      <c r="K28" s="249"/>
      <c r="L28" s="229">
        <f>'[9]Linear Algebra'!E41</f>
        <v>21</v>
      </c>
      <c r="M28" s="168">
        <f>'[9]Linear Algebra'!F41</f>
        <v>9</v>
      </c>
      <c r="N28" s="249"/>
      <c r="O28" s="229">
        <f t="shared" si="5"/>
        <v>9</v>
      </c>
      <c r="P28" s="250">
        <v>14</v>
      </c>
      <c r="Q28" s="249">
        <v>14</v>
      </c>
      <c r="R28" s="249"/>
      <c r="S28" s="242"/>
      <c r="T28" s="229">
        <f>'[9]Linear Algebra'!G41</f>
        <v>28</v>
      </c>
      <c r="U28" s="243">
        <f>'[9]Linear Algebra'!H41</f>
        <v>9</v>
      </c>
      <c r="V28" s="241"/>
      <c r="W28" s="229">
        <f t="shared" si="6"/>
        <v>9</v>
      </c>
      <c r="X28" s="229">
        <f t="shared" si="0"/>
        <v>76</v>
      </c>
      <c r="Y28" s="244">
        <f t="shared" si="1"/>
        <v>0</v>
      </c>
      <c r="Z28" s="244">
        <f t="shared" si="2"/>
        <v>53</v>
      </c>
      <c r="AA28" s="244">
        <f t="shared" si="3"/>
        <v>23</v>
      </c>
      <c r="AB28" s="244">
        <f t="shared" si="7"/>
        <v>0</v>
      </c>
      <c r="AC28" s="244" t="str">
        <f t="shared" si="8"/>
        <v>Y</v>
      </c>
      <c r="AD28" s="244" t="str">
        <f t="shared" si="9"/>
        <v>Y</v>
      </c>
      <c r="AE28" s="279">
        <f t="shared" si="10"/>
        <v>75.714285714285708</v>
      </c>
      <c r="AF28" s="279">
        <f t="shared" si="11"/>
        <v>76.666666666666671</v>
      </c>
      <c r="AG28" s="222"/>
    </row>
    <row r="29" spans="1:33" ht="15.75" x14ac:dyDescent="0.25">
      <c r="A29" s="245">
        <v>21</v>
      </c>
      <c r="B29" s="246" t="s">
        <v>236</v>
      </c>
      <c r="C29" s="166" t="str">
        <f>'[9]Linear Algebra'!A42</f>
        <v>2023-IT-22</v>
      </c>
      <c r="D29" s="166" t="str">
        <f>'[9]Linear Algebra'!B42</f>
        <v>Muhammad Sameer</v>
      </c>
      <c r="E29" s="168">
        <f>'[9]Linear Algebra'!D42</f>
        <v>7</v>
      </c>
      <c r="F29" s="168"/>
      <c r="G29" s="229">
        <f t="shared" si="4"/>
        <v>7</v>
      </c>
      <c r="H29" s="249">
        <v>9</v>
      </c>
      <c r="I29" s="249">
        <v>10</v>
      </c>
      <c r="J29" s="249"/>
      <c r="K29" s="249"/>
      <c r="L29" s="229">
        <f>'[9]Linear Algebra'!E42</f>
        <v>19</v>
      </c>
      <c r="M29" s="168">
        <f>'[9]Linear Algebra'!F42</f>
        <v>8</v>
      </c>
      <c r="N29" s="249"/>
      <c r="O29" s="229">
        <f t="shared" si="5"/>
        <v>8</v>
      </c>
      <c r="P29" s="250">
        <v>15</v>
      </c>
      <c r="Q29" s="249">
        <v>15</v>
      </c>
      <c r="R29" s="249"/>
      <c r="S29" s="242"/>
      <c r="T29" s="229">
        <f>'[9]Linear Algebra'!G42</f>
        <v>30</v>
      </c>
      <c r="U29" s="243">
        <f>'[9]Linear Algebra'!H42</f>
        <v>8</v>
      </c>
      <c r="V29" s="241"/>
      <c r="W29" s="229">
        <f t="shared" si="6"/>
        <v>8</v>
      </c>
      <c r="X29" s="229">
        <f t="shared" si="0"/>
        <v>72</v>
      </c>
      <c r="Y29" s="244">
        <f t="shared" si="1"/>
        <v>0</v>
      </c>
      <c r="Z29" s="244">
        <f t="shared" si="2"/>
        <v>49</v>
      </c>
      <c r="AA29" s="244">
        <f t="shared" si="3"/>
        <v>23</v>
      </c>
      <c r="AB29" s="244">
        <f t="shared" si="7"/>
        <v>0</v>
      </c>
      <c r="AC29" s="244" t="str">
        <f t="shared" si="8"/>
        <v>Y</v>
      </c>
      <c r="AD29" s="244" t="str">
        <f t="shared" si="9"/>
        <v>Y</v>
      </c>
      <c r="AE29" s="279">
        <f t="shared" si="10"/>
        <v>70</v>
      </c>
      <c r="AF29" s="279">
        <f t="shared" si="11"/>
        <v>76.666666666666671</v>
      </c>
      <c r="AG29" s="222"/>
    </row>
    <row r="30" spans="1:33" ht="15.75" x14ac:dyDescent="0.25">
      <c r="A30" s="245">
        <v>22</v>
      </c>
      <c r="B30" s="246" t="s">
        <v>237</v>
      </c>
      <c r="C30" s="166" t="str">
        <f>'[9]Linear Algebra'!A43</f>
        <v>2023-IT-24</v>
      </c>
      <c r="D30" s="166" t="str">
        <f>'[9]Linear Algebra'!B43</f>
        <v>Sher Shah Hussain</v>
      </c>
      <c r="E30" s="168">
        <f>'[9]Linear Algebra'!D43</f>
        <v>9</v>
      </c>
      <c r="F30" s="168"/>
      <c r="G30" s="229">
        <f t="shared" si="4"/>
        <v>9</v>
      </c>
      <c r="H30" s="249">
        <v>10</v>
      </c>
      <c r="I30" s="249">
        <v>16</v>
      </c>
      <c r="J30" s="249"/>
      <c r="K30" s="249"/>
      <c r="L30" s="229">
        <f>'[9]Linear Algebra'!E43</f>
        <v>26</v>
      </c>
      <c r="M30" s="168">
        <f>'[9]Linear Algebra'!F43</f>
        <v>9</v>
      </c>
      <c r="N30" s="249"/>
      <c r="O30" s="229">
        <f t="shared" si="5"/>
        <v>9</v>
      </c>
      <c r="P30" s="250">
        <v>14</v>
      </c>
      <c r="Q30" s="249">
        <v>16</v>
      </c>
      <c r="R30" s="249"/>
      <c r="S30" s="242"/>
      <c r="T30" s="229">
        <f>'[9]Linear Algebra'!G43</f>
        <v>30</v>
      </c>
      <c r="U30" s="243">
        <f>'[9]Linear Algebra'!H43</f>
        <v>9</v>
      </c>
      <c r="V30" s="241"/>
      <c r="W30" s="229">
        <f t="shared" si="6"/>
        <v>9</v>
      </c>
      <c r="X30" s="229">
        <f t="shared" si="0"/>
        <v>83</v>
      </c>
      <c r="Y30" s="244">
        <f t="shared" si="1"/>
        <v>0</v>
      </c>
      <c r="Z30" s="244">
        <f t="shared" si="2"/>
        <v>58</v>
      </c>
      <c r="AA30" s="244">
        <f t="shared" si="3"/>
        <v>25</v>
      </c>
      <c r="AB30" s="244">
        <f t="shared" si="7"/>
        <v>0</v>
      </c>
      <c r="AC30" s="244" t="str">
        <f t="shared" si="8"/>
        <v>Y</v>
      </c>
      <c r="AD30" s="244" t="str">
        <f t="shared" si="9"/>
        <v>Y</v>
      </c>
      <c r="AE30" s="279">
        <f t="shared" si="10"/>
        <v>82.857142857142861</v>
      </c>
      <c r="AF30" s="279">
        <f t="shared" si="11"/>
        <v>83.333333333333343</v>
      </c>
      <c r="AG30" s="222"/>
    </row>
    <row r="31" spans="1:33" ht="15.75" x14ac:dyDescent="0.25">
      <c r="A31" s="247">
        <v>23</v>
      </c>
      <c r="B31" s="248" t="s">
        <v>238</v>
      </c>
      <c r="C31" s="166" t="str">
        <f>'[9]Linear Algebra'!A44</f>
        <v>2023-IT-26</v>
      </c>
      <c r="D31" s="166" t="str">
        <f>'[9]Linear Algebra'!B44</f>
        <v>Abdul Ahad</v>
      </c>
      <c r="E31" s="168">
        <f>'[9]Linear Algebra'!D44</f>
        <v>0</v>
      </c>
      <c r="F31" s="168"/>
      <c r="G31" s="229">
        <f t="shared" si="4"/>
        <v>0</v>
      </c>
      <c r="H31" s="249">
        <v>0</v>
      </c>
      <c r="I31" s="249">
        <v>0</v>
      </c>
      <c r="J31" s="249"/>
      <c r="K31" s="249"/>
      <c r="L31" s="229">
        <f>'[9]Linear Algebra'!E44</f>
        <v>0</v>
      </c>
      <c r="M31" s="168">
        <f>'[9]Linear Algebra'!F44</f>
        <v>0</v>
      </c>
      <c r="N31" s="249"/>
      <c r="O31" s="229">
        <f t="shared" si="5"/>
        <v>0</v>
      </c>
      <c r="P31" s="250">
        <v>0</v>
      </c>
      <c r="Q31" s="249">
        <v>0</v>
      </c>
      <c r="R31" s="249"/>
      <c r="S31" s="242"/>
      <c r="T31" s="229">
        <f>'[9]Linear Algebra'!G44</f>
        <v>0</v>
      </c>
      <c r="U31" s="243">
        <f>'[9]Linear Algebra'!H44</f>
        <v>0</v>
      </c>
      <c r="V31" s="241"/>
      <c r="W31" s="229">
        <f t="shared" si="6"/>
        <v>0</v>
      </c>
      <c r="X31" s="229">
        <f t="shared" si="0"/>
        <v>0</v>
      </c>
      <c r="Y31" s="244">
        <f t="shared" si="1"/>
        <v>0</v>
      </c>
      <c r="Z31" s="244">
        <f t="shared" si="2"/>
        <v>0</v>
      </c>
      <c r="AA31" s="244">
        <f t="shared" si="3"/>
        <v>0</v>
      </c>
      <c r="AB31" s="244">
        <f t="shared" si="7"/>
        <v>0</v>
      </c>
      <c r="AC31" s="244" t="str">
        <f t="shared" si="8"/>
        <v>N</v>
      </c>
      <c r="AD31" s="244" t="str">
        <f t="shared" si="9"/>
        <v>N</v>
      </c>
      <c r="AE31" s="279">
        <f t="shared" si="10"/>
        <v>0</v>
      </c>
      <c r="AF31" s="279">
        <f t="shared" si="11"/>
        <v>0</v>
      </c>
      <c r="AG31" s="222"/>
    </row>
    <row r="32" spans="1:33" ht="15.75" x14ac:dyDescent="0.25">
      <c r="A32" s="247">
        <v>24</v>
      </c>
      <c r="B32" s="248" t="s">
        <v>239</v>
      </c>
      <c r="C32" s="166" t="str">
        <f>'[9]Linear Algebra'!A45</f>
        <v>2023-IT-28</v>
      </c>
      <c r="D32" s="166" t="str">
        <f>'[9]Linear Algebra'!B45</f>
        <v>Ahmad Latif</v>
      </c>
      <c r="E32" s="168">
        <f>'[9]Linear Algebra'!D45</f>
        <v>7</v>
      </c>
      <c r="F32" s="168"/>
      <c r="G32" s="229">
        <f t="shared" si="4"/>
        <v>7</v>
      </c>
      <c r="H32" s="249">
        <v>10</v>
      </c>
      <c r="I32" s="249">
        <v>16</v>
      </c>
      <c r="J32" s="249"/>
      <c r="K32" s="249"/>
      <c r="L32" s="229">
        <f>'[9]Linear Algebra'!E45</f>
        <v>16</v>
      </c>
      <c r="M32" s="168">
        <f>'[9]Linear Algebra'!F45</f>
        <v>7</v>
      </c>
      <c r="N32" s="249"/>
      <c r="O32" s="229">
        <f t="shared" si="5"/>
        <v>7</v>
      </c>
      <c r="P32" s="250">
        <v>10</v>
      </c>
      <c r="Q32" s="249">
        <v>10</v>
      </c>
      <c r="R32" s="249"/>
      <c r="S32" s="242"/>
      <c r="T32" s="229">
        <f>'[9]Linear Algebra'!G45</f>
        <v>20</v>
      </c>
      <c r="U32" s="243">
        <f>'[9]Linear Algebra'!H45</f>
        <v>7</v>
      </c>
      <c r="V32" s="241"/>
      <c r="W32" s="229">
        <f t="shared" si="6"/>
        <v>7</v>
      </c>
      <c r="X32" s="229">
        <f t="shared" si="0"/>
        <v>57</v>
      </c>
      <c r="Y32" s="244">
        <f t="shared" si="1"/>
        <v>0</v>
      </c>
      <c r="Z32" s="244">
        <f t="shared" si="2"/>
        <v>50</v>
      </c>
      <c r="AA32" s="244">
        <f t="shared" si="3"/>
        <v>17</v>
      </c>
      <c r="AB32" s="244">
        <f t="shared" si="7"/>
        <v>0</v>
      </c>
      <c r="AC32" s="244" t="str">
        <f t="shared" si="8"/>
        <v>Y</v>
      </c>
      <c r="AD32" s="244" t="str">
        <f t="shared" si="9"/>
        <v>Y</v>
      </c>
      <c r="AE32" s="279">
        <f t="shared" si="10"/>
        <v>71.428571428571431</v>
      </c>
      <c r="AF32" s="279">
        <f t="shared" si="11"/>
        <v>56.666666666666664</v>
      </c>
      <c r="AG32" s="222"/>
    </row>
    <row r="33" spans="1:33" ht="15.75" x14ac:dyDescent="0.25">
      <c r="A33" s="245">
        <v>25</v>
      </c>
      <c r="B33" s="246" t="s">
        <v>240</v>
      </c>
      <c r="C33" s="166" t="str">
        <f>'[9]Linear Algebra'!A46</f>
        <v>2023-IT-32</v>
      </c>
      <c r="D33" s="166" t="str">
        <f>'[9]Linear Algebra'!B46</f>
        <v>Muhammad Faisal</v>
      </c>
      <c r="E33" s="168">
        <f>'[9]Linear Algebra'!D46</f>
        <v>9</v>
      </c>
      <c r="F33" s="168"/>
      <c r="G33" s="229">
        <f t="shared" si="4"/>
        <v>9</v>
      </c>
      <c r="H33" s="249">
        <v>10</v>
      </c>
      <c r="I33" s="249">
        <v>13</v>
      </c>
      <c r="J33" s="249"/>
      <c r="K33" s="249"/>
      <c r="L33" s="229">
        <f>'[9]Linear Algebra'!E46</f>
        <v>23</v>
      </c>
      <c r="M33" s="168">
        <f>'[9]Linear Algebra'!F46</f>
        <v>9</v>
      </c>
      <c r="N33" s="249"/>
      <c r="O33" s="229">
        <f t="shared" si="5"/>
        <v>9</v>
      </c>
      <c r="P33" s="250">
        <v>15</v>
      </c>
      <c r="Q33" s="249">
        <v>16</v>
      </c>
      <c r="R33" s="249"/>
      <c r="S33" s="242"/>
      <c r="T33" s="229">
        <f>'[9]Linear Algebra'!G46</f>
        <v>31</v>
      </c>
      <c r="U33" s="243">
        <f>'[9]Linear Algebra'!H46</f>
        <v>8</v>
      </c>
      <c r="V33" s="241"/>
      <c r="W33" s="229">
        <f t="shared" si="6"/>
        <v>8</v>
      </c>
      <c r="X33" s="229">
        <f t="shared" si="0"/>
        <v>80</v>
      </c>
      <c r="Y33" s="244">
        <f t="shared" si="1"/>
        <v>0</v>
      </c>
      <c r="Z33" s="244">
        <f t="shared" si="2"/>
        <v>55</v>
      </c>
      <c r="AA33" s="244">
        <f t="shared" si="3"/>
        <v>25</v>
      </c>
      <c r="AB33" s="244">
        <f t="shared" si="7"/>
        <v>0</v>
      </c>
      <c r="AC33" s="244" t="str">
        <f t="shared" si="8"/>
        <v>Y</v>
      </c>
      <c r="AD33" s="244" t="str">
        <f t="shared" si="9"/>
        <v>Y</v>
      </c>
      <c r="AE33" s="279">
        <f t="shared" si="10"/>
        <v>78.571428571428569</v>
      </c>
      <c r="AF33" s="279">
        <f t="shared" si="11"/>
        <v>83.333333333333343</v>
      </c>
      <c r="AG33" s="222"/>
    </row>
    <row r="34" spans="1:33" ht="15.75" x14ac:dyDescent="0.25">
      <c r="A34" s="247">
        <v>27</v>
      </c>
      <c r="B34" s="248" t="s">
        <v>241</v>
      </c>
      <c r="C34" s="166" t="str">
        <f>'[9]Linear Algebra'!A47</f>
        <v>2023-IT-34</v>
      </c>
      <c r="D34" s="166" t="str">
        <f>'[9]Linear Algebra'!B47</f>
        <v>Jamshaid Abbas</v>
      </c>
      <c r="E34" s="168">
        <f>'[9]Linear Algebra'!D47</f>
        <v>4</v>
      </c>
      <c r="F34" s="168"/>
      <c r="G34" s="229">
        <f t="shared" si="4"/>
        <v>4</v>
      </c>
      <c r="H34" s="249">
        <v>0</v>
      </c>
      <c r="I34" s="249">
        <v>0</v>
      </c>
      <c r="J34" s="249"/>
      <c r="K34" s="249"/>
      <c r="L34" s="229">
        <f>'[9]Linear Algebra'!E47</f>
        <v>0</v>
      </c>
      <c r="M34" s="168">
        <f>'[9]Linear Algebra'!F47</f>
        <v>4</v>
      </c>
      <c r="N34" s="249"/>
      <c r="O34" s="229">
        <f t="shared" si="5"/>
        <v>4</v>
      </c>
      <c r="P34" s="250">
        <v>8</v>
      </c>
      <c r="Q34" s="249">
        <v>6</v>
      </c>
      <c r="R34" s="249"/>
      <c r="S34" s="242"/>
      <c r="T34" s="229">
        <f>'[9]Linear Algebra'!G47</f>
        <v>14</v>
      </c>
      <c r="U34" s="243">
        <f>'[9]Linear Algebra'!H47</f>
        <v>4</v>
      </c>
      <c r="V34" s="241"/>
      <c r="W34" s="229">
        <f t="shared" si="6"/>
        <v>4</v>
      </c>
      <c r="X34" s="229">
        <f t="shared" si="0"/>
        <v>26</v>
      </c>
      <c r="Y34" s="244">
        <f t="shared" si="1"/>
        <v>0</v>
      </c>
      <c r="Z34" s="244">
        <f t="shared" si="2"/>
        <v>16</v>
      </c>
      <c r="AA34" s="244">
        <f t="shared" si="3"/>
        <v>10</v>
      </c>
      <c r="AB34" s="244">
        <f t="shared" si="7"/>
        <v>0</v>
      </c>
      <c r="AC34" s="244" t="str">
        <f t="shared" si="8"/>
        <v>N</v>
      </c>
      <c r="AD34" s="244" t="str">
        <f t="shared" si="9"/>
        <v>N</v>
      </c>
      <c r="AE34" s="279">
        <f t="shared" si="10"/>
        <v>22.857142857142858</v>
      </c>
      <c r="AF34" s="279">
        <f t="shared" si="11"/>
        <v>33.333333333333329</v>
      </c>
      <c r="AG34" s="222"/>
    </row>
    <row r="35" spans="1:33" ht="15.75" x14ac:dyDescent="0.25">
      <c r="A35" s="245">
        <v>28</v>
      </c>
      <c r="B35" s="246" t="s">
        <v>242</v>
      </c>
      <c r="C35" s="166" t="str">
        <f>'[9]Linear Algebra'!A48</f>
        <v>2023-IT-38</v>
      </c>
      <c r="D35" s="166" t="str">
        <f>'[9]Linear Algebra'!B48</f>
        <v>Sherzaman Bukhari</v>
      </c>
      <c r="E35" s="168">
        <f>'[9]Linear Algebra'!D48</f>
        <v>8</v>
      </c>
      <c r="F35" s="168"/>
      <c r="G35" s="229">
        <f t="shared" si="4"/>
        <v>8</v>
      </c>
      <c r="H35" s="249">
        <v>8</v>
      </c>
      <c r="I35" s="249">
        <v>12</v>
      </c>
      <c r="J35" s="249"/>
      <c r="K35" s="249"/>
      <c r="L35" s="229">
        <f>'[9]Linear Algebra'!E48</f>
        <v>20</v>
      </c>
      <c r="M35" s="168">
        <f>'[9]Linear Algebra'!F48</f>
        <v>8</v>
      </c>
      <c r="N35" s="249"/>
      <c r="O35" s="229">
        <f t="shared" si="5"/>
        <v>8</v>
      </c>
      <c r="P35" s="250">
        <v>10</v>
      </c>
      <c r="Q35" s="249">
        <v>14</v>
      </c>
      <c r="R35" s="249"/>
      <c r="S35" s="242"/>
      <c r="T35" s="229">
        <f>'[9]Linear Algebra'!G48</f>
        <v>24</v>
      </c>
      <c r="U35" s="243">
        <f>'[9]Linear Algebra'!H48</f>
        <v>8</v>
      </c>
      <c r="V35" s="241"/>
      <c r="W35" s="229">
        <f t="shared" si="6"/>
        <v>8</v>
      </c>
      <c r="X35" s="229">
        <f t="shared" si="0"/>
        <v>68</v>
      </c>
      <c r="Y35" s="244">
        <f t="shared" si="1"/>
        <v>0</v>
      </c>
      <c r="Z35" s="244">
        <f t="shared" si="2"/>
        <v>46</v>
      </c>
      <c r="AA35" s="244">
        <f t="shared" si="3"/>
        <v>22</v>
      </c>
      <c r="AB35" s="244">
        <f t="shared" si="7"/>
        <v>0</v>
      </c>
      <c r="AC35" s="244" t="str">
        <f t="shared" si="8"/>
        <v>Y</v>
      </c>
      <c r="AD35" s="244" t="str">
        <f t="shared" si="9"/>
        <v>Y</v>
      </c>
      <c r="AE35" s="279">
        <f t="shared" si="10"/>
        <v>65.714285714285708</v>
      </c>
      <c r="AF35" s="279">
        <f t="shared" si="11"/>
        <v>73.333333333333329</v>
      </c>
      <c r="AG35" s="222"/>
    </row>
    <row r="36" spans="1:33" ht="15.75" x14ac:dyDescent="0.25">
      <c r="A36" s="245"/>
      <c r="B36" s="246"/>
      <c r="C36" s="166" t="str">
        <f>'[9]Linear Algebra'!A49</f>
        <v>2023-IT-40</v>
      </c>
      <c r="D36" s="166" t="str">
        <f>'[9]Linear Algebra'!B49</f>
        <v>Ahmad Raza Shareef</v>
      </c>
      <c r="E36" s="168">
        <f>'[9]Linear Algebra'!D49</f>
        <v>7</v>
      </c>
      <c r="F36" s="168"/>
      <c r="G36" s="229">
        <f t="shared" si="4"/>
        <v>7</v>
      </c>
      <c r="H36" s="249">
        <v>9</v>
      </c>
      <c r="I36" s="249">
        <v>12</v>
      </c>
      <c r="J36" s="249"/>
      <c r="K36" s="249"/>
      <c r="L36" s="229">
        <f>'[9]Linear Algebra'!E49</f>
        <v>21</v>
      </c>
      <c r="M36" s="168">
        <f>'[9]Linear Algebra'!F49</f>
        <v>7</v>
      </c>
      <c r="N36" s="249"/>
      <c r="O36" s="229">
        <f t="shared" si="5"/>
        <v>7</v>
      </c>
      <c r="P36" s="250">
        <v>10</v>
      </c>
      <c r="Q36" s="249">
        <v>17</v>
      </c>
      <c r="R36" s="249"/>
      <c r="S36" s="242"/>
      <c r="T36" s="229">
        <f>'[9]Linear Algebra'!G49</f>
        <v>27</v>
      </c>
      <c r="U36" s="243">
        <f>'[9]Linear Algebra'!H49</f>
        <v>7</v>
      </c>
      <c r="V36" s="241"/>
      <c r="W36" s="229">
        <f t="shared" si="6"/>
        <v>7</v>
      </c>
      <c r="X36" s="229">
        <f t="shared" si="0"/>
        <v>69</v>
      </c>
      <c r="Y36" s="244">
        <f t="shared" si="1"/>
        <v>0</v>
      </c>
      <c r="Z36" s="244">
        <f t="shared" si="2"/>
        <v>45</v>
      </c>
      <c r="AA36" s="244">
        <f t="shared" si="3"/>
        <v>24</v>
      </c>
      <c r="AB36" s="244">
        <f t="shared" si="7"/>
        <v>0</v>
      </c>
      <c r="AC36" s="244" t="str">
        <f t="shared" si="8"/>
        <v>Y</v>
      </c>
      <c r="AD36" s="244" t="str">
        <f t="shared" si="9"/>
        <v>Y</v>
      </c>
      <c r="AE36" s="279">
        <f t="shared" si="10"/>
        <v>64.285714285714292</v>
      </c>
      <c r="AF36" s="279">
        <f t="shared" si="11"/>
        <v>80</v>
      </c>
      <c r="AG36" s="222"/>
    </row>
    <row r="37" spans="1:33" ht="15.75" x14ac:dyDescent="0.25">
      <c r="A37" s="245"/>
      <c r="B37" s="246"/>
      <c r="C37" s="166" t="str">
        <f>'[9]Linear Algebra'!A50</f>
        <v>2023-IT-41</v>
      </c>
      <c r="D37" s="166" t="str">
        <f>'[9]Linear Algebra'!B50</f>
        <v>Anas Noor</v>
      </c>
      <c r="E37" s="168">
        <f>'[9]Linear Algebra'!D50</f>
        <v>0</v>
      </c>
      <c r="F37" s="168"/>
      <c r="G37" s="229">
        <f t="shared" si="4"/>
        <v>0</v>
      </c>
      <c r="H37" s="249">
        <v>0</v>
      </c>
      <c r="I37" s="249">
        <v>0</v>
      </c>
      <c r="J37" s="249"/>
      <c r="K37" s="249"/>
      <c r="L37" s="229">
        <f>'[9]Linear Algebra'!E50</f>
        <v>0</v>
      </c>
      <c r="M37" s="168">
        <f>'[9]Linear Algebra'!F50</f>
        <v>0</v>
      </c>
      <c r="N37" s="249"/>
      <c r="O37" s="229">
        <f t="shared" si="5"/>
        <v>0</v>
      </c>
      <c r="P37" s="250">
        <v>0</v>
      </c>
      <c r="Q37" s="249">
        <v>0</v>
      </c>
      <c r="R37" s="249"/>
      <c r="S37" s="242"/>
      <c r="T37" s="229">
        <f>'[9]Linear Algebra'!G50</f>
        <v>0</v>
      </c>
      <c r="U37" s="243">
        <f>'[9]Linear Algebra'!H50</f>
        <v>0</v>
      </c>
      <c r="V37" s="241"/>
      <c r="W37" s="229">
        <f t="shared" si="6"/>
        <v>0</v>
      </c>
      <c r="X37" s="229">
        <f t="shared" si="0"/>
        <v>0</v>
      </c>
      <c r="Y37" s="244">
        <f t="shared" si="1"/>
        <v>0</v>
      </c>
      <c r="Z37" s="244">
        <f t="shared" si="2"/>
        <v>0</v>
      </c>
      <c r="AA37" s="244">
        <f t="shared" si="3"/>
        <v>0</v>
      </c>
      <c r="AB37" s="244">
        <f t="shared" si="7"/>
        <v>0</v>
      </c>
      <c r="AC37" s="244" t="str">
        <f t="shared" si="8"/>
        <v>N</v>
      </c>
      <c r="AD37" s="244" t="str">
        <f t="shared" si="9"/>
        <v>N</v>
      </c>
      <c r="AE37" s="279">
        <f t="shared" si="10"/>
        <v>0</v>
      </c>
      <c r="AF37" s="279">
        <f t="shared" si="11"/>
        <v>0</v>
      </c>
      <c r="AG37" s="222"/>
    </row>
    <row r="38" spans="1:33" ht="15.75" x14ac:dyDescent="0.25">
      <c r="A38" s="247"/>
      <c r="B38" s="248"/>
      <c r="C38" s="166" t="str">
        <f>'[9]Linear Algebra'!A51</f>
        <v>2023-IT-42</v>
      </c>
      <c r="D38" s="166" t="str">
        <f>'[9]Linear Algebra'!B51</f>
        <v>Muhammad Moosa Bhatti</v>
      </c>
      <c r="E38" s="168">
        <f>'[9]Linear Algebra'!D51</f>
        <v>8</v>
      </c>
      <c r="F38" s="168"/>
      <c r="G38" s="229">
        <f t="shared" si="4"/>
        <v>8</v>
      </c>
      <c r="H38" s="249">
        <v>9</v>
      </c>
      <c r="I38" s="249">
        <v>12</v>
      </c>
      <c r="J38" s="249"/>
      <c r="K38" s="249"/>
      <c r="L38" s="229">
        <f>'[9]Linear Algebra'!E51</f>
        <v>21</v>
      </c>
      <c r="M38" s="168">
        <f>'[9]Linear Algebra'!F51</f>
        <v>8</v>
      </c>
      <c r="N38" s="249"/>
      <c r="O38" s="229">
        <f t="shared" si="5"/>
        <v>8</v>
      </c>
      <c r="P38" s="250">
        <v>10</v>
      </c>
      <c r="Q38" s="249">
        <v>12</v>
      </c>
      <c r="R38" s="249"/>
      <c r="S38" s="242"/>
      <c r="T38" s="229">
        <f>'[9]Linear Algebra'!G51</f>
        <v>22</v>
      </c>
      <c r="U38" s="243">
        <f>'[9]Linear Algebra'!H51</f>
        <v>8</v>
      </c>
      <c r="V38" s="241"/>
      <c r="W38" s="229">
        <f t="shared" si="6"/>
        <v>8</v>
      </c>
      <c r="X38" s="229">
        <f t="shared" si="0"/>
        <v>67</v>
      </c>
      <c r="Y38" s="244">
        <f t="shared" si="1"/>
        <v>0</v>
      </c>
      <c r="Z38" s="244">
        <f t="shared" si="2"/>
        <v>47</v>
      </c>
      <c r="AA38" s="244">
        <f t="shared" si="3"/>
        <v>20</v>
      </c>
      <c r="AB38" s="244">
        <f t="shared" si="7"/>
        <v>0</v>
      </c>
      <c r="AC38" s="244" t="str">
        <f t="shared" si="8"/>
        <v>Y</v>
      </c>
      <c r="AD38" s="244" t="str">
        <f t="shared" si="9"/>
        <v>Y</v>
      </c>
      <c r="AE38" s="279">
        <f t="shared" si="10"/>
        <v>67.142857142857139</v>
      </c>
      <c r="AF38" s="279">
        <f t="shared" si="11"/>
        <v>66.666666666666657</v>
      </c>
      <c r="AG38" s="222"/>
    </row>
    <row r="39" spans="1:33" ht="15.75" x14ac:dyDescent="0.25">
      <c r="A39" s="245"/>
      <c r="B39" s="246"/>
      <c r="C39" s="166" t="str">
        <f>'[9]Linear Algebra'!A52</f>
        <v>2023-IT-44</v>
      </c>
      <c r="D39" s="166" t="str">
        <f>'[9]Linear Algebra'!B52</f>
        <v>Muhammad Nouman Aslam</v>
      </c>
      <c r="E39" s="168">
        <f>'[9]Linear Algebra'!D52</f>
        <v>7</v>
      </c>
      <c r="F39" s="168"/>
      <c r="G39" s="229">
        <f t="shared" si="4"/>
        <v>7</v>
      </c>
      <c r="H39" s="249">
        <v>5</v>
      </c>
      <c r="I39" s="249">
        <v>10</v>
      </c>
      <c r="J39" s="249"/>
      <c r="K39" s="249"/>
      <c r="L39" s="229">
        <f>'[9]Linear Algebra'!E52</f>
        <v>15</v>
      </c>
      <c r="M39" s="168">
        <f>'[9]Linear Algebra'!F52</f>
        <v>8</v>
      </c>
      <c r="N39" s="249"/>
      <c r="O39" s="229">
        <f t="shared" si="5"/>
        <v>8</v>
      </c>
      <c r="P39" s="250">
        <v>10</v>
      </c>
      <c r="Q39" s="249">
        <v>15</v>
      </c>
      <c r="R39" s="249"/>
      <c r="S39" s="242"/>
      <c r="T39" s="229">
        <f>'[9]Linear Algebra'!G52</f>
        <v>25</v>
      </c>
      <c r="U39" s="243">
        <f>'[9]Linear Algebra'!H52</f>
        <v>8</v>
      </c>
      <c r="V39" s="241"/>
      <c r="W39" s="229">
        <f t="shared" si="6"/>
        <v>8</v>
      </c>
      <c r="X39" s="229">
        <f t="shared" si="0"/>
        <v>63</v>
      </c>
      <c r="Y39" s="244">
        <f t="shared" si="1"/>
        <v>0</v>
      </c>
      <c r="Z39" s="244">
        <f t="shared" si="2"/>
        <v>40</v>
      </c>
      <c r="AA39" s="244">
        <f t="shared" si="3"/>
        <v>23</v>
      </c>
      <c r="AB39" s="244">
        <f t="shared" si="7"/>
        <v>0</v>
      </c>
      <c r="AC39" s="244" t="str">
        <f t="shared" si="8"/>
        <v>Y</v>
      </c>
      <c r="AD39" s="244" t="str">
        <f t="shared" si="9"/>
        <v>Y</v>
      </c>
      <c r="AE39" s="279">
        <f t="shared" si="10"/>
        <v>57.142857142857139</v>
      </c>
      <c r="AF39" s="279">
        <f t="shared" si="11"/>
        <v>76.666666666666671</v>
      </c>
      <c r="AG39" s="222"/>
    </row>
    <row r="40" spans="1:33" ht="15.75" x14ac:dyDescent="0.25">
      <c r="A40" s="245"/>
      <c r="B40" s="246"/>
      <c r="C40" s="166" t="str">
        <f>'[9]Linear Algebra'!A53</f>
        <v>2023-IT-46</v>
      </c>
      <c r="D40" s="166" t="str">
        <f>'[9]Linear Algebra'!B53</f>
        <v>Muhammad Haseeb Anjum</v>
      </c>
      <c r="E40" s="168">
        <f>'[9]Linear Algebra'!D53</f>
        <v>9</v>
      </c>
      <c r="F40" s="168"/>
      <c r="G40" s="229">
        <f t="shared" si="4"/>
        <v>9</v>
      </c>
      <c r="H40" s="249">
        <v>10</v>
      </c>
      <c r="I40" s="249">
        <v>22</v>
      </c>
      <c r="J40" s="249"/>
      <c r="K40" s="249"/>
      <c r="L40" s="229">
        <f>'[9]Linear Algebra'!E53</f>
        <v>22</v>
      </c>
      <c r="M40" s="168">
        <f>'[9]Linear Algebra'!F53</f>
        <v>9</v>
      </c>
      <c r="N40" s="249"/>
      <c r="O40" s="229">
        <f t="shared" si="5"/>
        <v>9</v>
      </c>
      <c r="P40" s="250">
        <v>15</v>
      </c>
      <c r="Q40" s="249">
        <v>16</v>
      </c>
      <c r="R40" s="249"/>
      <c r="S40" s="242"/>
      <c r="T40" s="229">
        <f>'[9]Linear Algebra'!G53</f>
        <v>31</v>
      </c>
      <c r="U40" s="243">
        <f>'[9]Linear Algebra'!H53</f>
        <v>9</v>
      </c>
      <c r="V40" s="241"/>
      <c r="W40" s="229">
        <f t="shared" si="6"/>
        <v>9</v>
      </c>
      <c r="X40" s="229">
        <f t="shared" si="0"/>
        <v>80</v>
      </c>
      <c r="Y40" s="244">
        <f t="shared" si="1"/>
        <v>0</v>
      </c>
      <c r="Z40" s="244">
        <f t="shared" si="2"/>
        <v>65</v>
      </c>
      <c r="AA40" s="244">
        <f t="shared" si="3"/>
        <v>25</v>
      </c>
      <c r="AB40" s="244">
        <f t="shared" si="7"/>
        <v>0</v>
      </c>
      <c r="AC40" s="244" t="str">
        <f t="shared" si="8"/>
        <v>Y</v>
      </c>
      <c r="AD40" s="244" t="str">
        <f t="shared" si="9"/>
        <v>Y</v>
      </c>
      <c r="AE40" s="279">
        <f t="shared" si="10"/>
        <v>92.857142857142861</v>
      </c>
      <c r="AF40" s="279">
        <f t="shared" si="11"/>
        <v>83.333333333333343</v>
      </c>
      <c r="AG40" s="222"/>
    </row>
    <row r="41" spans="1:33" ht="15.75" x14ac:dyDescent="0.25">
      <c r="A41" s="245"/>
      <c r="B41" s="246"/>
      <c r="C41" s="166" t="str">
        <f>'[9]Linear Algebra'!A54</f>
        <v>2023-IT-48</v>
      </c>
      <c r="D41" s="166" t="str">
        <f>'[9]Linear Algebra'!B54</f>
        <v>Muhammad Arslan Waheed</v>
      </c>
      <c r="E41" s="168">
        <f>'[9]Linear Algebra'!D54</f>
        <v>8</v>
      </c>
      <c r="F41" s="168"/>
      <c r="G41" s="229">
        <f t="shared" si="4"/>
        <v>8</v>
      </c>
      <c r="H41" s="249">
        <v>8</v>
      </c>
      <c r="I41" s="249">
        <v>12</v>
      </c>
      <c r="J41" s="249"/>
      <c r="K41" s="249"/>
      <c r="L41" s="229">
        <f>'[9]Linear Algebra'!E54</f>
        <v>20</v>
      </c>
      <c r="M41" s="168">
        <f>'[9]Linear Algebra'!F54</f>
        <v>8</v>
      </c>
      <c r="N41" s="249"/>
      <c r="O41" s="229">
        <f t="shared" si="5"/>
        <v>8</v>
      </c>
      <c r="P41" s="250">
        <v>10</v>
      </c>
      <c r="Q41" s="249">
        <v>15</v>
      </c>
      <c r="R41" s="249"/>
      <c r="S41" s="242"/>
      <c r="T41" s="229">
        <f>'[9]Linear Algebra'!G54</f>
        <v>25</v>
      </c>
      <c r="U41" s="243">
        <f>'[9]Linear Algebra'!H54</f>
        <v>8</v>
      </c>
      <c r="V41" s="241"/>
      <c r="W41" s="229">
        <f t="shared" si="6"/>
        <v>8</v>
      </c>
      <c r="X41" s="229">
        <f t="shared" si="0"/>
        <v>69</v>
      </c>
      <c r="Y41" s="244">
        <f t="shared" si="1"/>
        <v>0</v>
      </c>
      <c r="Z41" s="244">
        <f t="shared" si="2"/>
        <v>46</v>
      </c>
      <c r="AA41" s="244">
        <f t="shared" si="3"/>
        <v>23</v>
      </c>
      <c r="AB41" s="244">
        <f t="shared" si="7"/>
        <v>0</v>
      </c>
      <c r="AC41" s="244" t="str">
        <f t="shared" si="8"/>
        <v>Y</v>
      </c>
      <c r="AD41" s="244" t="str">
        <f t="shared" si="9"/>
        <v>Y</v>
      </c>
      <c r="AE41" s="279">
        <f t="shared" si="10"/>
        <v>65.714285714285708</v>
      </c>
      <c r="AF41" s="279">
        <f t="shared" si="11"/>
        <v>76.666666666666671</v>
      </c>
      <c r="AG41" s="222"/>
    </row>
    <row r="42" spans="1:33" ht="15.75" x14ac:dyDescent="0.25">
      <c r="A42" s="245"/>
      <c r="B42" s="246"/>
      <c r="C42" s="166" t="str">
        <f>'[9]Linear Algebra'!A55</f>
        <v>2023-IT-50</v>
      </c>
      <c r="D42" s="166" t="str">
        <f>'[9]Linear Algebra'!B55</f>
        <v>Hafiz Muhammad Hasnain Saif</v>
      </c>
      <c r="E42" s="168">
        <f>'[9]Linear Algebra'!D55</f>
        <v>8</v>
      </c>
      <c r="F42" s="168"/>
      <c r="G42" s="229">
        <f t="shared" si="4"/>
        <v>8</v>
      </c>
      <c r="H42" s="249">
        <v>9</v>
      </c>
      <c r="I42" s="249">
        <v>12</v>
      </c>
      <c r="J42" s="249"/>
      <c r="K42" s="249"/>
      <c r="L42" s="229">
        <f>'[9]Linear Algebra'!E55</f>
        <v>21</v>
      </c>
      <c r="M42" s="168">
        <f>'[9]Linear Algebra'!F55</f>
        <v>7</v>
      </c>
      <c r="N42" s="249"/>
      <c r="O42" s="229">
        <f t="shared" si="5"/>
        <v>7</v>
      </c>
      <c r="P42" s="250">
        <v>10</v>
      </c>
      <c r="Q42" s="249">
        <v>16</v>
      </c>
      <c r="R42" s="249"/>
      <c r="S42" s="242"/>
      <c r="T42" s="229">
        <f>'[9]Linear Algebra'!G55</f>
        <v>26</v>
      </c>
      <c r="U42" s="243">
        <f>'[9]Linear Algebra'!H55</f>
        <v>7</v>
      </c>
      <c r="V42" s="241"/>
      <c r="W42" s="229">
        <f t="shared" si="6"/>
        <v>7</v>
      </c>
      <c r="X42" s="229">
        <f t="shared" si="0"/>
        <v>69</v>
      </c>
      <c r="Y42" s="244">
        <f t="shared" si="1"/>
        <v>0</v>
      </c>
      <c r="Z42" s="244">
        <f t="shared" si="2"/>
        <v>46</v>
      </c>
      <c r="AA42" s="244">
        <f t="shared" si="3"/>
        <v>23</v>
      </c>
      <c r="AB42" s="244">
        <f t="shared" si="7"/>
        <v>0</v>
      </c>
      <c r="AC42" s="244" t="str">
        <f t="shared" si="8"/>
        <v>Y</v>
      </c>
      <c r="AD42" s="244" t="str">
        <f t="shared" si="9"/>
        <v>Y</v>
      </c>
      <c r="AE42" s="279">
        <f t="shared" si="10"/>
        <v>65.714285714285708</v>
      </c>
      <c r="AF42" s="279">
        <f t="shared" si="11"/>
        <v>76.666666666666671</v>
      </c>
      <c r="AG42" s="222"/>
    </row>
    <row r="43" spans="1:33" ht="15.75" x14ac:dyDescent="0.25">
      <c r="A43" s="245"/>
      <c r="B43" s="246"/>
      <c r="C43" s="166" t="str">
        <f>'[9]Linear Algebra'!A56</f>
        <v>2023-IT-54</v>
      </c>
      <c r="D43" s="166" t="str">
        <f>'[9]Linear Algebra'!B56</f>
        <v>Muhammad Zeeshan</v>
      </c>
      <c r="E43" s="168">
        <f>'[9]Linear Algebra'!D56</f>
        <v>7</v>
      </c>
      <c r="F43" s="168"/>
      <c r="G43" s="229">
        <f t="shared" si="4"/>
        <v>7</v>
      </c>
      <c r="H43" s="249">
        <v>8</v>
      </c>
      <c r="I43" s="249">
        <v>10</v>
      </c>
      <c r="J43" s="249"/>
      <c r="K43" s="249"/>
      <c r="L43" s="229">
        <f>'[9]Linear Algebra'!E56</f>
        <v>18</v>
      </c>
      <c r="M43" s="168">
        <f>'[9]Linear Algebra'!F56</f>
        <v>8</v>
      </c>
      <c r="N43" s="249"/>
      <c r="O43" s="229">
        <f t="shared" si="5"/>
        <v>8</v>
      </c>
      <c r="P43" s="250">
        <v>12</v>
      </c>
      <c r="Q43" s="249">
        <v>16</v>
      </c>
      <c r="R43" s="249"/>
      <c r="S43" s="242"/>
      <c r="T43" s="229">
        <f>'[9]Linear Algebra'!G56</f>
        <v>28</v>
      </c>
      <c r="U43" s="243">
        <f>'[9]Linear Algebra'!H56</f>
        <v>8</v>
      </c>
      <c r="V43" s="241"/>
      <c r="W43" s="229">
        <f t="shared" si="6"/>
        <v>8</v>
      </c>
      <c r="X43" s="229">
        <f t="shared" si="0"/>
        <v>69</v>
      </c>
      <c r="Y43" s="244">
        <f t="shared" si="1"/>
        <v>0</v>
      </c>
      <c r="Z43" s="244">
        <f t="shared" si="2"/>
        <v>45</v>
      </c>
      <c r="AA43" s="244">
        <f t="shared" si="3"/>
        <v>24</v>
      </c>
      <c r="AB43" s="244">
        <f t="shared" si="7"/>
        <v>0</v>
      </c>
      <c r="AC43" s="244" t="str">
        <f t="shared" si="8"/>
        <v>Y</v>
      </c>
      <c r="AD43" s="244" t="str">
        <f t="shared" si="9"/>
        <v>Y</v>
      </c>
      <c r="AE43" s="279">
        <f t="shared" si="10"/>
        <v>64.285714285714292</v>
      </c>
      <c r="AF43" s="279">
        <f t="shared" si="11"/>
        <v>80</v>
      </c>
      <c r="AG43" s="222"/>
    </row>
    <row r="44" spans="1:33" ht="15.75" x14ac:dyDescent="0.25">
      <c r="A44" s="245"/>
      <c r="B44" s="246"/>
      <c r="C44" s="166" t="str">
        <f>'[9]Linear Algebra'!A57</f>
        <v>2023-IT-56</v>
      </c>
      <c r="D44" s="166" t="str">
        <f>'[9]Linear Algebra'!B57</f>
        <v>Muhammad Adeel</v>
      </c>
      <c r="E44" s="168">
        <f>'[9]Linear Algebra'!D57</f>
        <v>5</v>
      </c>
      <c r="F44" s="168"/>
      <c r="G44" s="229">
        <f t="shared" si="4"/>
        <v>5</v>
      </c>
      <c r="H44" s="249">
        <v>5</v>
      </c>
      <c r="I44" s="249">
        <v>5</v>
      </c>
      <c r="J44" s="249"/>
      <c r="K44" s="249"/>
      <c r="L44" s="229">
        <f>'[9]Linear Algebra'!E57</f>
        <v>10</v>
      </c>
      <c r="M44" s="168">
        <f>'[9]Linear Algebra'!F57</f>
        <v>7</v>
      </c>
      <c r="N44" s="249"/>
      <c r="O44" s="229">
        <f t="shared" si="5"/>
        <v>7</v>
      </c>
      <c r="P44" s="250">
        <v>10</v>
      </c>
      <c r="Q44" s="249">
        <v>13</v>
      </c>
      <c r="R44" s="249"/>
      <c r="S44" s="242"/>
      <c r="T44" s="229">
        <f>'[9]Linear Algebra'!G57</f>
        <v>23</v>
      </c>
      <c r="U44" s="243">
        <f>'[9]Linear Algebra'!H57</f>
        <v>7</v>
      </c>
      <c r="V44" s="241"/>
      <c r="W44" s="229">
        <f t="shared" si="6"/>
        <v>7</v>
      </c>
      <c r="X44" s="229">
        <f t="shared" si="0"/>
        <v>52</v>
      </c>
      <c r="Y44" s="244">
        <f t="shared" si="1"/>
        <v>0</v>
      </c>
      <c r="Z44" s="244">
        <f t="shared" si="2"/>
        <v>32</v>
      </c>
      <c r="AA44" s="244">
        <f t="shared" si="3"/>
        <v>20</v>
      </c>
      <c r="AB44" s="244">
        <f t="shared" si="7"/>
        <v>0</v>
      </c>
      <c r="AC44" s="244" t="str">
        <f t="shared" si="8"/>
        <v>N</v>
      </c>
      <c r="AD44" s="244" t="str">
        <f t="shared" si="9"/>
        <v>Y</v>
      </c>
      <c r="AE44" s="279">
        <f t="shared" si="10"/>
        <v>45.714285714285715</v>
      </c>
      <c r="AF44" s="279">
        <f t="shared" si="11"/>
        <v>66.666666666666657</v>
      </c>
      <c r="AG44" s="222"/>
    </row>
    <row r="45" spans="1:33" ht="15.75" x14ac:dyDescent="0.25">
      <c r="A45" s="245"/>
      <c r="B45" s="246"/>
      <c r="C45" s="166" t="str">
        <f>'[9]Linear Algebra'!A58</f>
        <v>2023-IT-60</v>
      </c>
      <c r="D45" s="166" t="str">
        <f>'[9]Linear Algebra'!B58</f>
        <v>Mughees Ahmad</v>
      </c>
      <c r="E45" s="168">
        <f>'[9]Linear Algebra'!D58</f>
        <v>8</v>
      </c>
      <c r="F45" s="168"/>
      <c r="G45" s="229">
        <f t="shared" si="4"/>
        <v>8</v>
      </c>
      <c r="H45" s="249">
        <v>10</v>
      </c>
      <c r="I45" s="249">
        <v>11</v>
      </c>
      <c r="J45" s="249"/>
      <c r="K45" s="249"/>
      <c r="L45" s="229">
        <f>'[9]Linear Algebra'!E58</f>
        <v>21</v>
      </c>
      <c r="M45" s="168">
        <f>'[9]Linear Algebra'!F58</f>
        <v>8</v>
      </c>
      <c r="N45" s="249"/>
      <c r="O45" s="229">
        <f t="shared" si="5"/>
        <v>8</v>
      </c>
      <c r="P45" s="250">
        <v>10</v>
      </c>
      <c r="Q45" s="249">
        <v>15</v>
      </c>
      <c r="R45" s="249"/>
      <c r="S45" s="242"/>
      <c r="T45" s="229">
        <f>'[9]Linear Algebra'!G58</f>
        <v>25</v>
      </c>
      <c r="U45" s="243">
        <f>'[9]Linear Algebra'!H58</f>
        <v>8</v>
      </c>
      <c r="V45" s="241"/>
      <c r="W45" s="229">
        <f t="shared" si="6"/>
        <v>8</v>
      </c>
      <c r="X45" s="229">
        <f t="shared" si="0"/>
        <v>70</v>
      </c>
      <c r="Y45" s="244">
        <f t="shared" si="1"/>
        <v>0</v>
      </c>
      <c r="Z45" s="244">
        <f t="shared" si="2"/>
        <v>47</v>
      </c>
      <c r="AA45" s="244">
        <f t="shared" si="3"/>
        <v>23</v>
      </c>
      <c r="AB45" s="244">
        <f t="shared" si="7"/>
        <v>0</v>
      </c>
      <c r="AC45" s="244" t="str">
        <f t="shared" si="8"/>
        <v>Y</v>
      </c>
      <c r="AD45" s="244" t="str">
        <f t="shared" si="9"/>
        <v>Y</v>
      </c>
      <c r="AE45" s="279">
        <f t="shared" si="10"/>
        <v>67.142857142857139</v>
      </c>
      <c r="AF45" s="279">
        <f t="shared" si="11"/>
        <v>76.666666666666671</v>
      </c>
      <c r="AG45" s="222"/>
    </row>
    <row r="46" spans="1:33" ht="15.75" x14ac:dyDescent="0.25">
      <c r="A46" s="245"/>
      <c r="B46" s="246"/>
      <c r="C46" s="166" t="str">
        <f>'[9]Linear Algebra'!A59</f>
        <v>2023-IT-62</v>
      </c>
      <c r="D46" s="166" t="str">
        <f>'[9]Linear Algebra'!B59</f>
        <v>Muhammad Azeem</v>
      </c>
      <c r="E46" s="168">
        <f>'[9]Linear Algebra'!D59</f>
        <v>7</v>
      </c>
      <c r="F46" s="168"/>
      <c r="G46" s="229">
        <f t="shared" si="4"/>
        <v>7</v>
      </c>
      <c r="H46" s="249">
        <v>7</v>
      </c>
      <c r="I46" s="249">
        <v>10</v>
      </c>
      <c r="J46" s="249"/>
      <c r="K46" s="249"/>
      <c r="L46" s="229">
        <f>'[9]Linear Algebra'!E59</f>
        <v>17</v>
      </c>
      <c r="M46" s="168">
        <f>'[9]Linear Algebra'!F59</f>
        <v>7</v>
      </c>
      <c r="N46" s="249"/>
      <c r="O46" s="229">
        <f t="shared" si="5"/>
        <v>7</v>
      </c>
      <c r="P46" s="250">
        <v>10</v>
      </c>
      <c r="Q46" s="249">
        <v>17</v>
      </c>
      <c r="R46" s="249"/>
      <c r="S46" s="242"/>
      <c r="T46" s="229">
        <f>'[9]Linear Algebra'!G59</f>
        <v>27</v>
      </c>
      <c r="U46" s="243">
        <f>'[9]Linear Algebra'!H59</f>
        <v>8</v>
      </c>
      <c r="V46" s="241"/>
      <c r="W46" s="229">
        <f t="shared" si="6"/>
        <v>8</v>
      </c>
      <c r="X46" s="229">
        <f t="shared" si="0"/>
        <v>66</v>
      </c>
      <c r="Y46" s="244">
        <f t="shared" si="1"/>
        <v>0</v>
      </c>
      <c r="Z46" s="244">
        <f t="shared" si="2"/>
        <v>42</v>
      </c>
      <c r="AA46" s="244">
        <f t="shared" si="3"/>
        <v>24</v>
      </c>
      <c r="AB46" s="244">
        <f t="shared" si="7"/>
        <v>0</v>
      </c>
      <c r="AC46" s="244" t="str">
        <f t="shared" si="8"/>
        <v>Y</v>
      </c>
      <c r="AD46" s="244" t="str">
        <f t="shared" si="9"/>
        <v>Y</v>
      </c>
      <c r="AE46" s="279">
        <f t="shared" si="10"/>
        <v>60</v>
      </c>
      <c r="AF46" s="279">
        <f t="shared" si="11"/>
        <v>80</v>
      </c>
      <c r="AG46" s="222"/>
    </row>
    <row r="47" spans="1:33" ht="15.75" x14ac:dyDescent="0.25">
      <c r="A47" s="245"/>
      <c r="B47" s="246"/>
      <c r="C47" s="166" t="str">
        <f>'[9]Linear Algebra'!A60</f>
        <v>2023-IT-64</v>
      </c>
      <c r="D47" s="166" t="str">
        <f>'[9]Linear Algebra'!B60</f>
        <v>Abdul Ahad</v>
      </c>
      <c r="E47" s="168">
        <f>'[9]Linear Algebra'!D60</f>
        <v>0</v>
      </c>
      <c r="F47" s="168"/>
      <c r="G47" s="229">
        <f t="shared" si="4"/>
        <v>0</v>
      </c>
      <c r="H47" s="249">
        <v>0</v>
      </c>
      <c r="I47" s="249">
        <v>0</v>
      </c>
      <c r="J47" s="249"/>
      <c r="K47" s="249"/>
      <c r="L47" s="229">
        <f>'[9]Linear Algebra'!E60</f>
        <v>0</v>
      </c>
      <c r="M47" s="168">
        <f>'[9]Linear Algebra'!F60</f>
        <v>0</v>
      </c>
      <c r="N47" s="249"/>
      <c r="O47" s="229">
        <f t="shared" si="5"/>
        <v>0</v>
      </c>
      <c r="P47" s="250">
        <v>0</v>
      </c>
      <c r="Q47" s="249">
        <v>0</v>
      </c>
      <c r="R47" s="249"/>
      <c r="S47" s="242"/>
      <c r="T47" s="229">
        <f>'[9]Linear Algebra'!G60</f>
        <v>0</v>
      </c>
      <c r="U47" s="243">
        <f>'[9]Linear Algebra'!H60</f>
        <v>0</v>
      </c>
      <c r="V47" s="241"/>
      <c r="W47" s="229">
        <f t="shared" si="6"/>
        <v>0</v>
      </c>
      <c r="X47" s="229">
        <f t="shared" si="0"/>
        <v>0</v>
      </c>
      <c r="Y47" s="244">
        <f t="shared" si="1"/>
        <v>0</v>
      </c>
      <c r="Z47" s="244">
        <f t="shared" si="2"/>
        <v>0</v>
      </c>
      <c r="AA47" s="244">
        <f t="shared" si="3"/>
        <v>0</v>
      </c>
      <c r="AB47" s="244">
        <f t="shared" si="7"/>
        <v>0</v>
      </c>
      <c r="AC47" s="244" t="str">
        <f t="shared" si="8"/>
        <v>N</v>
      </c>
      <c r="AD47" s="244" t="str">
        <f t="shared" si="9"/>
        <v>N</v>
      </c>
      <c r="AE47" s="279">
        <f t="shared" si="10"/>
        <v>0</v>
      </c>
      <c r="AF47" s="279">
        <f t="shared" si="11"/>
        <v>0</v>
      </c>
      <c r="AG47" s="222"/>
    </row>
    <row r="48" spans="1:33" ht="15.75" x14ac:dyDescent="0.25">
      <c r="A48" s="245"/>
      <c r="B48" s="246"/>
      <c r="C48" s="166" t="str">
        <f>'[9]Linear Algebra'!A61</f>
        <v>2023-IT-66</v>
      </c>
      <c r="D48" s="166" t="str">
        <f>'[9]Linear Algebra'!B61</f>
        <v>Muhammad Haris Javed</v>
      </c>
      <c r="E48" s="168">
        <f>'[9]Linear Algebra'!D61</f>
        <v>8</v>
      </c>
      <c r="F48" s="168"/>
      <c r="G48" s="229">
        <f t="shared" si="4"/>
        <v>8</v>
      </c>
      <c r="H48" s="249">
        <v>8</v>
      </c>
      <c r="I48" s="249">
        <v>10</v>
      </c>
      <c r="J48" s="249"/>
      <c r="K48" s="249"/>
      <c r="L48" s="229">
        <f>'[9]Linear Algebra'!E61</f>
        <v>18</v>
      </c>
      <c r="M48" s="168">
        <f>'[9]Linear Algebra'!F61</f>
        <v>8</v>
      </c>
      <c r="N48" s="249"/>
      <c r="O48" s="229">
        <f t="shared" si="5"/>
        <v>8</v>
      </c>
      <c r="P48" s="250">
        <v>11</v>
      </c>
      <c r="Q48" s="249">
        <v>18</v>
      </c>
      <c r="R48" s="249"/>
      <c r="S48" s="242"/>
      <c r="T48" s="229">
        <f>'[9]Linear Algebra'!G61</f>
        <v>29</v>
      </c>
      <c r="U48" s="243">
        <f>'[9]Linear Algebra'!H61</f>
        <v>8</v>
      </c>
      <c r="V48" s="241"/>
      <c r="W48" s="229">
        <f t="shared" si="6"/>
        <v>8</v>
      </c>
      <c r="X48" s="229">
        <f t="shared" si="0"/>
        <v>71</v>
      </c>
      <c r="Y48" s="244">
        <f t="shared" si="1"/>
        <v>0</v>
      </c>
      <c r="Z48" s="244">
        <f t="shared" si="2"/>
        <v>45</v>
      </c>
      <c r="AA48" s="244">
        <f t="shared" si="3"/>
        <v>26</v>
      </c>
      <c r="AB48" s="244">
        <f t="shared" si="7"/>
        <v>0</v>
      </c>
      <c r="AC48" s="244" t="str">
        <f t="shared" si="8"/>
        <v>Y</v>
      </c>
      <c r="AD48" s="244" t="str">
        <f t="shared" si="9"/>
        <v>Y</v>
      </c>
      <c r="AE48" s="279">
        <f t="shared" si="10"/>
        <v>64.285714285714292</v>
      </c>
      <c r="AF48" s="279">
        <f t="shared" si="11"/>
        <v>86.666666666666671</v>
      </c>
      <c r="AG48" s="222"/>
    </row>
    <row r="49" spans="1:33" ht="15.75" x14ac:dyDescent="0.25">
      <c r="A49" s="245"/>
      <c r="B49" s="246"/>
      <c r="C49" s="166" t="str">
        <f>'[9]Linear Algebra'!A62</f>
        <v>2023-IT-68</v>
      </c>
      <c r="D49" s="166" t="str">
        <f>'[9]Linear Algebra'!B62</f>
        <v>Muhammad Mubashir</v>
      </c>
      <c r="E49" s="168">
        <f>'[9]Linear Algebra'!D62</f>
        <v>6</v>
      </c>
      <c r="F49" s="168"/>
      <c r="G49" s="229">
        <f t="shared" si="4"/>
        <v>6</v>
      </c>
      <c r="H49" s="249">
        <v>9</v>
      </c>
      <c r="I49" s="249">
        <v>10</v>
      </c>
      <c r="J49" s="249"/>
      <c r="K49" s="249"/>
      <c r="L49" s="229">
        <f>'[9]Linear Algebra'!E62</f>
        <v>19</v>
      </c>
      <c r="M49" s="168">
        <f>'[9]Linear Algebra'!F62</f>
        <v>6</v>
      </c>
      <c r="N49" s="249"/>
      <c r="O49" s="229">
        <f t="shared" si="5"/>
        <v>6</v>
      </c>
      <c r="P49" s="250">
        <v>10</v>
      </c>
      <c r="Q49" s="249">
        <v>19</v>
      </c>
      <c r="R49" s="249"/>
      <c r="S49" s="242"/>
      <c r="T49" s="229">
        <f>'[9]Linear Algebra'!G62</f>
        <v>29</v>
      </c>
      <c r="U49" s="243">
        <f>'[9]Linear Algebra'!H62</f>
        <v>7</v>
      </c>
      <c r="V49" s="241"/>
      <c r="W49" s="229">
        <f t="shared" si="6"/>
        <v>7</v>
      </c>
      <c r="X49" s="229">
        <f t="shared" si="0"/>
        <v>67</v>
      </c>
      <c r="Y49" s="244">
        <f t="shared" si="1"/>
        <v>0</v>
      </c>
      <c r="Z49" s="244">
        <f t="shared" si="2"/>
        <v>42</v>
      </c>
      <c r="AA49" s="244">
        <f t="shared" si="3"/>
        <v>25</v>
      </c>
      <c r="AB49" s="244">
        <f t="shared" si="7"/>
        <v>0</v>
      </c>
      <c r="AC49" s="244" t="str">
        <f t="shared" si="8"/>
        <v>Y</v>
      </c>
      <c r="AD49" s="244" t="str">
        <f t="shared" si="9"/>
        <v>Y</v>
      </c>
      <c r="AE49" s="279">
        <f t="shared" si="10"/>
        <v>60</v>
      </c>
      <c r="AF49" s="279">
        <f t="shared" si="11"/>
        <v>83.333333333333343</v>
      </c>
      <c r="AG49" s="222"/>
    </row>
    <row r="50" spans="1:33" ht="15.75" x14ac:dyDescent="0.25">
      <c r="A50" s="245"/>
      <c r="B50" s="246"/>
      <c r="C50" s="166" t="str">
        <f>'[9]Linear Algebra'!A63</f>
        <v>2023-IT-70</v>
      </c>
      <c r="D50" s="166" t="str">
        <f>'[9]Linear Algebra'!B63</f>
        <v>Muhammad Usama</v>
      </c>
      <c r="E50" s="168">
        <f>'[9]Linear Algebra'!D63</f>
        <v>0</v>
      </c>
      <c r="F50" s="168"/>
      <c r="G50" s="229">
        <f t="shared" si="4"/>
        <v>0</v>
      </c>
      <c r="H50" s="249">
        <v>0</v>
      </c>
      <c r="I50" s="249">
        <v>0</v>
      </c>
      <c r="J50" s="249"/>
      <c r="K50" s="249"/>
      <c r="L50" s="229">
        <f>'[9]Linear Algebra'!E63</f>
        <v>0</v>
      </c>
      <c r="M50" s="168">
        <f>'[9]Linear Algebra'!F63</f>
        <v>0</v>
      </c>
      <c r="N50" s="249"/>
      <c r="O50" s="229">
        <f t="shared" si="5"/>
        <v>0</v>
      </c>
      <c r="P50" s="250">
        <v>0</v>
      </c>
      <c r="Q50" s="249">
        <v>0</v>
      </c>
      <c r="R50" s="249"/>
      <c r="S50" s="242"/>
      <c r="T50" s="229">
        <f>'[9]Linear Algebra'!G63</f>
        <v>0</v>
      </c>
      <c r="U50" s="243">
        <f>'[9]Linear Algebra'!H63</f>
        <v>0</v>
      </c>
      <c r="V50" s="241"/>
      <c r="W50" s="229">
        <f t="shared" si="6"/>
        <v>0</v>
      </c>
      <c r="X50" s="229">
        <f t="shared" ref="X50:X56" si="12">SUM(G50+L50+O50+T50+W50)</f>
        <v>0</v>
      </c>
      <c r="Y50" s="244">
        <f t="shared" si="1"/>
        <v>0</v>
      </c>
      <c r="Z50" s="244">
        <f t="shared" si="2"/>
        <v>0</v>
      </c>
      <c r="AA50" s="244">
        <f t="shared" si="3"/>
        <v>0</v>
      </c>
      <c r="AB50" s="244">
        <f t="shared" si="7"/>
        <v>0</v>
      </c>
      <c r="AC50" s="244" t="str">
        <f t="shared" si="8"/>
        <v>N</v>
      </c>
      <c r="AD50" s="244" t="str">
        <f t="shared" si="9"/>
        <v>N</v>
      </c>
      <c r="AE50" s="279">
        <f t="shared" ref="AE50:AE56" si="13">Z50/70*100</f>
        <v>0</v>
      </c>
      <c r="AF50" s="279">
        <f t="shared" ref="AF50:AF56" si="14">AA50/30*100</f>
        <v>0</v>
      </c>
      <c r="AG50" s="222"/>
    </row>
    <row r="51" spans="1:33" ht="15.75" x14ac:dyDescent="0.25">
      <c r="A51" s="245"/>
      <c r="B51" s="246"/>
      <c r="C51" s="166" t="str">
        <f>'[9]Linear Algebra'!A64</f>
        <v>2023-IT-72</v>
      </c>
      <c r="D51" s="166" t="str">
        <f>'[9]Linear Algebra'!B64</f>
        <v>Muhammad Zohaib Akhtar</v>
      </c>
      <c r="E51" s="168">
        <f>'[9]Linear Algebra'!D64</f>
        <v>8</v>
      </c>
      <c r="F51" s="168"/>
      <c r="G51" s="229">
        <f t="shared" si="4"/>
        <v>8</v>
      </c>
      <c r="H51" s="249">
        <v>10</v>
      </c>
      <c r="I51" s="249">
        <v>11</v>
      </c>
      <c r="J51" s="249"/>
      <c r="K51" s="249"/>
      <c r="L51" s="229">
        <f>'[9]Linear Algebra'!E64</f>
        <v>21</v>
      </c>
      <c r="M51" s="168">
        <f>'[9]Linear Algebra'!F64</f>
        <v>8</v>
      </c>
      <c r="N51" s="249"/>
      <c r="O51" s="229">
        <f t="shared" si="5"/>
        <v>8</v>
      </c>
      <c r="P51" s="250">
        <v>14</v>
      </c>
      <c r="Q51" s="249">
        <v>14</v>
      </c>
      <c r="R51" s="249"/>
      <c r="S51" s="242"/>
      <c r="T51" s="229">
        <f>'[9]Linear Algebra'!G64</f>
        <v>28</v>
      </c>
      <c r="U51" s="243">
        <f>'[9]Linear Algebra'!H64</f>
        <v>8</v>
      </c>
      <c r="V51" s="241"/>
      <c r="W51" s="229">
        <f t="shared" si="6"/>
        <v>8</v>
      </c>
      <c r="X51" s="229">
        <f t="shared" si="12"/>
        <v>73</v>
      </c>
      <c r="Y51" s="244">
        <f t="shared" si="1"/>
        <v>0</v>
      </c>
      <c r="Z51" s="244">
        <f t="shared" si="2"/>
        <v>51</v>
      </c>
      <c r="AA51" s="244">
        <f t="shared" si="3"/>
        <v>22</v>
      </c>
      <c r="AB51" s="244">
        <f t="shared" si="7"/>
        <v>0</v>
      </c>
      <c r="AC51" s="244" t="str">
        <f t="shared" si="8"/>
        <v>Y</v>
      </c>
      <c r="AD51" s="244" t="str">
        <f t="shared" si="9"/>
        <v>Y</v>
      </c>
      <c r="AE51" s="279">
        <f t="shared" si="13"/>
        <v>72.857142857142847</v>
      </c>
      <c r="AF51" s="279">
        <f t="shared" si="14"/>
        <v>73.333333333333329</v>
      </c>
      <c r="AG51" s="222"/>
    </row>
    <row r="52" spans="1:33" ht="15.75" x14ac:dyDescent="0.25">
      <c r="A52" s="245"/>
      <c r="B52" s="246"/>
      <c r="C52" s="166" t="str">
        <f>'[9]Linear Algebra'!A65</f>
        <v>2023-IT-74</v>
      </c>
      <c r="D52" s="166" t="str">
        <f>'[9]Linear Algebra'!B65</f>
        <v>Ashir Mudassir</v>
      </c>
      <c r="E52" s="168">
        <f>'[9]Linear Algebra'!D65</f>
        <v>8</v>
      </c>
      <c r="F52" s="168"/>
      <c r="G52" s="229">
        <f t="shared" si="4"/>
        <v>8</v>
      </c>
      <c r="H52" s="249">
        <v>5</v>
      </c>
      <c r="I52" s="249">
        <v>15</v>
      </c>
      <c r="J52" s="249"/>
      <c r="K52" s="249"/>
      <c r="L52" s="229">
        <f>'[9]Linear Algebra'!E65</f>
        <v>20</v>
      </c>
      <c r="M52" s="168">
        <f>'[9]Linear Algebra'!F65</f>
        <v>8</v>
      </c>
      <c r="N52" s="249"/>
      <c r="O52" s="229">
        <f t="shared" si="5"/>
        <v>8</v>
      </c>
      <c r="P52" s="250">
        <v>13</v>
      </c>
      <c r="Q52" s="249">
        <v>13</v>
      </c>
      <c r="R52" s="249"/>
      <c r="S52" s="242"/>
      <c r="T52" s="229">
        <f>'[9]Linear Algebra'!G65</f>
        <v>26</v>
      </c>
      <c r="U52" s="243">
        <f>'[9]Linear Algebra'!H65</f>
        <v>8</v>
      </c>
      <c r="V52" s="241"/>
      <c r="W52" s="229">
        <f t="shared" si="6"/>
        <v>8</v>
      </c>
      <c r="X52" s="229">
        <f t="shared" si="12"/>
        <v>70</v>
      </c>
      <c r="Y52" s="244">
        <f t="shared" si="1"/>
        <v>0</v>
      </c>
      <c r="Z52" s="244">
        <f t="shared" si="2"/>
        <v>49</v>
      </c>
      <c r="AA52" s="244">
        <f t="shared" si="3"/>
        <v>21</v>
      </c>
      <c r="AB52" s="244">
        <f t="shared" si="7"/>
        <v>0</v>
      </c>
      <c r="AC52" s="244" t="str">
        <f t="shared" si="8"/>
        <v>Y</v>
      </c>
      <c r="AD52" s="244" t="str">
        <f t="shared" si="9"/>
        <v>Y</v>
      </c>
      <c r="AE52" s="279">
        <f t="shared" si="13"/>
        <v>70</v>
      </c>
      <c r="AF52" s="279">
        <f t="shared" si="14"/>
        <v>70</v>
      </c>
      <c r="AG52" s="222"/>
    </row>
    <row r="53" spans="1:33" ht="15.75" x14ac:dyDescent="0.25">
      <c r="A53" s="245"/>
      <c r="B53" s="246"/>
      <c r="C53" s="166" t="str">
        <f>'[9]Linear Algebra'!A66</f>
        <v>2023-IT-76</v>
      </c>
      <c r="D53" s="166" t="str">
        <f>'[9]Linear Algebra'!B66</f>
        <v>Rao Usama</v>
      </c>
      <c r="E53" s="168">
        <f>'[9]Linear Algebra'!D66</f>
        <v>4</v>
      </c>
      <c r="F53" s="168"/>
      <c r="G53" s="229">
        <f t="shared" si="4"/>
        <v>4</v>
      </c>
      <c r="H53" s="249">
        <v>2</v>
      </c>
      <c r="I53" s="249">
        <v>5</v>
      </c>
      <c r="J53" s="249"/>
      <c r="K53" s="249"/>
      <c r="L53" s="229">
        <f>'[9]Linear Algebra'!E66</f>
        <v>7</v>
      </c>
      <c r="M53" s="168">
        <f>'[9]Linear Algebra'!F66</f>
        <v>6</v>
      </c>
      <c r="N53" s="249"/>
      <c r="O53" s="229">
        <f t="shared" si="5"/>
        <v>6</v>
      </c>
      <c r="P53" s="250">
        <v>10</v>
      </c>
      <c r="Q53" s="249">
        <v>10</v>
      </c>
      <c r="R53" s="249"/>
      <c r="S53" s="242"/>
      <c r="T53" s="229">
        <f>'[9]Linear Algebra'!G66</f>
        <v>20</v>
      </c>
      <c r="U53" s="243">
        <f>'[9]Linear Algebra'!H66</f>
        <v>6</v>
      </c>
      <c r="V53" s="241"/>
      <c r="W53" s="229">
        <f t="shared" si="6"/>
        <v>6</v>
      </c>
      <c r="X53" s="229">
        <f t="shared" si="12"/>
        <v>43</v>
      </c>
      <c r="Y53" s="244">
        <f t="shared" si="1"/>
        <v>0</v>
      </c>
      <c r="Z53" s="244">
        <f t="shared" si="2"/>
        <v>27</v>
      </c>
      <c r="AA53" s="244">
        <f t="shared" si="3"/>
        <v>16</v>
      </c>
      <c r="AB53" s="244">
        <f t="shared" si="7"/>
        <v>0</v>
      </c>
      <c r="AC53" s="244" t="str">
        <f t="shared" si="8"/>
        <v>N</v>
      </c>
      <c r="AD53" s="244" t="str">
        <f t="shared" si="9"/>
        <v>Y</v>
      </c>
      <c r="AE53" s="279">
        <f t="shared" si="13"/>
        <v>38.571428571428577</v>
      </c>
      <c r="AF53" s="279">
        <f t="shared" si="14"/>
        <v>53.333333333333336</v>
      </c>
      <c r="AG53" s="222"/>
    </row>
    <row r="54" spans="1:33" ht="15.75" x14ac:dyDescent="0.25">
      <c r="A54" s="245"/>
      <c r="B54" s="246"/>
      <c r="C54" s="166" t="str">
        <f>'[9]Linear Algebra'!A67</f>
        <v>2023-IT-78</v>
      </c>
      <c r="D54" s="166" t="str">
        <f>'[9]Linear Algebra'!B67</f>
        <v>Muhammad Zaman</v>
      </c>
      <c r="E54" s="168">
        <f>'[9]Linear Algebra'!D67</f>
        <v>7</v>
      </c>
      <c r="F54" s="168"/>
      <c r="G54" s="229">
        <f t="shared" si="4"/>
        <v>7</v>
      </c>
      <c r="H54" s="249">
        <v>9</v>
      </c>
      <c r="I54" s="249">
        <v>10</v>
      </c>
      <c r="J54" s="249"/>
      <c r="K54" s="249"/>
      <c r="L54" s="229">
        <f>'[9]Linear Algebra'!E67</f>
        <v>19</v>
      </c>
      <c r="M54" s="168">
        <f>'[9]Linear Algebra'!F67</f>
        <v>8</v>
      </c>
      <c r="N54" s="249"/>
      <c r="O54" s="229">
        <f t="shared" si="5"/>
        <v>8</v>
      </c>
      <c r="P54" s="250">
        <v>14</v>
      </c>
      <c r="Q54" s="249">
        <v>14</v>
      </c>
      <c r="R54" s="249"/>
      <c r="S54" s="242"/>
      <c r="T54" s="229">
        <f>'[9]Linear Algebra'!G67</f>
        <v>28</v>
      </c>
      <c r="U54" s="243">
        <f>'[9]Linear Algebra'!H67</f>
        <v>8</v>
      </c>
      <c r="V54" s="241"/>
      <c r="W54" s="229">
        <f t="shared" si="6"/>
        <v>8</v>
      </c>
      <c r="X54" s="229">
        <f t="shared" si="12"/>
        <v>70</v>
      </c>
      <c r="Y54" s="244">
        <f t="shared" si="1"/>
        <v>0</v>
      </c>
      <c r="Z54" s="244">
        <f t="shared" si="2"/>
        <v>48</v>
      </c>
      <c r="AA54" s="244">
        <f t="shared" si="3"/>
        <v>22</v>
      </c>
      <c r="AB54" s="244">
        <f t="shared" si="7"/>
        <v>0</v>
      </c>
      <c r="AC54" s="244" t="str">
        <f t="shared" si="8"/>
        <v>Y</v>
      </c>
      <c r="AD54" s="244" t="str">
        <f t="shared" si="9"/>
        <v>Y</v>
      </c>
      <c r="AE54" s="279">
        <f t="shared" si="13"/>
        <v>68.571428571428569</v>
      </c>
      <c r="AF54" s="279">
        <f t="shared" si="14"/>
        <v>73.333333333333329</v>
      </c>
      <c r="AG54" s="222"/>
    </row>
    <row r="55" spans="1:33" ht="15.75" x14ac:dyDescent="0.25">
      <c r="A55" s="245"/>
      <c r="B55" s="246"/>
      <c r="C55" s="166" t="str">
        <f>'[9]Linear Algebra'!A68</f>
        <v>2023-IT-79</v>
      </c>
      <c r="D55" s="166" t="str">
        <f>'[9]Linear Algebra'!B68</f>
        <v>Iqra Moeen</v>
      </c>
      <c r="E55" s="168">
        <f>'[9]Linear Algebra'!D68</f>
        <v>9</v>
      </c>
      <c r="F55" s="168"/>
      <c r="G55" s="229">
        <f t="shared" si="4"/>
        <v>9</v>
      </c>
      <c r="H55" s="249">
        <v>10</v>
      </c>
      <c r="I55" s="249">
        <v>17</v>
      </c>
      <c r="J55" s="249"/>
      <c r="K55" s="249"/>
      <c r="L55" s="229">
        <f>'[9]Linear Algebra'!E68</f>
        <v>27</v>
      </c>
      <c r="M55" s="168">
        <f>'[9]Linear Algebra'!F68</f>
        <v>9</v>
      </c>
      <c r="N55" s="249"/>
      <c r="O55" s="229">
        <f t="shared" si="5"/>
        <v>9</v>
      </c>
      <c r="P55" s="250">
        <v>15</v>
      </c>
      <c r="Q55" s="249">
        <v>20</v>
      </c>
      <c r="R55" s="249"/>
      <c r="S55" s="242"/>
      <c r="T55" s="229">
        <f>'[9]Linear Algebra'!G68</f>
        <v>35</v>
      </c>
      <c r="U55" s="243">
        <f>'[9]Linear Algebra'!H68</f>
        <v>9</v>
      </c>
      <c r="V55" s="241"/>
      <c r="W55" s="229">
        <f t="shared" si="6"/>
        <v>9</v>
      </c>
      <c r="X55" s="229">
        <f t="shared" si="12"/>
        <v>89</v>
      </c>
      <c r="Y55" s="244">
        <f t="shared" si="1"/>
        <v>0</v>
      </c>
      <c r="Z55" s="244">
        <f t="shared" si="2"/>
        <v>60</v>
      </c>
      <c r="AA55" s="244">
        <f t="shared" si="3"/>
        <v>29</v>
      </c>
      <c r="AB55" s="244">
        <f t="shared" si="7"/>
        <v>0</v>
      </c>
      <c r="AC55" s="244" t="str">
        <f t="shared" si="8"/>
        <v>Y</v>
      </c>
      <c r="AD55" s="244" t="str">
        <f t="shared" si="9"/>
        <v>Y</v>
      </c>
      <c r="AE55" s="279">
        <f t="shared" si="13"/>
        <v>85.714285714285708</v>
      </c>
      <c r="AF55" s="279">
        <f t="shared" si="14"/>
        <v>96.666666666666671</v>
      </c>
      <c r="AG55" s="222"/>
    </row>
    <row r="56" spans="1:33" ht="15.75" x14ac:dyDescent="0.25">
      <c r="A56" s="251"/>
      <c r="B56" s="252"/>
      <c r="C56" s="166" t="str">
        <f>'[9]Linear Algebra'!A69</f>
        <v>2023-IT-80</v>
      </c>
      <c r="D56" s="166" t="str">
        <f>'[9]Linear Algebra'!B69</f>
        <v>Ali Raza</v>
      </c>
      <c r="E56" s="168">
        <f>'[9]Linear Algebra'!D69</f>
        <v>8</v>
      </c>
      <c r="F56" s="168"/>
      <c r="G56" s="229">
        <f t="shared" si="4"/>
        <v>8</v>
      </c>
      <c r="H56" s="249">
        <v>10</v>
      </c>
      <c r="I56" s="249">
        <v>12</v>
      </c>
      <c r="J56" s="249"/>
      <c r="K56" s="249"/>
      <c r="L56" s="229">
        <f>'[9]Linear Algebra'!E69</f>
        <v>22</v>
      </c>
      <c r="M56" s="168">
        <f>'[9]Linear Algebra'!F69</f>
        <v>8</v>
      </c>
      <c r="N56" s="249"/>
      <c r="O56" s="229">
        <f t="shared" si="5"/>
        <v>8</v>
      </c>
      <c r="P56" s="250">
        <v>14</v>
      </c>
      <c r="Q56" s="249">
        <v>14</v>
      </c>
      <c r="R56" s="249"/>
      <c r="S56" s="242"/>
      <c r="T56" s="229">
        <f>'[9]Linear Algebra'!G69</f>
        <v>28</v>
      </c>
      <c r="U56" s="243">
        <f>'[9]Linear Algebra'!H69</f>
        <v>7</v>
      </c>
      <c r="V56" s="241"/>
      <c r="W56" s="229">
        <f t="shared" si="6"/>
        <v>7</v>
      </c>
      <c r="X56" s="229">
        <f t="shared" si="12"/>
        <v>73</v>
      </c>
      <c r="Y56" s="244">
        <f t="shared" si="1"/>
        <v>0</v>
      </c>
      <c r="Z56" s="244">
        <f t="shared" si="2"/>
        <v>51</v>
      </c>
      <c r="AA56" s="244">
        <f t="shared" si="3"/>
        <v>22</v>
      </c>
      <c r="AB56" s="244">
        <f t="shared" si="7"/>
        <v>0</v>
      </c>
      <c r="AC56" s="244" t="str">
        <f t="shared" si="8"/>
        <v>Y</v>
      </c>
      <c r="AD56" s="244" t="str">
        <f t="shared" si="9"/>
        <v>Y</v>
      </c>
      <c r="AE56" s="279">
        <f t="shared" si="13"/>
        <v>72.857142857142847</v>
      </c>
      <c r="AF56" s="279">
        <f t="shared" si="14"/>
        <v>73.333333333333329</v>
      </c>
      <c r="AG56" s="222"/>
    </row>
    <row r="57" spans="1:33" ht="15.75" x14ac:dyDescent="0.25">
      <c r="A57" s="251"/>
      <c r="B57" s="252"/>
      <c r="C57" s="529" t="s">
        <v>243</v>
      </c>
      <c r="D57" s="530"/>
      <c r="E57" s="531"/>
      <c r="F57" s="260" t="str">
        <f>Y11</f>
        <v>PLO1</v>
      </c>
      <c r="G57" s="261">
        <f>COUNTIF($AB$13:$AB$55,"Y")</f>
        <v>0</v>
      </c>
      <c r="H57" s="261">
        <f>COUNTIF($AB$13:$AB$55,"N")</f>
        <v>0</v>
      </c>
      <c r="J57" s="253"/>
      <c r="K57" s="253"/>
      <c r="L57" s="253"/>
      <c r="M57" s="253"/>
      <c r="N57" s="253"/>
      <c r="O57" s="253"/>
      <c r="P57" s="256"/>
      <c r="Q57" s="253"/>
      <c r="R57" s="253"/>
      <c r="S57" s="257"/>
      <c r="T57" s="257"/>
      <c r="U57" s="257"/>
      <c r="V57" s="257"/>
      <c r="W57" s="257"/>
      <c r="X57" s="258"/>
      <c r="Y57" s="258"/>
      <c r="Z57" s="258"/>
      <c r="AA57" s="258"/>
      <c r="AB57" s="259"/>
      <c r="AC57" s="259"/>
      <c r="AD57" s="259"/>
      <c r="AE57" s="222"/>
      <c r="AF57" s="222"/>
      <c r="AG57" s="222"/>
    </row>
    <row r="58" spans="1:33" x14ac:dyDescent="0.25">
      <c r="A58" s="251"/>
      <c r="B58" s="252"/>
      <c r="C58" s="532"/>
      <c r="D58" s="533"/>
      <c r="E58" s="534"/>
      <c r="F58" s="260" t="str">
        <f>Z11</f>
        <v>PLO2</v>
      </c>
      <c r="G58" s="261">
        <f>COUNTIF($AC$13:$AC$55,"Y")</f>
        <v>34</v>
      </c>
      <c r="H58" s="261">
        <f>COUNTIF($AC$13:$AC$55,"N")</f>
        <v>9</v>
      </c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</row>
    <row r="59" spans="1:33" x14ac:dyDescent="0.25">
      <c r="A59" s="251"/>
      <c r="B59" s="252"/>
      <c r="C59" s="535"/>
      <c r="D59" s="536"/>
      <c r="E59" s="537"/>
      <c r="F59" s="260" t="str">
        <f>AA11</f>
        <v>PLO4</v>
      </c>
      <c r="G59" s="261">
        <f>COUNTIF($AD$13:$AD$55,"Y")</f>
        <v>36</v>
      </c>
      <c r="H59" s="261">
        <f>COUNTIF($AD$13:$AD$55,"N")</f>
        <v>7</v>
      </c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</row>
    <row r="60" spans="1:33" x14ac:dyDescent="0.25">
      <c r="A60" s="262">
        <v>9</v>
      </c>
      <c r="B60" s="263" t="s">
        <v>244</v>
      </c>
      <c r="C60" s="222"/>
      <c r="D60" s="264"/>
      <c r="E60" s="264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</row>
    <row r="61" spans="1:33" ht="33.950000000000003" customHeight="1" x14ac:dyDescent="0.25">
      <c r="A61" s="262">
        <v>10</v>
      </c>
      <c r="B61" s="263" t="s">
        <v>245</v>
      </c>
      <c r="C61" s="222"/>
      <c r="D61" s="264"/>
      <c r="E61" s="264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</row>
    <row r="62" spans="1:33" x14ac:dyDescent="0.25">
      <c r="A62" s="262">
        <v>11</v>
      </c>
      <c r="B62" s="263" t="s">
        <v>246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</row>
    <row r="63" spans="1:33" ht="31.5" customHeight="1" x14ac:dyDescent="0.25">
      <c r="A63" s="262">
        <v>12</v>
      </c>
      <c r="B63" s="263" t="s">
        <v>247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</row>
    <row r="64" spans="1:33" x14ac:dyDescent="0.25">
      <c r="A64" s="262">
        <v>13</v>
      </c>
      <c r="B64" s="263" t="s">
        <v>248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</row>
    <row r="65" spans="1:33" x14ac:dyDescent="0.25">
      <c r="A65" s="262">
        <v>14</v>
      </c>
      <c r="B65" s="263" t="s">
        <v>249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</row>
    <row r="66" spans="1:33" x14ac:dyDescent="0.25">
      <c r="A66" s="262">
        <v>15</v>
      </c>
      <c r="B66" s="263" t="s">
        <v>250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</row>
    <row r="67" spans="1:33" ht="32.1" customHeight="1" x14ac:dyDescent="0.25">
      <c r="A67" s="262">
        <v>16</v>
      </c>
      <c r="B67" s="263" t="s">
        <v>251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</row>
    <row r="68" spans="1:33" x14ac:dyDescent="0.25">
      <c r="A68" s="262">
        <v>17</v>
      </c>
      <c r="B68" s="263" t="s">
        <v>252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</row>
    <row r="69" spans="1:33" x14ac:dyDescent="0.25">
      <c r="A69" s="262">
        <v>18</v>
      </c>
      <c r="B69" s="263" t="s">
        <v>253</v>
      </c>
      <c r="C69" s="222"/>
      <c r="AE69" s="222"/>
      <c r="AF69" s="222"/>
      <c r="AG69" s="222"/>
    </row>
    <row r="70" spans="1:33" x14ac:dyDescent="0.25">
      <c r="A70" s="262">
        <v>19</v>
      </c>
      <c r="B70" s="263" t="s">
        <v>254</v>
      </c>
      <c r="C70" s="222"/>
      <c r="AE70" s="222"/>
      <c r="AF70" s="222"/>
      <c r="AG70" s="222"/>
    </row>
    <row r="71" spans="1:33" x14ac:dyDescent="0.25">
      <c r="A71" s="262">
        <v>20</v>
      </c>
      <c r="B71" s="263" t="s">
        <v>255</v>
      </c>
      <c r="C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</row>
    <row r="72" spans="1:33" x14ac:dyDescent="0.25">
      <c r="A72" s="262">
        <v>21</v>
      </c>
      <c r="B72" s="263" t="s">
        <v>256</v>
      </c>
      <c r="C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</row>
    <row r="73" spans="1:33" x14ac:dyDescent="0.25">
      <c r="A73" s="262">
        <v>22</v>
      </c>
      <c r="B73" s="263" t="s">
        <v>257</v>
      </c>
      <c r="C73" s="222"/>
      <c r="D73" s="265"/>
      <c r="E73" s="265"/>
      <c r="F73" s="538" t="s">
        <v>30</v>
      </c>
      <c r="G73" s="539"/>
      <c r="H73" s="539"/>
      <c r="I73" s="539"/>
      <c r="J73" s="539"/>
      <c r="K73" s="539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538" t="s">
        <v>31</v>
      </c>
      <c r="W73" s="538"/>
      <c r="X73" s="538"/>
      <c r="Y73" s="538"/>
      <c r="Z73" s="538"/>
      <c r="AA73" s="538"/>
      <c r="AB73" s="538"/>
      <c r="AC73" s="265"/>
      <c r="AD73" s="265"/>
      <c r="AE73" s="222"/>
      <c r="AF73" s="222"/>
      <c r="AG73" s="222"/>
    </row>
    <row r="74" spans="1:33" x14ac:dyDescent="0.25">
      <c r="A74" s="262">
        <v>23</v>
      </c>
      <c r="B74" s="263" t="s">
        <v>258</v>
      </c>
      <c r="C74" s="222"/>
      <c r="D74" s="222"/>
      <c r="E74" s="222"/>
      <c r="F74" s="539" t="str">
        <f>J5</f>
        <v>Name: Dr. Farooq</v>
      </c>
      <c r="G74" s="539"/>
      <c r="H74" s="539"/>
      <c r="I74" s="539"/>
      <c r="J74" s="539"/>
      <c r="K74" s="539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539" t="s">
        <v>259</v>
      </c>
      <c r="W74" s="539"/>
      <c r="X74" s="539"/>
      <c r="Y74" s="539"/>
      <c r="Z74" s="539"/>
      <c r="AA74" s="539"/>
      <c r="AB74" s="539"/>
      <c r="AC74" s="222"/>
      <c r="AD74" s="222"/>
      <c r="AE74" s="222"/>
      <c r="AF74" s="222"/>
      <c r="AG74" s="222"/>
    </row>
    <row r="75" spans="1:33" x14ac:dyDescent="0.25">
      <c r="A75" s="262">
        <v>24</v>
      </c>
      <c r="B75" s="263" t="s">
        <v>260</v>
      </c>
      <c r="C75" s="222"/>
      <c r="D75" s="264"/>
      <c r="E75" s="264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</row>
    <row r="76" spans="1:33" x14ac:dyDescent="0.25">
      <c r="A76" s="262">
        <v>25</v>
      </c>
      <c r="B76" s="263" t="s">
        <v>261</v>
      </c>
      <c r="C76" s="222"/>
      <c r="D76" s="264"/>
      <c r="E76" s="264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</row>
    <row r="77" spans="1:33" ht="15.75" thickBot="1" x14ac:dyDescent="0.3">
      <c r="A77" s="266">
        <v>26</v>
      </c>
      <c r="B77" s="267" t="s">
        <v>262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</row>
    <row r="78" spans="1:33" x14ac:dyDescent="0.25">
      <c r="D78" s="264"/>
      <c r="E78" s="264"/>
    </row>
    <row r="79" spans="1:33" x14ac:dyDescent="0.25">
      <c r="D79" s="264"/>
      <c r="E79" s="264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</sheetData>
  <protectedRanges>
    <protectedRange sqref="H10:K49 P10:S49 E10:F49 M10:N49 U10:V49" name="questions maping clo plo"/>
    <protectedRange sqref="C3:L6" name="Course Information"/>
    <protectedRange sqref="Y11:AA11" name="plo assesment"/>
    <protectedRange sqref="H50:K56 P50:S56 E50:F56 M50:N56 U50:V56" name="questions maping clo plo_1"/>
  </protectedRanges>
  <mergeCells count="38">
    <mergeCell ref="C57:E59"/>
    <mergeCell ref="F73:K73"/>
    <mergeCell ref="V73:AB73"/>
    <mergeCell ref="F74:K74"/>
    <mergeCell ref="V74:AB74"/>
    <mergeCell ref="AE10:AF10"/>
    <mergeCell ref="AB9:AD9"/>
    <mergeCell ref="C10:D10"/>
    <mergeCell ref="X10:X12"/>
    <mergeCell ref="C11:D11"/>
    <mergeCell ref="G11:G12"/>
    <mergeCell ref="L11:L12"/>
    <mergeCell ref="O11:O12"/>
    <mergeCell ref="T11:T12"/>
    <mergeCell ref="W11:W12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76D-DA03-4107-9D43-427466DF7F3D}">
  <sheetPr>
    <pageSetUpPr fitToPage="1"/>
  </sheetPr>
  <dimension ref="A1:AG90"/>
  <sheetViews>
    <sheetView topLeftCell="E7" zoomScale="80" zoomScaleNormal="80" workbookViewId="0">
      <selection activeCell="AE49" sqref="AE49:AF56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e">
        <f>#REF!</f>
        <v>#REF!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[10]Sheet1!B5</f>
        <v>Title (Code):  Object Oriented Programming (IT-121)</v>
      </c>
      <c r="E5" s="485"/>
      <c r="F5" s="485"/>
      <c r="G5" s="486"/>
      <c r="H5" s="473" t="s">
        <v>189</v>
      </c>
      <c r="I5" s="474"/>
      <c r="J5" s="489" t="str">
        <f>[10]Sheet1!H5</f>
        <v>Name: Engr. M Talha Jahangir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263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TRANSPOSE(_xlfn._xlws.FILTER('[10]CLO &amp; PLO'!K1:K10,'Object Oriented Programming 2'!E7='[10]CLO &amp; PLO'!A1))</f>
        <v>30</v>
      </c>
      <c r="F8" s="226">
        <v>40</v>
      </c>
      <c r="G8" s="226">
        <v>20</v>
      </c>
      <c r="H8" s="226">
        <v>10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_xlfn._xlws.FILTER('[10]CLO &amp; PLO'!X1:X10,'[10]CLO &amp; PLO'!N1='Object Oriented Programming 2'!P7))</f>
        <v>0</v>
      </c>
      <c r="Q8" s="227">
        <v>60</v>
      </c>
      <c r="R8" s="227">
        <v>0</v>
      </c>
      <c r="S8" s="227">
        <v>40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  <c r="AE10" s="541" t="s">
        <v>271</v>
      </c>
      <c r="AF10" s="542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194</v>
      </c>
      <c r="F11" s="235"/>
      <c r="G11" s="525" t="s">
        <v>9</v>
      </c>
      <c r="H11" s="236" t="s">
        <v>193</v>
      </c>
      <c r="I11" s="235" t="s">
        <v>194</v>
      </c>
      <c r="J11" s="236"/>
      <c r="K11" s="236"/>
      <c r="L11" s="525" t="s">
        <v>9</v>
      </c>
      <c r="M11" s="235" t="s">
        <v>196</v>
      </c>
      <c r="N11" s="235"/>
      <c r="O11" s="525" t="s">
        <v>9</v>
      </c>
      <c r="P11" s="235" t="s">
        <v>193</v>
      </c>
      <c r="Q11" s="235" t="s">
        <v>195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180</v>
      </c>
      <c r="AB11" s="237" t="str">
        <f>Y11</f>
        <v>PLO1</v>
      </c>
      <c r="AC11" s="237" t="str">
        <f>Z11</f>
        <v>PLO2</v>
      </c>
      <c r="AD11" s="237" t="str">
        <f>AA11</f>
        <v>PLO4</v>
      </c>
      <c r="AE11" s="281" t="s">
        <v>173</v>
      </c>
      <c r="AF11" s="281" t="s">
        <v>180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173</v>
      </c>
      <c r="F12" s="235"/>
      <c r="G12" s="527"/>
      <c r="H12" s="235" t="s">
        <v>173</v>
      </c>
      <c r="I12" s="235" t="s">
        <v>173</v>
      </c>
      <c r="J12" s="236"/>
      <c r="K12" s="236"/>
      <c r="L12" s="527"/>
      <c r="M12" s="235" t="s">
        <v>180</v>
      </c>
      <c r="N12" s="235"/>
      <c r="O12" s="527"/>
      <c r="P12" s="235" t="s">
        <v>173</v>
      </c>
      <c r="Q12" s="235" t="s">
        <v>180</v>
      </c>
      <c r="R12" s="235"/>
      <c r="S12" s="235"/>
      <c r="T12" s="527"/>
      <c r="U12" s="237" t="s">
        <v>180</v>
      </c>
      <c r="V12" s="237"/>
      <c r="W12" s="527"/>
      <c r="X12" s="527"/>
      <c r="Y12" s="237" cm="1">
        <f t="array" ref="Y12">IFERROR(_xlfn._xlws.FILTER(_xlfn.ANCHORARRAY(P8),Y11=$P$7:$Y$7),0)</f>
        <v>0</v>
      </c>
      <c r="Z12" s="237" cm="1">
        <f t="array" ref="Z12">IFERROR(_xlfn._xlws.FILTER(_xlfn.ANCHORARRAY(P8),Z11=$P$7:$Y$7),0)</f>
        <v>60</v>
      </c>
      <c r="AA12" s="237" cm="1">
        <f t="array" ref="AA12">IFERROR(_xlfn._xlws.FILTER(_xlfn.ANCHORARRAY(P8),AA11=$P$7:$Y$7),0)</f>
        <v>40</v>
      </c>
      <c r="AB12" s="237" cm="1">
        <f t="array" ref="AB12">IFERROR(_xlfn._xlws.FILTER(_xlfn.ANCHORARRAY(P8),AB11=$P$7:$Y$7),0)</f>
        <v>0</v>
      </c>
      <c r="AC12" s="237" cm="1">
        <f t="array" ref="AC12">IFERROR(_xlfn._xlws.FILTER(_xlfn.ANCHORARRAY(P8),AC11=$P$7:$Y$7),0)</f>
        <v>60</v>
      </c>
      <c r="AD12" s="237" cm="1">
        <f t="array" ref="AD12">IFERROR(_xlfn._xlws.FILTER(_xlfn.ANCHORARRAY(P8),AD11=$P$7:$Y$7),0)</f>
        <v>40</v>
      </c>
    </row>
    <row r="13" spans="1:33" ht="15.75" x14ac:dyDescent="0.25">
      <c r="A13" s="239">
        <v>1</v>
      </c>
      <c r="B13" s="240" t="s">
        <v>220</v>
      </c>
      <c r="C13" s="166" t="str">
        <f>[10]Sheet1!A26</f>
        <v>2023-IT-01</v>
      </c>
      <c r="D13" s="166" t="str">
        <f>[10]Sheet1!B26</f>
        <v>Rahma Noor</v>
      </c>
      <c r="E13" s="168">
        <f>[10]Sheet1!D26</f>
        <v>10</v>
      </c>
      <c r="F13" s="168"/>
      <c r="G13" s="229">
        <f t="shared" ref="G13:G49" si="0">SUM(C13:F13)</f>
        <v>10</v>
      </c>
      <c r="H13" s="168">
        <v>6</v>
      </c>
      <c r="I13" s="168">
        <v>9</v>
      </c>
      <c r="J13" s="168"/>
      <c r="K13" s="168"/>
      <c r="L13" s="229">
        <f>[10]Sheet1!E26</f>
        <v>15</v>
      </c>
      <c r="M13" s="168">
        <f>[10]Sheet1!F26</f>
        <v>9</v>
      </c>
      <c r="N13" s="168"/>
      <c r="O13" s="229">
        <f t="shared" ref="O13" si="1">SUM(M13:N13)</f>
        <v>9</v>
      </c>
      <c r="P13" s="241">
        <v>7</v>
      </c>
      <c r="Q13" s="168">
        <v>9</v>
      </c>
      <c r="R13" s="168"/>
      <c r="S13" s="242"/>
      <c r="T13" s="229">
        <f>[10]Sheet1!G26</f>
        <v>16</v>
      </c>
      <c r="U13" s="243">
        <f>[10]Sheet1!H26</f>
        <v>9</v>
      </c>
      <c r="V13" s="241"/>
      <c r="W13" s="229">
        <f t="shared" ref="W13" si="2">SUM(U13:V13)</f>
        <v>9</v>
      </c>
      <c r="X13" s="229">
        <f t="shared" ref="X13:X49" si="3">SUM(G13+L13+O13+T13+W13)</f>
        <v>59</v>
      </c>
      <c r="Y13" s="244">
        <f t="shared" ref="Y13:Y56" si="4">SUMIF($E$12:$V$12,$Y$11,E13:V13)</f>
        <v>0</v>
      </c>
      <c r="Z13" s="244">
        <f t="shared" ref="Z13:Z56" si="5">SUMIF($E$12:$V$12,$Z$11,E13:V13)</f>
        <v>32</v>
      </c>
      <c r="AA13" s="244">
        <f t="shared" ref="AA13:AA56" si="6">SUMIF($E$12:$V$12,$AA$11,E13:V13)</f>
        <v>27</v>
      </c>
      <c r="AB13" s="244">
        <f>IFERROR(IF(Y13/$Y$12*100&gt;=50,"Y","N"),0)</f>
        <v>0</v>
      </c>
      <c r="AC13" s="244" t="str">
        <f>IFERROR(IF(Z13/$Z$12*100&gt;=50,"Y","N"),0)</f>
        <v>Y</v>
      </c>
      <c r="AD13" s="244" t="str">
        <f>IFERROR(IF(AA13/$AA$12*100&gt;=50,"Y","N"),0)</f>
        <v>Y</v>
      </c>
      <c r="AE13" s="304">
        <f>Z13/60*100</f>
        <v>53.333333333333336</v>
      </c>
      <c r="AF13" s="220">
        <f>AA13/40*100</f>
        <v>67.5</v>
      </c>
    </row>
    <row r="14" spans="1:33" ht="15.75" x14ac:dyDescent="0.25">
      <c r="A14" s="245">
        <v>2</v>
      </c>
      <c r="B14" s="246" t="s">
        <v>221</v>
      </c>
      <c r="C14" s="166" t="str">
        <f>[10]Sheet1!A27</f>
        <v>2023-IT-02</v>
      </c>
      <c r="D14" s="166" t="str">
        <f>[10]Sheet1!B27</f>
        <v>Alishba Manzoor</v>
      </c>
      <c r="E14" s="168">
        <f>[10]Sheet1!D27</f>
        <v>8</v>
      </c>
      <c r="F14" s="168"/>
      <c r="G14" s="229">
        <f t="shared" si="0"/>
        <v>8</v>
      </c>
      <c r="H14" s="168">
        <v>5</v>
      </c>
      <c r="I14" s="168">
        <v>7</v>
      </c>
      <c r="J14" s="168"/>
      <c r="K14" s="168"/>
      <c r="L14" s="229">
        <f>[10]Sheet1!E27</f>
        <v>12</v>
      </c>
      <c r="M14" s="168">
        <f>[10]Sheet1!F27</f>
        <v>7</v>
      </c>
      <c r="N14" s="168"/>
      <c r="O14" s="229"/>
      <c r="P14" s="241">
        <v>8</v>
      </c>
      <c r="Q14" s="168">
        <v>11</v>
      </c>
      <c r="R14" s="168"/>
      <c r="S14" s="242"/>
      <c r="T14" s="229">
        <f>[10]Sheet1!G27</f>
        <v>19</v>
      </c>
      <c r="U14" s="243">
        <f>[10]Sheet1!H27</f>
        <v>8</v>
      </c>
      <c r="V14" s="241"/>
      <c r="W14" s="229">
        <f t="shared" ref="W14:W49" si="7">SUM(U14:V14)</f>
        <v>8</v>
      </c>
      <c r="X14" s="229">
        <f t="shared" si="3"/>
        <v>47</v>
      </c>
      <c r="Y14" s="244">
        <f t="shared" si="4"/>
        <v>0</v>
      </c>
      <c r="Z14" s="244">
        <f t="shared" si="5"/>
        <v>28</v>
      </c>
      <c r="AA14" s="244">
        <f t="shared" si="6"/>
        <v>26</v>
      </c>
      <c r="AB14" s="244">
        <f t="shared" ref="AB14:AB56" si="8">IFERROR(IF(Y14/$Y$12*100&gt;=50,"Y","N"),0)</f>
        <v>0</v>
      </c>
      <c r="AC14" s="244" t="str">
        <f t="shared" ref="AC14:AC56" si="9">IFERROR(IF(Z14/$Z$12*100&gt;=50,"Y","N"),0)</f>
        <v>N</v>
      </c>
      <c r="AD14" s="244" t="str">
        <f t="shared" ref="AD14:AD56" si="10">IFERROR(IF(AA14/$AA$12*100&gt;=50,"Y","N"),0)</f>
        <v>Y</v>
      </c>
      <c r="AE14" s="304">
        <f t="shared" ref="AE14:AE49" si="11">Z14/60*100</f>
        <v>46.666666666666664</v>
      </c>
      <c r="AF14" s="220">
        <f t="shared" ref="AF14:AF49" si="12">AA14/40*100</f>
        <v>65</v>
      </c>
      <c r="AG14" s="222"/>
    </row>
    <row r="15" spans="1:33" ht="15.75" x14ac:dyDescent="0.25">
      <c r="A15" s="247">
        <v>3</v>
      </c>
      <c r="B15" s="248" t="s">
        <v>222</v>
      </c>
      <c r="C15" s="166" t="str">
        <f>[10]Sheet1!A28</f>
        <v>2023-IT-03</v>
      </c>
      <c r="D15" s="166" t="str">
        <f>[10]Sheet1!B28</f>
        <v>Maheen Fatima</v>
      </c>
      <c r="E15" s="168">
        <f>[10]Sheet1!D28</f>
        <v>8</v>
      </c>
      <c r="F15" s="168"/>
      <c r="G15" s="229">
        <f t="shared" si="0"/>
        <v>8</v>
      </c>
      <c r="H15" s="168">
        <v>7</v>
      </c>
      <c r="I15" s="168">
        <v>9</v>
      </c>
      <c r="J15" s="168"/>
      <c r="K15" s="168"/>
      <c r="L15" s="229">
        <f>[10]Sheet1!E28</f>
        <v>16</v>
      </c>
      <c r="M15" s="168">
        <f>[10]Sheet1!F28</f>
        <v>9</v>
      </c>
      <c r="N15" s="168"/>
      <c r="O15" s="229"/>
      <c r="P15" s="241">
        <v>8</v>
      </c>
      <c r="Q15" s="168">
        <v>16</v>
      </c>
      <c r="R15" s="168"/>
      <c r="S15" s="242"/>
      <c r="T15" s="229">
        <f>[10]Sheet1!G28</f>
        <v>24</v>
      </c>
      <c r="U15" s="243">
        <f>[10]Sheet1!H28</f>
        <v>8</v>
      </c>
      <c r="V15" s="241"/>
      <c r="W15" s="229">
        <f t="shared" si="7"/>
        <v>8</v>
      </c>
      <c r="X15" s="229">
        <f t="shared" si="3"/>
        <v>56</v>
      </c>
      <c r="Y15" s="244">
        <f t="shared" si="4"/>
        <v>0</v>
      </c>
      <c r="Z15" s="244">
        <f t="shared" si="5"/>
        <v>32</v>
      </c>
      <c r="AA15" s="244">
        <f t="shared" si="6"/>
        <v>33</v>
      </c>
      <c r="AB15" s="244">
        <f t="shared" si="8"/>
        <v>0</v>
      </c>
      <c r="AC15" s="244" t="str">
        <f t="shared" si="9"/>
        <v>Y</v>
      </c>
      <c r="AD15" s="244" t="str">
        <f t="shared" si="10"/>
        <v>Y</v>
      </c>
      <c r="AE15" s="304">
        <f t="shared" si="11"/>
        <v>53.333333333333336</v>
      </c>
      <c r="AF15" s="220">
        <f t="shared" si="12"/>
        <v>82.5</v>
      </c>
      <c r="AG15" s="222"/>
    </row>
    <row r="16" spans="1:33" ht="15.75" x14ac:dyDescent="0.25">
      <c r="A16" s="245">
        <v>4</v>
      </c>
      <c r="B16" s="246" t="s">
        <v>223</v>
      </c>
      <c r="C16" s="166" t="str">
        <f>[10]Sheet1!A29</f>
        <v>2023-IT-04</v>
      </c>
      <c r="D16" s="166" t="str">
        <f>[10]Sheet1!B29</f>
        <v>Aneela</v>
      </c>
      <c r="E16" s="168">
        <f>[10]Sheet1!D29</f>
        <v>9</v>
      </c>
      <c r="F16" s="168"/>
      <c r="G16" s="229">
        <f t="shared" si="0"/>
        <v>9</v>
      </c>
      <c r="H16" s="168">
        <v>7</v>
      </c>
      <c r="I16" s="168">
        <v>8</v>
      </c>
      <c r="J16" s="168"/>
      <c r="K16" s="168"/>
      <c r="L16" s="229">
        <f>[10]Sheet1!E29</f>
        <v>15</v>
      </c>
      <c r="M16" s="168">
        <f>[10]Sheet1!F29</f>
        <v>8</v>
      </c>
      <c r="N16" s="168"/>
      <c r="O16" s="229"/>
      <c r="P16" s="241">
        <v>8</v>
      </c>
      <c r="Q16" s="168">
        <v>15</v>
      </c>
      <c r="R16" s="168"/>
      <c r="S16" s="242"/>
      <c r="T16" s="229">
        <f>[10]Sheet1!G29</f>
        <v>23</v>
      </c>
      <c r="U16" s="243">
        <f>[10]Sheet1!H29</f>
        <v>9</v>
      </c>
      <c r="V16" s="241"/>
      <c r="W16" s="229">
        <f t="shared" si="7"/>
        <v>9</v>
      </c>
      <c r="X16" s="229">
        <f t="shared" si="3"/>
        <v>56</v>
      </c>
      <c r="Y16" s="244">
        <f t="shared" si="4"/>
        <v>0</v>
      </c>
      <c r="Z16" s="244">
        <f t="shared" si="5"/>
        <v>32</v>
      </c>
      <c r="AA16" s="244">
        <f t="shared" si="6"/>
        <v>32</v>
      </c>
      <c r="AB16" s="244">
        <f t="shared" si="8"/>
        <v>0</v>
      </c>
      <c r="AC16" s="244" t="str">
        <f t="shared" si="9"/>
        <v>Y</v>
      </c>
      <c r="AD16" s="244" t="str">
        <f t="shared" si="10"/>
        <v>Y</v>
      </c>
      <c r="AE16" s="304">
        <f t="shared" si="11"/>
        <v>53.333333333333336</v>
      </c>
      <c r="AF16" s="220">
        <f t="shared" si="12"/>
        <v>80</v>
      </c>
      <c r="AG16" s="222"/>
    </row>
    <row r="17" spans="1:33" ht="15.75" x14ac:dyDescent="0.25">
      <c r="A17" s="245">
        <v>5</v>
      </c>
      <c r="B17" s="246" t="s">
        <v>224</v>
      </c>
      <c r="C17" s="166" t="str">
        <f>[10]Sheet1!A30</f>
        <v>2023-IT-05</v>
      </c>
      <c r="D17" s="166" t="str">
        <f>[10]Sheet1!B30</f>
        <v>Alishba Saleem</v>
      </c>
      <c r="E17" s="168">
        <f>[10]Sheet1!D30</f>
        <v>8</v>
      </c>
      <c r="F17" s="168"/>
      <c r="G17" s="229">
        <f t="shared" si="0"/>
        <v>8</v>
      </c>
      <c r="H17" s="249">
        <v>5</v>
      </c>
      <c r="I17" s="249">
        <v>9</v>
      </c>
      <c r="J17" s="249"/>
      <c r="K17" s="249"/>
      <c r="L17" s="229">
        <f>[10]Sheet1!E30</f>
        <v>14</v>
      </c>
      <c r="M17" s="168">
        <f>[10]Sheet1!F30</f>
        <v>8</v>
      </c>
      <c r="N17" s="249"/>
      <c r="O17" s="229"/>
      <c r="P17" s="250">
        <v>9</v>
      </c>
      <c r="Q17" s="249">
        <v>14</v>
      </c>
      <c r="R17" s="249"/>
      <c r="S17" s="242"/>
      <c r="T17" s="229">
        <f>[10]Sheet1!G30</f>
        <v>23</v>
      </c>
      <c r="U17" s="243">
        <f>[10]Sheet1!H30</f>
        <v>9</v>
      </c>
      <c r="V17" s="241"/>
      <c r="W17" s="229">
        <f t="shared" si="7"/>
        <v>9</v>
      </c>
      <c r="X17" s="229">
        <f t="shared" si="3"/>
        <v>54</v>
      </c>
      <c r="Y17" s="244">
        <f t="shared" si="4"/>
        <v>0</v>
      </c>
      <c r="Z17" s="244">
        <f t="shared" si="5"/>
        <v>31</v>
      </c>
      <c r="AA17" s="244">
        <f t="shared" si="6"/>
        <v>31</v>
      </c>
      <c r="AB17" s="244">
        <f t="shared" si="8"/>
        <v>0</v>
      </c>
      <c r="AC17" s="244" t="str">
        <f t="shared" si="9"/>
        <v>Y</v>
      </c>
      <c r="AD17" s="244" t="str">
        <f t="shared" si="10"/>
        <v>Y</v>
      </c>
      <c r="AE17" s="304">
        <f t="shared" si="11"/>
        <v>51.666666666666671</v>
      </c>
      <c r="AF17" s="220">
        <f t="shared" si="12"/>
        <v>77.5</v>
      </c>
      <c r="AG17" s="222"/>
    </row>
    <row r="18" spans="1:33" ht="15.75" x14ac:dyDescent="0.25">
      <c r="A18" s="245">
        <v>6</v>
      </c>
      <c r="B18" s="246" t="s">
        <v>225</v>
      </c>
      <c r="C18" s="166" t="str">
        <f>[10]Sheet1!A31</f>
        <v>2023-IT-06</v>
      </c>
      <c r="D18" s="166" t="str">
        <f>[10]Sheet1!B31</f>
        <v>Mehak Asghar</v>
      </c>
      <c r="E18" s="168">
        <f>[10]Sheet1!D31</f>
        <v>10</v>
      </c>
      <c r="F18" s="168"/>
      <c r="G18" s="229">
        <f t="shared" si="0"/>
        <v>10</v>
      </c>
      <c r="H18" s="249">
        <v>6</v>
      </c>
      <c r="I18" s="249">
        <v>12</v>
      </c>
      <c r="J18" s="249"/>
      <c r="K18" s="249"/>
      <c r="L18" s="229">
        <f>[10]Sheet1!E31</f>
        <v>18</v>
      </c>
      <c r="M18" s="168">
        <f>[10]Sheet1!F31</f>
        <v>10</v>
      </c>
      <c r="N18" s="249"/>
      <c r="O18" s="229"/>
      <c r="P18" s="250">
        <v>14</v>
      </c>
      <c r="Q18" s="249">
        <v>14</v>
      </c>
      <c r="R18" s="249"/>
      <c r="S18" s="242"/>
      <c r="T18" s="229">
        <f>[10]Sheet1!G31</f>
        <v>28</v>
      </c>
      <c r="U18" s="243">
        <f>[10]Sheet1!H31</f>
        <v>9</v>
      </c>
      <c r="V18" s="241"/>
      <c r="W18" s="229">
        <f t="shared" si="7"/>
        <v>9</v>
      </c>
      <c r="X18" s="229">
        <f t="shared" si="3"/>
        <v>65</v>
      </c>
      <c r="Y18" s="244">
        <f t="shared" si="4"/>
        <v>0</v>
      </c>
      <c r="Z18" s="244">
        <f t="shared" si="5"/>
        <v>42</v>
      </c>
      <c r="AA18" s="244">
        <f t="shared" si="6"/>
        <v>33</v>
      </c>
      <c r="AB18" s="244">
        <f t="shared" si="8"/>
        <v>0</v>
      </c>
      <c r="AC18" s="244" t="str">
        <f t="shared" si="9"/>
        <v>Y</v>
      </c>
      <c r="AD18" s="244" t="str">
        <f t="shared" si="10"/>
        <v>Y</v>
      </c>
      <c r="AE18" s="304">
        <f t="shared" si="11"/>
        <v>70</v>
      </c>
      <c r="AF18" s="220">
        <f t="shared" si="12"/>
        <v>82.5</v>
      </c>
      <c r="AG18" s="222"/>
    </row>
    <row r="19" spans="1:33" ht="15.75" x14ac:dyDescent="0.25">
      <c r="A19" s="245">
        <v>7</v>
      </c>
      <c r="B19" s="246" t="s">
        <v>226</v>
      </c>
      <c r="C19" s="166" t="str">
        <f>[10]Sheet1!A32</f>
        <v>2023-IT-07</v>
      </c>
      <c r="D19" s="166" t="str">
        <f>[10]Sheet1!B32</f>
        <v>Humaira Afzal</v>
      </c>
      <c r="E19" s="168">
        <f>[10]Sheet1!D32</f>
        <v>7</v>
      </c>
      <c r="F19" s="168"/>
      <c r="G19" s="229">
        <f t="shared" si="0"/>
        <v>7</v>
      </c>
      <c r="H19" s="249">
        <v>9</v>
      </c>
      <c r="I19" s="249">
        <v>10</v>
      </c>
      <c r="J19" s="249"/>
      <c r="K19" s="249"/>
      <c r="L19" s="229">
        <f>[10]Sheet1!E32</f>
        <v>19</v>
      </c>
      <c r="M19" s="168">
        <f>[10]Sheet1!F32</f>
        <v>7</v>
      </c>
      <c r="N19" s="249"/>
      <c r="O19" s="229"/>
      <c r="P19" s="250">
        <v>10</v>
      </c>
      <c r="Q19" s="249">
        <v>17</v>
      </c>
      <c r="R19" s="249"/>
      <c r="S19" s="242"/>
      <c r="T19" s="229">
        <f>[10]Sheet1!G32</f>
        <v>27</v>
      </c>
      <c r="U19" s="243">
        <f>[10]Sheet1!H32</f>
        <v>7</v>
      </c>
      <c r="V19" s="241"/>
      <c r="W19" s="229">
        <f t="shared" si="7"/>
        <v>7</v>
      </c>
      <c r="X19" s="229">
        <f t="shared" si="3"/>
        <v>60</v>
      </c>
      <c r="Y19" s="244">
        <f t="shared" si="4"/>
        <v>0</v>
      </c>
      <c r="Z19" s="244">
        <f t="shared" si="5"/>
        <v>36</v>
      </c>
      <c r="AA19" s="244">
        <f t="shared" si="6"/>
        <v>31</v>
      </c>
      <c r="AB19" s="244">
        <f t="shared" si="8"/>
        <v>0</v>
      </c>
      <c r="AC19" s="244" t="str">
        <f t="shared" si="9"/>
        <v>Y</v>
      </c>
      <c r="AD19" s="244" t="str">
        <f t="shared" si="10"/>
        <v>Y</v>
      </c>
      <c r="AE19" s="304">
        <f t="shared" si="11"/>
        <v>60</v>
      </c>
      <c r="AF19" s="220">
        <f t="shared" si="12"/>
        <v>77.5</v>
      </c>
      <c r="AG19" s="222"/>
    </row>
    <row r="20" spans="1:33" ht="15.75" x14ac:dyDescent="0.25">
      <c r="A20" s="245">
        <v>10</v>
      </c>
      <c r="B20" s="246" t="s">
        <v>227</v>
      </c>
      <c r="C20" s="166" t="str">
        <f>[10]Sheet1!A33</f>
        <v>2023-IT-08</v>
      </c>
      <c r="D20" s="166" t="str">
        <f>[10]Sheet1!B33</f>
        <v>Saleena Khan</v>
      </c>
      <c r="E20" s="168">
        <f>[10]Sheet1!D33</f>
        <v>0</v>
      </c>
      <c r="F20" s="168"/>
      <c r="G20" s="229">
        <f t="shared" si="0"/>
        <v>0</v>
      </c>
      <c r="H20" s="249">
        <v>0</v>
      </c>
      <c r="I20" s="249">
        <v>0</v>
      </c>
      <c r="J20" s="249"/>
      <c r="K20" s="249"/>
      <c r="L20" s="229">
        <f>[10]Sheet1!E33</f>
        <v>0</v>
      </c>
      <c r="M20" s="168">
        <f>[10]Sheet1!F33</f>
        <v>0</v>
      </c>
      <c r="N20" s="249"/>
      <c r="O20" s="229"/>
      <c r="P20" s="250">
        <v>0</v>
      </c>
      <c r="Q20" s="249">
        <v>0</v>
      </c>
      <c r="R20" s="249"/>
      <c r="S20" s="242"/>
      <c r="T20" s="229">
        <f>[10]Sheet1!G33</f>
        <v>0</v>
      </c>
      <c r="U20" s="243">
        <f>[10]Sheet1!H33</f>
        <v>0</v>
      </c>
      <c r="V20" s="241"/>
      <c r="W20" s="229">
        <f t="shared" si="7"/>
        <v>0</v>
      </c>
      <c r="X20" s="229">
        <f t="shared" si="3"/>
        <v>0</v>
      </c>
      <c r="Y20" s="244">
        <f t="shared" si="4"/>
        <v>0</v>
      </c>
      <c r="Z20" s="244">
        <f t="shared" si="5"/>
        <v>0</v>
      </c>
      <c r="AA20" s="244">
        <f t="shared" si="6"/>
        <v>0</v>
      </c>
      <c r="AB20" s="244">
        <f t="shared" si="8"/>
        <v>0</v>
      </c>
      <c r="AC20" s="244" t="str">
        <f t="shared" si="9"/>
        <v>N</v>
      </c>
      <c r="AD20" s="244" t="str">
        <f t="shared" si="10"/>
        <v>N</v>
      </c>
      <c r="AE20" s="304">
        <f t="shared" si="11"/>
        <v>0</v>
      </c>
      <c r="AF20" s="220">
        <f t="shared" si="12"/>
        <v>0</v>
      </c>
      <c r="AG20" s="222"/>
    </row>
    <row r="21" spans="1:33" ht="15.75" x14ac:dyDescent="0.25">
      <c r="A21" s="245">
        <v>11</v>
      </c>
      <c r="B21" s="246" t="s">
        <v>228</v>
      </c>
      <c r="C21" s="166" t="str">
        <f>[10]Sheet1!A34</f>
        <v>2023-IT-10</v>
      </c>
      <c r="D21" s="166" t="str">
        <f>[10]Sheet1!B34</f>
        <v>Asad Ullah</v>
      </c>
      <c r="E21" s="168">
        <f>[10]Sheet1!D34</f>
        <v>10</v>
      </c>
      <c r="F21" s="168"/>
      <c r="G21" s="229">
        <f t="shared" si="0"/>
        <v>10</v>
      </c>
      <c r="H21" s="249">
        <v>4</v>
      </c>
      <c r="I21" s="249">
        <v>10</v>
      </c>
      <c r="J21" s="249"/>
      <c r="K21" s="249"/>
      <c r="L21" s="229">
        <f>[10]Sheet1!E34</f>
        <v>14</v>
      </c>
      <c r="M21" s="168">
        <f>[10]Sheet1!F34</f>
        <v>9</v>
      </c>
      <c r="N21" s="249"/>
      <c r="O21" s="229"/>
      <c r="P21" s="250">
        <v>10</v>
      </c>
      <c r="Q21" s="249">
        <v>12</v>
      </c>
      <c r="R21" s="249"/>
      <c r="S21" s="242"/>
      <c r="T21" s="229">
        <f>[10]Sheet1!G34</f>
        <v>22</v>
      </c>
      <c r="U21" s="243">
        <f>[10]Sheet1!H34</f>
        <v>9</v>
      </c>
      <c r="V21" s="241"/>
      <c r="W21" s="229">
        <f t="shared" si="7"/>
        <v>9</v>
      </c>
      <c r="X21" s="229">
        <f t="shared" si="3"/>
        <v>55</v>
      </c>
      <c r="Y21" s="244">
        <f t="shared" si="4"/>
        <v>0</v>
      </c>
      <c r="Z21" s="244">
        <f t="shared" si="5"/>
        <v>34</v>
      </c>
      <c r="AA21" s="244">
        <f t="shared" si="6"/>
        <v>30</v>
      </c>
      <c r="AB21" s="244">
        <f t="shared" si="8"/>
        <v>0</v>
      </c>
      <c r="AC21" s="244" t="str">
        <f t="shared" si="9"/>
        <v>Y</v>
      </c>
      <c r="AD21" s="244" t="str">
        <f t="shared" si="10"/>
        <v>Y</v>
      </c>
      <c r="AE21" s="304">
        <f t="shared" si="11"/>
        <v>56.666666666666664</v>
      </c>
      <c r="AF21" s="220">
        <f t="shared" si="12"/>
        <v>75</v>
      </c>
      <c r="AG21" s="222"/>
    </row>
    <row r="22" spans="1:33" ht="15.75" x14ac:dyDescent="0.25">
      <c r="A22" s="245">
        <v>12</v>
      </c>
      <c r="B22" s="246" t="s">
        <v>229</v>
      </c>
      <c r="C22" s="166" t="str">
        <f>[10]Sheet1!A35</f>
        <v>2023-IT-11</v>
      </c>
      <c r="D22" s="166" t="str">
        <f>[10]Sheet1!B35</f>
        <v>Rana Talha dawood</v>
      </c>
      <c r="E22" s="168">
        <f>[10]Sheet1!D35</f>
        <v>6</v>
      </c>
      <c r="F22" s="168"/>
      <c r="G22" s="229">
        <f t="shared" si="0"/>
        <v>6</v>
      </c>
      <c r="H22" s="249">
        <v>8</v>
      </c>
      <c r="I22" s="249">
        <v>10</v>
      </c>
      <c r="J22" s="249"/>
      <c r="K22" s="249"/>
      <c r="L22" s="229">
        <f>[10]Sheet1!E35</f>
        <v>18</v>
      </c>
      <c r="M22" s="168">
        <f>[10]Sheet1!F35</f>
        <v>6</v>
      </c>
      <c r="N22" s="249"/>
      <c r="O22" s="229"/>
      <c r="P22" s="250">
        <v>10</v>
      </c>
      <c r="Q22" s="249">
        <v>12</v>
      </c>
      <c r="R22" s="249"/>
      <c r="S22" s="242"/>
      <c r="T22" s="229">
        <f>[10]Sheet1!G35</f>
        <v>22</v>
      </c>
      <c r="U22" s="243">
        <f>[10]Sheet1!H35</f>
        <v>6</v>
      </c>
      <c r="V22" s="241"/>
      <c r="W22" s="229">
        <f t="shared" si="7"/>
        <v>6</v>
      </c>
      <c r="X22" s="229">
        <f t="shared" si="3"/>
        <v>52</v>
      </c>
      <c r="Y22" s="244">
        <f t="shared" si="4"/>
        <v>0</v>
      </c>
      <c r="Z22" s="244">
        <f t="shared" si="5"/>
        <v>34</v>
      </c>
      <c r="AA22" s="244">
        <f t="shared" si="6"/>
        <v>24</v>
      </c>
      <c r="AB22" s="244">
        <f t="shared" si="8"/>
        <v>0</v>
      </c>
      <c r="AC22" s="244" t="str">
        <f t="shared" si="9"/>
        <v>Y</v>
      </c>
      <c r="AD22" s="244" t="str">
        <f t="shared" si="10"/>
        <v>Y</v>
      </c>
      <c r="AE22" s="304">
        <f t="shared" si="11"/>
        <v>56.666666666666664</v>
      </c>
      <c r="AF22" s="220">
        <f t="shared" si="12"/>
        <v>60</v>
      </c>
      <c r="AG22" s="222"/>
    </row>
    <row r="23" spans="1:33" ht="15.75" x14ac:dyDescent="0.25">
      <c r="A23" s="245">
        <v>13</v>
      </c>
      <c r="B23" s="246" t="s">
        <v>230</v>
      </c>
      <c r="C23" s="166" t="str">
        <f>[10]Sheet1!A36</f>
        <v>2023-IT-12</v>
      </c>
      <c r="D23" s="166" t="str">
        <f>[10]Sheet1!B36</f>
        <v>Ali Ahmad</v>
      </c>
      <c r="E23" s="168">
        <f>[10]Sheet1!D36</f>
        <v>8</v>
      </c>
      <c r="F23" s="168"/>
      <c r="G23" s="229">
        <f t="shared" si="0"/>
        <v>8</v>
      </c>
      <c r="H23" s="249">
        <v>5</v>
      </c>
      <c r="I23" s="249">
        <v>10</v>
      </c>
      <c r="J23" s="249"/>
      <c r="K23" s="249"/>
      <c r="L23" s="229">
        <f>[10]Sheet1!E36</f>
        <v>15</v>
      </c>
      <c r="M23" s="168">
        <f>[10]Sheet1!F36</f>
        <v>7</v>
      </c>
      <c r="N23" s="249"/>
      <c r="O23" s="229"/>
      <c r="P23" s="250">
        <v>9</v>
      </c>
      <c r="Q23" s="249">
        <v>12</v>
      </c>
      <c r="R23" s="249"/>
      <c r="S23" s="242"/>
      <c r="T23" s="229">
        <f>[10]Sheet1!G36</f>
        <v>21</v>
      </c>
      <c r="U23" s="243">
        <f>[10]Sheet1!H36</f>
        <v>8</v>
      </c>
      <c r="V23" s="241"/>
      <c r="W23" s="229">
        <f t="shared" si="7"/>
        <v>8</v>
      </c>
      <c r="X23" s="229">
        <f t="shared" si="3"/>
        <v>52</v>
      </c>
      <c r="Y23" s="244">
        <f t="shared" si="4"/>
        <v>0</v>
      </c>
      <c r="Z23" s="244">
        <f t="shared" si="5"/>
        <v>32</v>
      </c>
      <c r="AA23" s="244">
        <f t="shared" si="6"/>
        <v>27</v>
      </c>
      <c r="AB23" s="244">
        <f t="shared" si="8"/>
        <v>0</v>
      </c>
      <c r="AC23" s="244" t="str">
        <f t="shared" si="9"/>
        <v>Y</v>
      </c>
      <c r="AD23" s="244" t="str">
        <f t="shared" si="10"/>
        <v>Y</v>
      </c>
      <c r="AE23" s="304">
        <f t="shared" si="11"/>
        <v>53.333333333333336</v>
      </c>
      <c r="AF23" s="220">
        <f t="shared" si="12"/>
        <v>67.5</v>
      </c>
      <c r="AG23" s="222"/>
    </row>
    <row r="24" spans="1:33" ht="15.75" x14ac:dyDescent="0.25">
      <c r="A24" s="245">
        <v>14</v>
      </c>
      <c r="B24" s="246" t="s">
        <v>231</v>
      </c>
      <c r="C24" s="166" t="str">
        <f>[10]Sheet1!A37</f>
        <v>2023-IT-13</v>
      </c>
      <c r="D24" s="166" t="str">
        <f>[10]Sheet1!B37</f>
        <v>Muhammad Daud</v>
      </c>
      <c r="E24" s="168">
        <f>[10]Sheet1!D37</f>
        <v>8</v>
      </c>
      <c r="F24" s="168"/>
      <c r="G24" s="229">
        <f t="shared" si="0"/>
        <v>8</v>
      </c>
      <c r="H24" s="249">
        <v>10</v>
      </c>
      <c r="I24" s="249">
        <v>8</v>
      </c>
      <c r="J24" s="249"/>
      <c r="K24" s="249"/>
      <c r="L24" s="229">
        <f>[10]Sheet1!E37</f>
        <v>18</v>
      </c>
      <c r="M24" s="168">
        <f>[10]Sheet1!F37</f>
        <v>8</v>
      </c>
      <c r="N24" s="249"/>
      <c r="O24" s="229"/>
      <c r="P24" s="250">
        <v>9</v>
      </c>
      <c r="Q24" s="249">
        <v>14</v>
      </c>
      <c r="R24" s="249"/>
      <c r="S24" s="242"/>
      <c r="T24" s="229">
        <f>[10]Sheet1!G37</f>
        <v>23</v>
      </c>
      <c r="U24" s="243">
        <f>[10]Sheet1!H37</f>
        <v>9</v>
      </c>
      <c r="V24" s="241"/>
      <c r="W24" s="229">
        <f t="shared" si="7"/>
        <v>9</v>
      </c>
      <c r="X24" s="229">
        <f t="shared" si="3"/>
        <v>58</v>
      </c>
      <c r="Y24" s="244">
        <f t="shared" si="4"/>
        <v>0</v>
      </c>
      <c r="Z24" s="244">
        <f t="shared" si="5"/>
        <v>35</v>
      </c>
      <c r="AA24" s="244">
        <f t="shared" si="6"/>
        <v>31</v>
      </c>
      <c r="AB24" s="244">
        <f t="shared" si="8"/>
        <v>0</v>
      </c>
      <c r="AC24" s="244" t="str">
        <f t="shared" si="9"/>
        <v>Y</v>
      </c>
      <c r="AD24" s="244" t="str">
        <f t="shared" si="10"/>
        <v>Y</v>
      </c>
      <c r="AE24" s="304">
        <f t="shared" si="11"/>
        <v>58.333333333333336</v>
      </c>
      <c r="AF24" s="220">
        <f t="shared" si="12"/>
        <v>77.5</v>
      </c>
      <c r="AG24" s="222"/>
    </row>
    <row r="25" spans="1:33" ht="15.75" x14ac:dyDescent="0.25">
      <c r="A25" s="245">
        <v>16</v>
      </c>
      <c r="B25" s="246" t="s">
        <v>232</v>
      </c>
      <c r="C25" s="166" t="str">
        <f>[10]Sheet1!A38</f>
        <v>2023-IT-14</v>
      </c>
      <c r="D25" s="166" t="str">
        <f>[10]Sheet1!B38</f>
        <v>Mursil Mateen</v>
      </c>
      <c r="E25" s="168">
        <f>[10]Sheet1!D38</f>
        <v>10</v>
      </c>
      <c r="F25" s="168"/>
      <c r="G25" s="229">
        <f t="shared" si="0"/>
        <v>10</v>
      </c>
      <c r="H25" s="249">
        <v>6</v>
      </c>
      <c r="I25" s="249">
        <v>10</v>
      </c>
      <c r="J25" s="249"/>
      <c r="K25" s="249"/>
      <c r="L25" s="229">
        <f>[10]Sheet1!E38</f>
        <v>16</v>
      </c>
      <c r="M25" s="168">
        <f>[10]Sheet1!F38</f>
        <v>7</v>
      </c>
      <c r="N25" s="249"/>
      <c r="O25" s="229"/>
      <c r="P25" s="250">
        <v>9</v>
      </c>
      <c r="Q25" s="249">
        <v>16</v>
      </c>
      <c r="R25" s="249"/>
      <c r="S25" s="242"/>
      <c r="T25" s="229">
        <f>[10]Sheet1!G38</f>
        <v>25</v>
      </c>
      <c r="U25" s="243">
        <f>[10]Sheet1!H38</f>
        <v>9</v>
      </c>
      <c r="V25" s="241"/>
      <c r="W25" s="229">
        <f t="shared" si="7"/>
        <v>9</v>
      </c>
      <c r="X25" s="229">
        <f t="shared" si="3"/>
        <v>60</v>
      </c>
      <c r="Y25" s="244">
        <f t="shared" si="4"/>
        <v>0</v>
      </c>
      <c r="Z25" s="244">
        <f t="shared" si="5"/>
        <v>35</v>
      </c>
      <c r="AA25" s="244">
        <f t="shared" si="6"/>
        <v>32</v>
      </c>
      <c r="AB25" s="244">
        <f t="shared" si="8"/>
        <v>0</v>
      </c>
      <c r="AC25" s="244" t="str">
        <f t="shared" si="9"/>
        <v>Y</v>
      </c>
      <c r="AD25" s="244" t="str">
        <f t="shared" si="10"/>
        <v>Y</v>
      </c>
      <c r="AE25" s="304">
        <f t="shared" si="11"/>
        <v>58.333333333333336</v>
      </c>
      <c r="AF25" s="220">
        <f t="shared" si="12"/>
        <v>80</v>
      </c>
      <c r="AG25" s="222"/>
    </row>
    <row r="26" spans="1:33" ht="15.75" x14ac:dyDescent="0.25">
      <c r="A26" s="245">
        <v>17</v>
      </c>
      <c r="B26" s="246" t="s">
        <v>233</v>
      </c>
      <c r="C26" s="166" t="str">
        <f>[10]Sheet1!A39</f>
        <v>2023-IT-16</v>
      </c>
      <c r="D26" s="166" t="str">
        <f>[10]Sheet1!B39</f>
        <v>Muhammad Usman</v>
      </c>
      <c r="E26" s="168">
        <f>[10]Sheet1!D39</f>
        <v>0</v>
      </c>
      <c r="F26" s="168"/>
      <c r="G26" s="229">
        <f t="shared" si="0"/>
        <v>0</v>
      </c>
      <c r="H26" s="249">
        <v>0</v>
      </c>
      <c r="I26" s="249">
        <v>0</v>
      </c>
      <c r="J26" s="249"/>
      <c r="K26" s="249"/>
      <c r="L26" s="229">
        <f>[10]Sheet1!E39</f>
        <v>0</v>
      </c>
      <c r="M26" s="168">
        <f>[10]Sheet1!F39</f>
        <v>0</v>
      </c>
      <c r="N26" s="249"/>
      <c r="O26" s="229"/>
      <c r="P26" s="250">
        <v>0</v>
      </c>
      <c r="Q26" s="249">
        <v>0</v>
      </c>
      <c r="R26" s="249"/>
      <c r="S26" s="242"/>
      <c r="T26" s="229">
        <f>[10]Sheet1!G39</f>
        <v>0</v>
      </c>
      <c r="U26" s="243">
        <f>[10]Sheet1!H39</f>
        <v>0</v>
      </c>
      <c r="V26" s="241"/>
      <c r="W26" s="229">
        <f t="shared" si="7"/>
        <v>0</v>
      </c>
      <c r="X26" s="229">
        <f t="shared" si="3"/>
        <v>0</v>
      </c>
      <c r="Y26" s="244">
        <f t="shared" si="4"/>
        <v>0</v>
      </c>
      <c r="Z26" s="244">
        <f t="shared" si="5"/>
        <v>0</v>
      </c>
      <c r="AA26" s="244">
        <f t="shared" si="6"/>
        <v>0</v>
      </c>
      <c r="AB26" s="244">
        <f t="shared" si="8"/>
        <v>0</v>
      </c>
      <c r="AC26" s="244" t="str">
        <f t="shared" si="9"/>
        <v>N</v>
      </c>
      <c r="AD26" s="244" t="str">
        <f t="shared" si="10"/>
        <v>N</v>
      </c>
      <c r="AE26" s="304">
        <f t="shared" si="11"/>
        <v>0</v>
      </c>
      <c r="AF26" s="220">
        <f t="shared" si="12"/>
        <v>0</v>
      </c>
      <c r="AG26" s="222"/>
    </row>
    <row r="27" spans="1:33" ht="15.75" x14ac:dyDescent="0.25">
      <c r="A27" s="247">
        <v>18</v>
      </c>
      <c r="B27" s="248" t="s">
        <v>234</v>
      </c>
      <c r="C27" s="166" t="str">
        <f>[10]Sheet1!A40</f>
        <v>2023-IT-18</v>
      </c>
      <c r="D27" s="166" t="str">
        <f>[10]Sheet1!B40</f>
        <v>Adeel Maqbool</v>
      </c>
      <c r="E27" s="168">
        <f>[10]Sheet1!D40</f>
        <v>8</v>
      </c>
      <c r="F27" s="168"/>
      <c r="G27" s="229">
        <f t="shared" si="0"/>
        <v>8</v>
      </c>
      <c r="H27" s="249">
        <v>6</v>
      </c>
      <c r="I27" s="249">
        <v>10</v>
      </c>
      <c r="J27" s="249"/>
      <c r="K27" s="249"/>
      <c r="L27" s="229">
        <f>[10]Sheet1!E40</f>
        <v>16</v>
      </c>
      <c r="M27" s="168">
        <f>[10]Sheet1!F40</f>
        <v>9</v>
      </c>
      <c r="N27" s="249"/>
      <c r="O27" s="229"/>
      <c r="P27" s="250">
        <v>10</v>
      </c>
      <c r="Q27" s="249">
        <v>16</v>
      </c>
      <c r="R27" s="249"/>
      <c r="S27" s="242"/>
      <c r="T27" s="229">
        <f>[10]Sheet1!G40</f>
        <v>26</v>
      </c>
      <c r="U27" s="243">
        <f>[10]Sheet1!H40</f>
        <v>9</v>
      </c>
      <c r="V27" s="241"/>
      <c r="W27" s="229">
        <f t="shared" si="7"/>
        <v>9</v>
      </c>
      <c r="X27" s="229">
        <f t="shared" si="3"/>
        <v>59</v>
      </c>
      <c r="Y27" s="244">
        <f t="shared" si="4"/>
        <v>0</v>
      </c>
      <c r="Z27" s="244">
        <f t="shared" si="5"/>
        <v>34</v>
      </c>
      <c r="AA27" s="244">
        <f t="shared" si="6"/>
        <v>34</v>
      </c>
      <c r="AB27" s="244">
        <f t="shared" si="8"/>
        <v>0</v>
      </c>
      <c r="AC27" s="244" t="str">
        <f t="shared" si="9"/>
        <v>Y</v>
      </c>
      <c r="AD27" s="244" t="str">
        <f t="shared" si="10"/>
        <v>Y</v>
      </c>
      <c r="AE27" s="304">
        <f t="shared" si="11"/>
        <v>56.666666666666664</v>
      </c>
      <c r="AF27" s="220">
        <f t="shared" si="12"/>
        <v>85</v>
      </c>
      <c r="AG27" s="222"/>
    </row>
    <row r="28" spans="1:33" ht="15.75" x14ac:dyDescent="0.25">
      <c r="A28" s="247">
        <v>19</v>
      </c>
      <c r="B28" s="248" t="s">
        <v>235</v>
      </c>
      <c r="C28" s="166" t="str">
        <f>[10]Sheet1!A41</f>
        <v>2023-IT-20</v>
      </c>
      <c r="D28" s="166" t="str">
        <f>[10]Sheet1!B41</f>
        <v>Husnain Saleem</v>
      </c>
      <c r="E28" s="168">
        <f>[10]Sheet1!D41</f>
        <v>8</v>
      </c>
      <c r="F28" s="168"/>
      <c r="G28" s="229">
        <f t="shared" si="0"/>
        <v>8</v>
      </c>
      <c r="H28" s="249">
        <v>5</v>
      </c>
      <c r="I28" s="249">
        <v>15</v>
      </c>
      <c r="J28" s="249"/>
      <c r="K28" s="249"/>
      <c r="L28" s="229">
        <f>[10]Sheet1!E41</f>
        <v>20</v>
      </c>
      <c r="M28" s="168">
        <f>[10]Sheet1!F41</f>
        <v>8</v>
      </c>
      <c r="N28" s="249"/>
      <c r="O28" s="229"/>
      <c r="P28" s="250">
        <v>13</v>
      </c>
      <c r="Q28" s="249">
        <v>16</v>
      </c>
      <c r="R28" s="249"/>
      <c r="S28" s="242"/>
      <c r="T28" s="229">
        <f>[10]Sheet1!G41</f>
        <v>29</v>
      </c>
      <c r="U28" s="243">
        <f>[10]Sheet1!H41</f>
        <v>8</v>
      </c>
      <c r="V28" s="241"/>
      <c r="W28" s="229">
        <f t="shared" si="7"/>
        <v>8</v>
      </c>
      <c r="X28" s="229">
        <f t="shared" si="3"/>
        <v>65</v>
      </c>
      <c r="Y28" s="244">
        <f t="shared" si="4"/>
        <v>0</v>
      </c>
      <c r="Z28" s="244">
        <f t="shared" si="5"/>
        <v>41</v>
      </c>
      <c r="AA28" s="244">
        <f t="shared" si="6"/>
        <v>32</v>
      </c>
      <c r="AB28" s="244">
        <f t="shared" si="8"/>
        <v>0</v>
      </c>
      <c r="AC28" s="244" t="str">
        <f t="shared" si="9"/>
        <v>Y</v>
      </c>
      <c r="AD28" s="244" t="str">
        <f t="shared" si="10"/>
        <v>Y</v>
      </c>
      <c r="AE28" s="304">
        <f t="shared" si="11"/>
        <v>68.333333333333329</v>
      </c>
      <c r="AF28" s="220">
        <f t="shared" si="12"/>
        <v>80</v>
      </c>
      <c r="AG28" s="222"/>
    </row>
    <row r="29" spans="1:33" ht="15.75" x14ac:dyDescent="0.25">
      <c r="A29" s="245">
        <v>21</v>
      </c>
      <c r="B29" s="246" t="s">
        <v>236</v>
      </c>
      <c r="C29" s="166" t="str">
        <f>[10]Sheet1!A42</f>
        <v>2023-IT-22</v>
      </c>
      <c r="D29" s="166" t="str">
        <f>[10]Sheet1!B42</f>
        <v>Muhammad Sameer</v>
      </c>
      <c r="E29" s="168">
        <f>[10]Sheet1!D42</f>
        <v>7</v>
      </c>
      <c r="F29" s="168"/>
      <c r="G29" s="229">
        <f t="shared" si="0"/>
        <v>7</v>
      </c>
      <c r="H29" s="249">
        <v>4</v>
      </c>
      <c r="I29" s="249">
        <v>16</v>
      </c>
      <c r="J29" s="249"/>
      <c r="K29" s="249"/>
      <c r="L29" s="229">
        <f>[10]Sheet1!E42</f>
        <v>20</v>
      </c>
      <c r="M29" s="168">
        <f>[10]Sheet1!F42</f>
        <v>8</v>
      </c>
      <c r="N29" s="249"/>
      <c r="O29" s="229"/>
      <c r="P29" s="250">
        <v>12</v>
      </c>
      <c r="Q29" s="249">
        <v>13</v>
      </c>
      <c r="R29" s="249"/>
      <c r="S29" s="242"/>
      <c r="T29" s="229">
        <f>[10]Sheet1!G42</f>
        <v>25</v>
      </c>
      <c r="U29" s="243">
        <f>[10]Sheet1!H42</f>
        <v>9</v>
      </c>
      <c r="V29" s="241"/>
      <c r="W29" s="229">
        <f t="shared" si="7"/>
        <v>9</v>
      </c>
      <c r="X29" s="229">
        <f t="shared" si="3"/>
        <v>61</v>
      </c>
      <c r="Y29" s="244">
        <f t="shared" si="4"/>
        <v>0</v>
      </c>
      <c r="Z29" s="244">
        <f t="shared" si="5"/>
        <v>39</v>
      </c>
      <c r="AA29" s="244">
        <f t="shared" si="6"/>
        <v>30</v>
      </c>
      <c r="AB29" s="244">
        <f t="shared" si="8"/>
        <v>0</v>
      </c>
      <c r="AC29" s="244" t="str">
        <f t="shared" si="9"/>
        <v>Y</v>
      </c>
      <c r="AD29" s="244" t="str">
        <f t="shared" si="10"/>
        <v>Y</v>
      </c>
      <c r="AE29" s="304">
        <f t="shared" si="11"/>
        <v>65</v>
      </c>
      <c r="AF29" s="220">
        <f t="shared" si="12"/>
        <v>75</v>
      </c>
      <c r="AG29" s="222"/>
    </row>
    <row r="30" spans="1:33" ht="15.75" x14ac:dyDescent="0.25">
      <c r="A30" s="245">
        <v>22</v>
      </c>
      <c r="B30" s="246" t="s">
        <v>237</v>
      </c>
      <c r="C30" s="166" t="str">
        <f>[10]Sheet1!A43</f>
        <v>2023-IT-24</v>
      </c>
      <c r="D30" s="166" t="str">
        <f>[10]Sheet1!B43</f>
        <v>Sher Shah Hussain</v>
      </c>
      <c r="E30" s="168">
        <f>[10]Sheet1!D43</f>
        <v>8</v>
      </c>
      <c r="F30" s="168"/>
      <c r="G30" s="229">
        <f t="shared" si="0"/>
        <v>8</v>
      </c>
      <c r="H30" s="249">
        <v>2</v>
      </c>
      <c r="I30" s="249">
        <v>9</v>
      </c>
      <c r="J30" s="249"/>
      <c r="K30" s="249"/>
      <c r="L30" s="229">
        <f>[10]Sheet1!E43</f>
        <v>11</v>
      </c>
      <c r="M30" s="168">
        <f>[10]Sheet1!F43</f>
        <v>8</v>
      </c>
      <c r="N30" s="249"/>
      <c r="O30" s="229"/>
      <c r="P30" s="250">
        <v>10</v>
      </c>
      <c r="Q30" s="249">
        <v>13</v>
      </c>
      <c r="R30" s="249"/>
      <c r="S30" s="242"/>
      <c r="T30" s="229">
        <f>[10]Sheet1!G43</f>
        <v>23</v>
      </c>
      <c r="U30" s="243">
        <f>[10]Sheet1!H43</f>
        <v>8</v>
      </c>
      <c r="V30" s="241"/>
      <c r="W30" s="229">
        <f t="shared" si="7"/>
        <v>8</v>
      </c>
      <c r="X30" s="229">
        <f t="shared" si="3"/>
        <v>50</v>
      </c>
      <c r="Y30" s="244">
        <f t="shared" si="4"/>
        <v>0</v>
      </c>
      <c r="Z30" s="244">
        <f t="shared" si="5"/>
        <v>29</v>
      </c>
      <c r="AA30" s="244">
        <f t="shared" si="6"/>
        <v>29</v>
      </c>
      <c r="AB30" s="244">
        <f t="shared" si="8"/>
        <v>0</v>
      </c>
      <c r="AC30" s="244" t="str">
        <f t="shared" si="9"/>
        <v>N</v>
      </c>
      <c r="AD30" s="244" t="str">
        <f t="shared" si="10"/>
        <v>Y</v>
      </c>
      <c r="AE30" s="304">
        <f t="shared" si="11"/>
        <v>48.333333333333336</v>
      </c>
      <c r="AF30" s="220">
        <f t="shared" si="12"/>
        <v>72.5</v>
      </c>
      <c r="AG30" s="222"/>
    </row>
    <row r="31" spans="1:33" ht="15.75" x14ac:dyDescent="0.25">
      <c r="A31" s="247">
        <v>23</v>
      </c>
      <c r="B31" s="248" t="s">
        <v>238</v>
      </c>
      <c r="C31" s="166" t="str">
        <f>[10]Sheet1!A44</f>
        <v>2023-IT-26</v>
      </c>
      <c r="D31" s="166" t="str">
        <f>[10]Sheet1!B44</f>
        <v>Abdul Ahad</v>
      </c>
      <c r="E31" s="168">
        <f>[10]Sheet1!D44</f>
        <v>0</v>
      </c>
      <c r="F31" s="168"/>
      <c r="G31" s="229">
        <f t="shared" si="0"/>
        <v>0</v>
      </c>
      <c r="H31" s="249">
        <v>0</v>
      </c>
      <c r="I31" s="249">
        <v>0</v>
      </c>
      <c r="J31" s="249"/>
      <c r="K31" s="249"/>
      <c r="L31" s="229">
        <f>[10]Sheet1!E44</f>
        <v>0</v>
      </c>
      <c r="M31" s="168">
        <f>[10]Sheet1!F44</f>
        <v>0</v>
      </c>
      <c r="N31" s="249"/>
      <c r="O31" s="229"/>
      <c r="P31" s="250">
        <v>0</v>
      </c>
      <c r="Q31" s="249">
        <v>0</v>
      </c>
      <c r="R31" s="249"/>
      <c r="S31" s="242"/>
      <c r="T31" s="229">
        <f>[10]Sheet1!G44</f>
        <v>0</v>
      </c>
      <c r="U31" s="243">
        <f>[10]Sheet1!H44</f>
        <v>0</v>
      </c>
      <c r="V31" s="241"/>
      <c r="W31" s="229">
        <f t="shared" si="7"/>
        <v>0</v>
      </c>
      <c r="X31" s="229">
        <f t="shared" si="3"/>
        <v>0</v>
      </c>
      <c r="Y31" s="244">
        <f t="shared" si="4"/>
        <v>0</v>
      </c>
      <c r="Z31" s="244">
        <f t="shared" si="5"/>
        <v>0</v>
      </c>
      <c r="AA31" s="244">
        <f t="shared" si="6"/>
        <v>0</v>
      </c>
      <c r="AB31" s="244">
        <f t="shared" si="8"/>
        <v>0</v>
      </c>
      <c r="AC31" s="244" t="str">
        <f t="shared" si="9"/>
        <v>N</v>
      </c>
      <c r="AD31" s="244" t="str">
        <f t="shared" si="10"/>
        <v>N</v>
      </c>
      <c r="AE31" s="304">
        <f t="shared" si="11"/>
        <v>0</v>
      </c>
      <c r="AF31" s="220">
        <f t="shared" si="12"/>
        <v>0</v>
      </c>
      <c r="AG31" s="222"/>
    </row>
    <row r="32" spans="1:33" ht="15.75" x14ac:dyDescent="0.25">
      <c r="A32" s="247">
        <v>24</v>
      </c>
      <c r="B32" s="248" t="s">
        <v>239</v>
      </c>
      <c r="C32" s="166" t="str">
        <f>[10]Sheet1!A45</f>
        <v>2023-IT-28</v>
      </c>
      <c r="D32" s="166" t="str">
        <f>[10]Sheet1!B45</f>
        <v>Ahmad Latif</v>
      </c>
      <c r="E32" s="168">
        <f>[10]Sheet1!D45</f>
        <v>9</v>
      </c>
      <c r="F32" s="168"/>
      <c r="G32" s="229">
        <f t="shared" si="0"/>
        <v>9</v>
      </c>
      <c r="H32" s="249">
        <v>7</v>
      </c>
      <c r="I32" s="249">
        <v>10</v>
      </c>
      <c r="J32" s="249"/>
      <c r="K32" s="249"/>
      <c r="L32" s="229">
        <f>[10]Sheet1!E45</f>
        <v>17</v>
      </c>
      <c r="M32" s="168">
        <f>[10]Sheet1!F45</f>
        <v>8</v>
      </c>
      <c r="N32" s="249"/>
      <c r="O32" s="229"/>
      <c r="P32" s="250">
        <v>10</v>
      </c>
      <c r="Q32" s="249">
        <v>12</v>
      </c>
      <c r="R32" s="249"/>
      <c r="S32" s="242"/>
      <c r="T32" s="229">
        <f>[10]Sheet1!G45</f>
        <v>22</v>
      </c>
      <c r="U32" s="243">
        <f>[10]Sheet1!H45</f>
        <v>8</v>
      </c>
      <c r="V32" s="241"/>
      <c r="W32" s="229">
        <f t="shared" si="7"/>
        <v>8</v>
      </c>
      <c r="X32" s="229">
        <f t="shared" si="3"/>
        <v>56</v>
      </c>
      <c r="Y32" s="244">
        <f t="shared" si="4"/>
        <v>0</v>
      </c>
      <c r="Z32" s="244">
        <f t="shared" si="5"/>
        <v>36</v>
      </c>
      <c r="AA32" s="244">
        <f t="shared" si="6"/>
        <v>28</v>
      </c>
      <c r="AB32" s="244">
        <f t="shared" si="8"/>
        <v>0</v>
      </c>
      <c r="AC32" s="244" t="str">
        <f t="shared" si="9"/>
        <v>Y</v>
      </c>
      <c r="AD32" s="244" t="str">
        <f t="shared" si="10"/>
        <v>Y</v>
      </c>
      <c r="AE32" s="304">
        <f t="shared" si="11"/>
        <v>60</v>
      </c>
      <c r="AF32" s="220">
        <f t="shared" si="12"/>
        <v>70</v>
      </c>
      <c r="AG32" s="222"/>
    </row>
    <row r="33" spans="1:33" ht="15.75" x14ac:dyDescent="0.25">
      <c r="A33" s="245">
        <v>25</v>
      </c>
      <c r="B33" s="246" t="s">
        <v>240</v>
      </c>
      <c r="C33" s="166" t="str">
        <f>[10]Sheet1!A46</f>
        <v>2023-IT-32</v>
      </c>
      <c r="D33" s="166" t="str">
        <f>[10]Sheet1!B46</f>
        <v>Muhammad Faisal</v>
      </c>
      <c r="E33" s="168">
        <f>[10]Sheet1!D46</f>
        <v>8</v>
      </c>
      <c r="F33" s="168"/>
      <c r="G33" s="229">
        <f t="shared" si="0"/>
        <v>8</v>
      </c>
      <c r="H33" s="249">
        <v>8</v>
      </c>
      <c r="I33" s="249">
        <v>11</v>
      </c>
      <c r="J33" s="249"/>
      <c r="K33" s="249"/>
      <c r="L33" s="229">
        <f>[10]Sheet1!E46</f>
        <v>19</v>
      </c>
      <c r="M33" s="168">
        <f>[10]Sheet1!F46</f>
        <v>8</v>
      </c>
      <c r="N33" s="249"/>
      <c r="O33" s="229"/>
      <c r="P33" s="250">
        <v>14</v>
      </c>
      <c r="Q33" s="249">
        <v>14</v>
      </c>
      <c r="R33" s="249"/>
      <c r="S33" s="242"/>
      <c r="T33" s="229">
        <f>[10]Sheet1!G46</f>
        <v>28</v>
      </c>
      <c r="U33" s="243">
        <f>[10]Sheet1!H46</f>
        <v>8</v>
      </c>
      <c r="V33" s="241"/>
      <c r="W33" s="229">
        <f t="shared" si="7"/>
        <v>8</v>
      </c>
      <c r="X33" s="229">
        <f t="shared" si="3"/>
        <v>63</v>
      </c>
      <c r="Y33" s="244">
        <f t="shared" si="4"/>
        <v>0</v>
      </c>
      <c r="Z33" s="244">
        <f t="shared" si="5"/>
        <v>41</v>
      </c>
      <c r="AA33" s="244">
        <f t="shared" si="6"/>
        <v>30</v>
      </c>
      <c r="AB33" s="244">
        <f t="shared" si="8"/>
        <v>0</v>
      </c>
      <c r="AC33" s="244" t="str">
        <f t="shared" si="9"/>
        <v>Y</v>
      </c>
      <c r="AD33" s="244" t="str">
        <f t="shared" si="10"/>
        <v>Y</v>
      </c>
      <c r="AE33" s="304">
        <f t="shared" si="11"/>
        <v>68.333333333333329</v>
      </c>
      <c r="AF33" s="220">
        <f t="shared" si="12"/>
        <v>75</v>
      </c>
      <c r="AG33" s="222"/>
    </row>
    <row r="34" spans="1:33" ht="15.75" x14ac:dyDescent="0.25">
      <c r="A34" s="247">
        <v>27</v>
      </c>
      <c r="B34" s="248" t="s">
        <v>241</v>
      </c>
      <c r="C34" s="166" t="str">
        <f>[10]Sheet1!A47</f>
        <v>2023-IT-34</v>
      </c>
      <c r="D34" s="166" t="str">
        <f>[10]Sheet1!B47</f>
        <v>Jamshaid Abbas</v>
      </c>
      <c r="E34" s="168">
        <f>[10]Sheet1!D47</f>
        <v>7</v>
      </c>
      <c r="F34" s="168"/>
      <c r="G34" s="229">
        <f t="shared" si="0"/>
        <v>7</v>
      </c>
      <c r="H34" s="249">
        <v>4</v>
      </c>
      <c r="I34" s="249">
        <v>10</v>
      </c>
      <c r="J34" s="249"/>
      <c r="K34" s="249"/>
      <c r="L34" s="229">
        <f>[10]Sheet1!E47</f>
        <v>14</v>
      </c>
      <c r="M34" s="168">
        <f>[10]Sheet1!F47</f>
        <v>8</v>
      </c>
      <c r="N34" s="249"/>
      <c r="O34" s="229"/>
      <c r="P34" s="250">
        <v>9</v>
      </c>
      <c r="Q34" s="249">
        <v>11</v>
      </c>
      <c r="R34" s="249"/>
      <c r="S34" s="242"/>
      <c r="T34" s="229">
        <f>[10]Sheet1!G47</f>
        <v>21</v>
      </c>
      <c r="U34" s="243">
        <f>[10]Sheet1!H47</f>
        <v>8</v>
      </c>
      <c r="V34" s="241"/>
      <c r="W34" s="229">
        <f t="shared" si="7"/>
        <v>8</v>
      </c>
      <c r="X34" s="229">
        <f t="shared" si="3"/>
        <v>50</v>
      </c>
      <c r="Y34" s="244">
        <f t="shared" si="4"/>
        <v>0</v>
      </c>
      <c r="Z34" s="244">
        <f t="shared" si="5"/>
        <v>30</v>
      </c>
      <c r="AA34" s="244">
        <f t="shared" si="6"/>
        <v>27</v>
      </c>
      <c r="AB34" s="244">
        <f t="shared" si="8"/>
        <v>0</v>
      </c>
      <c r="AC34" s="244" t="str">
        <f t="shared" si="9"/>
        <v>Y</v>
      </c>
      <c r="AD34" s="244" t="str">
        <f t="shared" si="10"/>
        <v>Y</v>
      </c>
      <c r="AE34" s="304">
        <f t="shared" si="11"/>
        <v>50</v>
      </c>
      <c r="AF34" s="220">
        <f t="shared" si="12"/>
        <v>67.5</v>
      </c>
      <c r="AG34" s="222"/>
    </row>
    <row r="35" spans="1:33" ht="15.75" x14ac:dyDescent="0.25">
      <c r="A35" s="245">
        <v>28</v>
      </c>
      <c r="B35" s="246" t="s">
        <v>242</v>
      </c>
      <c r="C35" s="166" t="str">
        <f>[10]Sheet1!A48</f>
        <v>2023-IT-38</v>
      </c>
      <c r="D35" s="166" t="str">
        <f>[10]Sheet1!B48</f>
        <v>Sherzaman Bukhari</v>
      </c>
      <c r="E35" s="168">
        <f>[10]Sheet1!D48</f>
        <v>8</v>
      </c>
      <c r="F35" s="168"/>
      <c r="G35" s="229">
        <f t="shared" si="0"/>
        <v>8</v>
      </c>
      <c r="H35" s="249">
        <v>6</v>
      </c>
      <c r="I35" s="249">
        <v>9</v>
      </c>
      <c r="J35" s="249"/>
      <c r="K35" s="249"/>
      <c r="L35" s="229">
        <f>[10]Sheet1!E48</f>
        <v>15</v>
      </c>
      <c r="M35" s="168">
        <f>[10]Sheet1!F48</f>
        <v>8</v>
      </c>
      <c r="N35" s="249"/>
      <c r="O35" s="229"/>
      <c r="P35" s="250">
        <v>11</v>
      </c>
      <c r="Q35" s="249">
        <v>14</v>
      </c>
      <c r="R35" s="249"/>
      <c r="S35" s="242"/>
      <c r="T35" s="229">
        <f>[10]Sheet1!G48</f>
        <v>25</v>
      </c>
      <c r="U35" s="243">
        <f>[10]Sheet1!H48</f>
        <v>8</v>
      </c>
      <c r="V35" s="241"/>
      <c r="W35" s="229">
        <f t="shared" si="7"/>
        <v>8</v>
      </c>
      <c r="X35" s="229">
        <f t="shared" si="3"/>
        <v>56</v>
      </c>
      <c r="Y35" s="244">
        <f t="shared" si="4"/>
        <v>0</v>
      </c>
      <c r="Z35" s="244">
        <f t="shared" si="5"/>
        <v>34</v>
      </c>
      <c r="AA35" s="244">
        <f t="shared" si="6"/>
        <v>30</v>
      </c>
      <c r="AB35" s="244">
        <f t="shared" si="8"/>
        <v>0</v>
      </c>
      <c r="AC35" s="244" t="str">
        <f t="shared" si="9"/>
        <v>Y</v>
      </c>
      <c r="AD35" s="244" t="str">
        <f t="shared" si="10"/>
        <v>Y</v>
      </c>
      <c r="AE35" s="304">
        <f t="shared" si="11"/>
        <v>56.666666666666664</v>
      </c>
      <c r="AF35" s="220">
        <f t="shared" si="12"/>
        <v>75</v>
      </c>
      <c r="AG35" s="222"/>
    </row>
    <row r="36" spans="1:33" ht="15.75" x14ac:dyDescent="0.25">
      <c r="A36" s="245"/>
      <c r="B36" s="246"/>
      <c r="C36" s="166" t="str">
        <f>[10]Sheet1!A49</f>
        <v>2023-IT-40</v>
      </c>
      <c r="D36" s="166" t="str">
        <f>[10]Sheet1!B49</f>
        <v>Ahmad Raza Shareef</v>
      </c>
      <c r="E36" s="168">
        <f>[10]Sheet1!D49</f>
        <v>8</v>
      </c>
      <c r="F36" s="168"/>
      <c r="G36" s="229">
        <f t="shared" si="0"/>
        <v>8</v>
      </c>
      <c r="H36" s="249">
        <v>6</v>
      </c>
      <c r="I36" s="249">
        <v>14</v>
      </c>
      <c r="J36" s="249"/>
      <c r="K36" s="249"/>
      <c r="L36" s="229">
        <f>[10]Sheet1!E49</f>
        <v>20</v>
      </c>
      <c r="M36" s="168">
        <f>[10]Sheet1!F49</f>
        <v>7</v>
      </c>
      <c r="N36" s="249"/>
      <c r="O36" s="229"/>
      <c r="P36" s="250">
        <v>10</v>
      </c>
      <c r="Q36" s="249">
        <v>12</v>
      </c>
      <c r="R36" s="249"/>
      <c r="S36" s="242"/>
      <c r="T36" s="229">
        <f>[10]Sheet1!G49</f>
        <v>22</v>
      </c>
      <c r="U36" s="243">
        <f>[10]Sheet1!H49</f>
        <v>9</v>
      </c>
      <c r="V36" s="241"/>
      <c r="W36" s="229">
        <f t="shared" si="7"/>
        <v>9</v>
      </c>
      <c r="X36" s="229">
        <f t="shared" si="3"/>
        <v>59</v>
      </c>
      <c r="Y36" s="244">
        <f t="shared" si="4"/>
        <v>0</v>
      </c>
      <c r="Z36" s="244">
        <f t="shared" si="5"/>
        <v>38</v>
      </c>
      <c r="AA36" s="244">
        <f t="shared" si="6"/>
        <v>28</v>
      </c>
      <c r="AB36" s="244">
        <f t="shared" si="8"/>
        <v>0</v>
      </c>
      <c r="AC36" s="244" t="str">
        <f t="shared" si="9"/>
        <v>Y</v>
      </c>
      <c r="AD36" s="244" t="str">
        <f t="shared" si="10"/>
        <v>Y</v>
      </c>
      <c r="AE36" s="304">
        <f t="shared" si="11"/>
        <v>63.333333333333329</v>
      </c>
      <c r="AF36" s="220">
        <f t="shared" si="12"/>
        <v>70</v>
      </c>
      <c r="AG36" s="222"/>
    </row>
    <row r="37" spans="1:33" ht="15.75" x14ac:dyDescent="0.25">
      <c r="A37" s="245"/>
      <c r="B37" s="246"/>
      <c r="C37" s="166" t="str">
        <f>[10]Sheet1!A50</f>
        <v>2023-IT-41</v>
      </c>
      <c r="D37" s="166" t="str">
        <f>[10]Sheet1!B50</f>
        <v>Anas Noor</v>
      </c>
      <c r="E37" s="168">
        <f>[10]Sheet1!D50</f>
        <v>0</v>
      </c>
      <c r="F37" s="168"/>
      <c r="G37" s="229">
        <f t="shared" si="0"/>
        <v>0</v>
      </c>
      <c r="H37" s="249">
        <v>0</v>
      </c>
      <c r="I37" s="249">
        <v>0</v>
      </c>
      <c r="J37" s="249"/>
      <c r="K37" s="249"/>
      <c r="L37" s="229">
        <f>[10]Sheet1!E50</f>
        <v>0</v>
      </c>
      <c r="M37" s="168">
        <f>[10]Sheet1!F50</f>
        <v>0</v>
      </c>
      <c r="N37" s="249"/>
      <c r="O37" s="229"/>
      <c r="P37" s="250">
        <v>0</v>
      </c>
      <c r="Q37" s="249">
        <v>0</v>
      </c>
      <c r="R37" s="249"/>
      <c r="S37" s="242"/>
      <c r="T37" s="229">
        <f>[10]Sheet1!G50</f>
        <v>0</v>
      </c>
      <c r="U37" s="243">
        <f>[10]Sheet1!H50</f>
        <v>0</v>
      </c>
      <c r="V37" s="241"/>
      <c r="W37" s="229">
        <f t="shared" si="7"/>
        <v>0</v>
      </c>
      <c r="X37" s="229">
        <f t="shared" si="3"/>
        <v>0</v>
      </c>
      <c r="Y37" s="244">
        <f t="shared" si="4"/>
        <v>0</v>
      </c>
      <c r="Z37" s="244">
        <f t="shared" si="5"/>
        <v>0</v>
      </c>
      <c r="AA37" s="244">
        <f t="shared" si="6"/>
        <v>0</v>
      </c>
      <c r="AB37" s="244">
        <f t="shared" si="8"/>
        <v>0</v>
      </c>
      <c r="AC37" s="244" t="str">
        <f t="shared" si="9"/>
        <v>N</v>
      </c>
      <c r="AD37" s="244" t="str">
        <f t="shared" si="10"/>
        <v>N</v>
      </c>
      <c r="AE37" s="304">
        <f t="shared" si="11"/>
        <v>0</v>
      </c>
      <c r="AF37" s="220">
        <f t="shared" si="12"/>
        <v>0</v>
      </c>
      <c r="AG37" s="222"/>
    </row>
    <row r="38" spans="1:33" ht="15.75" x14ac:dyDescent="0.25">
      <c r="A38" s="247"/>
      <c r="B38" s="248"/>
      <c r="C38" s="166" t="str">
        <f>[10]Sheet1!A51</f>
        <v>2023-IT-42</v>
      </c>
      <c r="D38" s="166" t="str">
        <f>[10]Sheet1!B51</f>
        <v>Muhammad Moosa Bhatti</v>
      </c>
      <c r="E38" s="168">
        <f>[10]Sheet1!D51</f>
        <v>7</v>
      </c>
      <c r="F38" s="168"/>
      <c r="G38" s="229">
        <f t="shared" si="0"/>
        <v>7</v>
      </c>
      <c r="H38" s="249">
        <v>4</v>
      </c>
      <c r="I38" s="249">
        <v>8</v>
      </c>
      <c r="J38" s="249"/>
      <c r="K38" s="249"/>
      <c r="L38" s="229">
        <f>[10]Sheet1!E51</f>
        <v>12</v>
      </c>
      <c r="M38" s="168">
        <f>[10]Sheet1!F51</f>
        <v>6</v>
      </c>
      <c r="N38" s="249"/>
      <c r="O38" s="229"/>
      <c r="P38" s="250">
        <v>10</v>
      </c>
      <c r="Q38" s="249">
        <v>14</v>
      </c>
      <c r="R38" s="249"/>
      <c r="S38" s="242"/>
      <c r="T38" s="229">
        <f>[10]Sheet1!G51</f>
        <v>24</v>
      </c>
      <c r="U38" s="243">
        <f>[10]Sheet1!H51</f>
        <v>7</v>
      </c>
      <c r="V38" s="241"/>
      <c r="W38" s="229">
        <f t="shared" si="7"/>
        <v>7</v>
      </c>
      <c r="X38" s="229">
        <f t="shared" si="3"/>
        <v>50</v>
      </c>
      <c r="Y38" s="244">
        <f t="shared" si="4"/>
        <v>0</v>
      </c>
      <c r="Z38" s="244">
        <f t="shared" si="5"/>
        <v>29</v>
      </c>
      <c r="AA38" s="244">
        <f t="shared" si="6"/>
        <v>27</v>
      </c>
      <c r="AB38" s="244">
        <f t="shared" si="8"/>
        <v>0</v>
      </c>
      <c r="AC38" s="244" t="str">
        <f t="shared" si="9"/>
        <v>N</v>
      </c>
      <c r="AD38" s="244" t="str">
        <f t="shared" si="10"/>
        <v>Y</v>
      </c>
      <c r="AE38" s="304">
        <f t="shared" si="11"/>
        <v>48.333333333333336</v>
      </c>
      <c r="AF38" s="220">
        <f t="shared" si="12"/>
        <v>67.5</v>
      </c>
      <c r="AG38" s="222"/>
    </row>
    <row r="39" spans="1:33" ht="15.75" x14ac:dyDescent="0.25">
      <c r="A39" s="245"/>
      <c r="B39" s="246"/>
      <c r="C39" s="166" t="str">
        <f>[10]Sheet1!A52</f>
        <v>2023-IT-44</v>
      </c>
      <c r="D39" s="166" t="str">
        <f>[10]Sheet1!B52</f>
        <v>Muhammad Nouman Aslam</v>
      </c>
      <c r="E39" s="168">
        <f>[10]Sheet1!D52</f>
        <v>9</v>
      </c>
      <c r="F39" s="168"/>
      <c r="G39" s="229">
        <f t="shared" si="0"/>
        <v>9</v>
      </c>
      <c r="H39" s="249">
        <v>7</v>
      </c>
      <c r="I39" s="249">
        <v>10</v>
      </c>
      <c r="J39" s="249"/>
      <c r="K39" s="249"/>
      <c r="L39" s="229">
        <f>[10]Sheet1!E52</f>
        <v>17</v>
      </c>
      <c r="M39" s="168">
        <f>[10]Sheet1!F52</f>
        <v>8</v>
      </c>
      <c r="N39" s="249"/>
      <c r="O39" s="229"/>
      <c r="P39" s="250">
        <v>12</v>
      </c>
      <c r="Q39" s="249">
        <v>14</v>
      </c>
      <c r="R39" s="249"/>
      <c r="S39" s="242"/>
      <c r="T39" s="229">
        <f>[10]Sheet1!G52</f>
        <v>26</v>
      </c>
      <c r="U39" s="243">
        <f>[10]Sheet1!H52</f>
        <v>9</v>
      </c>
      <c r="V39" s="241"/>
      <c r="W39" s="229">
        <f t="shared" si="7"/>
        <v>9</v>
      </c>
      <c r="X39" s="229">
        <f t="shared" si="3"/>
        <v>61</v>
      </c>
      <c r="Y39" s="244">
        <f t="shared" si="4"/>
        <v>0</v>
      </c>
      <c r="Z39" s="244">
        <f t="shared" si="5"/>
        <v>38</v>
      </c>
      <c r="AA39" s="244">
        <f t="shared" si="6"/>
        <v>31</v>
      </c>
      <c r="AB39" s="244">
        <f t="shared" si="8"/>
        <v>0</v>
      </c>
      <c r="AC39" s="244" t="str">
        <f t="shared" si="9"/>
        <v>Y</v>
      </c>
      <c r="AD39" s="244" t="str">
        <f t="shared" si="10"/>
        <v>Y</v>
      </c>
      <c r="AE39" s="304">
        <f t="shared" si="11"/>
        <v>63.333333333333329</v>
      </c>
      <c r="AF39" s="220">
        <f t="shared" si="12"/>
        <v>77.5</v>
      </c>
      <c r="AG39" s="222"/>
    </row>
    <row r="40" spans="1:33" ht="15.75" x14ac:dyDescent="0.25">
      <c r="A40" s="245"/>
      <c r="B40" s="246"/>
      <c r="C40" s="166" t="str">
        <f>[10]Sheet1!A53</f>
        <v>2023-IT-46</v>
      </c>
      <c r="D40" s="166" t="str">
        <f>[10]Sheet1!B53</f>
        <v>Muhammad Haseeb Anjum</v>
      </c>
      <c r="E40" s="168">
        <f>[10]Sheet1!D53</f>
        <v>8</v>
      </c>
      <c r="F40" s="168"/>
      <c r="G40" s="229">
        <f t="shared" si="0"/>
        <v>8</v>
      </c>
      <c r="H40" s="249">
        <v>6</v>
      </c>
      <c r="I40" s="249">
        <v>11</v>
      </c>
      <c r="J40" s="249"/>
      <c r="K40" s="249"/>
      <c r="L40" s="229">
        <f>[10]Sheet1!E53</f>
        <v>17</v>
      </c>
      <c r="M40" s="168">
        <f>[10]Sheet1!F53</f>
        <v>9</v>
      </c>
      <c r="N40" s="249"/>
      <c r="O40" s="229"/>
      <c r="P40" s="250">
        <v>10</v>
      </c>
      <c r="Q40" s="249">
        <v>14</v>
      </c>
      <c r="R40" s="249"/>
      <c r="S40" s="242"/>
      <c r="T40" s="229">
        <f>[10]Sheet1!G53</f>
        <v>24</v>
      </c>
      <c r="U40" s="243">
        <f>[10]Sheet1!H53</f>
        <v>9</v>
      </c>
      <c r="V40" s="241"/>
      <c r="W40" s="229">
        <f t="shared" si="7"/>
        <v>9</v>
      </c>
      <c r="X40" s="229">
        <f t="shared" si="3"/>
        <v>58</v>
      </c>
      <c r="Y40" s="244">
        <f t="shared" si="4"/>
        <v>0</v>
      </c>
      <c r="Z40" s="244">
        <f t="shared" si="5"/>
        <v>35</v>
      </c>
      <c r="AA40" s="244">
        <f t="shared" si="6"/>
        <v>32</v>
      </c>
      <c r="AB40" s="244">
        <f t="shared" si="8"/>
        <v>0</v>
      </c>
      <c r="AC40" s="244" t="str">
        <f t="shared" si="9"/>
        <v>Y</v>
      </c>
      <c r="AD40" s="244" t="str">
        <f t="shared" si="10"/>
        <v>Y</v>
      </c>
      <c r="AE40" s="304">
        <f t="shared" si="11"/>
        <v>58.333333333333336</v>
      </c>
      <c r="AF40" s="220">
        <f t="shared" si="12"/>
        <v>80</v>
      </c>
      <c r="AG40" s="222"/>
    </row>
    <row r="41" spans="1:33" ht="15.75" x14ac:dyDescent="0.25">
      <c r="A41" s="245"/>
      <c r="B41" s="246"/>
      <c r="C41" s="166" t="str">
        <f>[10]Sheet1!A54</f>
        <v>2023-IT-48</v>
      </c>
      <c r="D41" s="166" t="str">
        <f>[10]Sheet1!B54</f>
        <v>Muhammad Arslan Waheed</v>
      </c>
      <c r="E41" s="168">
        <f>[10]Sheet1!D54</f>
        <v>8</v>
      </c>
      <c r="F41" s="168"/>
      <c r="G41" s="229">
        <f t="shared" si="0"/>
        <v>8</v>
      </c>
      <c r="H41" s="249">
        <v>5</v>
      </c>
      <c r="I41" s="249">
        <v>12</v>
      </c>
      <c r="J41" s="249"/>
      <c r="K41" s="249"/>
      <c r="L41" s="229">
        <f>[10]Sheet1!E54</f>
        <v>17</v>
      </c>
      <c r="M41" s="168">
        <f>[10]Sheet1!F54</f>
        <v>8</v>
      </c>
      <c r="N41" s="249"/>
      <c r="O41" s="229"/>
      <c r="P41" s="250">
        <v>10</v>
      </c>
      <c r="Q41" s="249">
        <v>11</v>
      </c>
      <c r="R41" s="249"/>
      <c r="S41" s="242"/>
      <c r="T41" s="229">
        <f>[10]Sheet1!G54</f>
        <v>21</v>
      </c>
      <c r="U41" s="243">
        <f>[10]Sheet1!H54</f>
        <v>7</v>
      </c>
      <c r="V41" s="241"/>
      <c r="W41" s="229">
        <f t="shared" si="7"/>
        <v>7</v>
      </c>
      <c r="X41" s="229">
        <f t="shared" si="3"/>
        <v>53</v>
      </c>
      <c r="Y41" s="244">
        <f t="shared" si="4"/>
        <v>0</v>
      </c>
      <c r="Z41" s="244">
        <f t="shared" si="5"/>
        <v>35</v>
      </c>
      <c r="AA41" s="244">
        <f t="shared" si="6"/>
        <v>26</v>
      </c>
      <c r="AB41" s="244">
        <f t="shared" si="8"/>
        <v>0</v>
      </c>
      <c r="AC41" s="244" t="str">
        <f t="shared" si="9"/>
        <v>Y</v>
      </c>
      <c r="AD41" s="244" t="str">
        <f t="shared" si="10"/>
        <v>Y</v>
      </c>
      <c r="AE41" s="304">
        <f t="shared" si="11"/>
        <v>58.333333333333336</v>
      </c>
      <c r="AF41" s="220">
        <f t="shared" si="12"/>
        <v>65</v>
      </c>
      <c r="AG41" s="222"/>
    </row>
    <row r="42" spans="1:33" ht="15.75" x14ac:dyDescent="0.25">
      <c r="A42" s="245"/>
      <c r="B42" s="246"/>
      <c r="C42" s="166" t="str">
        <f>[10]Sheet1!A55</f>
        <v>2023-IT-50</v>
      </c>
      <c r="D42" s="166" t="str">
        <f>[10]Sheet1!B55</f>
        <v>Hafiz Muhammad Hasnain Saif</v>
      </c>
      <c r="E42" s="168">
        <f>[10]Sheet1!D55</f>
        <v>8</v>
      </c>
      <c r="F42" s="168"/>
      <c r="G42" s="229">
        <f t="shared" si="0"/>
        <v>8</v>
      </c>
      <c r="H42" s="249">
        <v>6</v>
      </c>
      <c r="I42" s="249">
        <v>9</v>
      </c>
      <c r="J42" s="249"/>
      <c r="K42" s="249"/>
      <c r="L42" s="229">
        <f>[10]Sheet1!E55</f>
        <v>15</v>
      </c>
      <c r="M42" s="168">
        <f>[10]Sheet1!F55</f>
        <v>7</v>
      </c>
      <c r="N42" s="249"/>
      <c r="O42" s="229"/>
      <c r="P42" s="250">
        <v>10</v>
      </c>
      <c r="Q42" s="249">
        <v>11</v>
      </c>
      <c r="R42" s="249"/>
      <c r="S42" s="242"/>
      <c r="T42" s="229">
        <f>[10]Sheet1!G55</f>
        <v>21</v>
      </c>
      <c r="U42" s="243">
        <f>[10]Sheet1!H55</f>
        <v>8</v>
      </c>
      <c r="V42" s="241"/>
      <c r="W42" s="229">
        <f t="shared" si="7"/>
        <v>8</v>
      </c>
      <c r="X42" s="229">
        <f t="shared" si="3"/>
        <v>52</v>
      </c>
      <c r="Y42" s="244">
        <f t="shared" si="4"/>
        <v>0</v>
      </c>
      <c r="Z42" s="244">
        <f t="shared" si="5"/>
        <v>33</v>
      </c>
      <c r="AA42" s="244">
        <f t="shared" si="6"/>
        <v>26</v>
      </c>
      <c r="AB42" s="244">
        <f t="shared" si="8"/>
        <v>0</v>
      </c>
      <c r="AC42" s="244" t="str">
        <f t="shared" si="9"/>
        <v>Y</v>
      </c>
      <c r="AD42" s="244" t="str">
        <f t="shared" si="10"/>
        <v>Y</v>
      </c>
      <c r="AE42" s="304">
        <f t="shared" si="11"/>
        <v>55.000000000000007</v>
      </c>
      <c r="AF42" s="220">
        <f t="shared" si="12"/>
        <v>65</v>
      </c>
      <c r="AG42" s="222"/>
    </row>
    <row r="43" spans="1:33" ht="15.75" x14ac:dyDescent="0.25">
      <c r="A43" s="245"/>
      <c r="B43" s="246"/>
      <c r="C43" s="166" t="str">
        <f>[10]Sheet1!A56</f>
        <v>2023-IT-54</v>
      </c>
      <c r="D43" s="166" t="str">
        <f>[10]Sheet1!B56</f>
        <v>Muhammad Zeeshan</v>
      </c>
      <c r="E43" s="168">
        <f>[10]Sheet1!D56</f>
        <v>9</v>
      </c>
      <c r="F43" s="168"/>
      <c r="G43" s="229">
        <f t="shared" si="0"/>
        <v>9</v>
      </c>
      <c r="H43" s="249">
        <v>4</v>
      </c>
      <c r="I43" s="249">
        <v>7</v>
      </c>
      <c r="J43" s="249"/>
      <c r="K43" s="249"/>
      <c r="L43" s="229">
        <f>[10]Sheet1!E56</f>
        <v>11</v>
      </c>
      <c r="M43" s="168">
        <f>[10]Sheet1!F56</f>
        <v>7</v>
      </c>
      <c r="N43" s="249"/>
      <c r="O43" s="229"/>
      <c r="P43" s="250">
        <v>9</v>
      </c>
      <c r="Q43" s="249">
        <v>12</v>
      </c>
      <c r="R43" s="249"/>
      <c r="S43" s="242"/>
      <c r="T43" s="229">
        <f>[10]Sheet1!G56</f>
        <v>21</v>
      </c>
      <c r="U43" s="243">
        <f>[10]Sheet1!H56</f>
        <v>7</v>
      </c>
      <c r="V43" s="241"/>
      <c r="W43" s="229">
        <f t="shared" si="7"/>
        <v>7</v>
      </c>
      <c r="X43" s="229">
        <f t="shared" si="3"/>
        <v>48</v>
      </c>
      <c r="Y43" s="244">
        <f t="shared" si="4"/>
        <v>0</v>
      </c>
      <c r="Z43" s="244">
        <f t="shared" si="5"/>
        <v>29</v>
      </c>
      <c r="AA43" s="244">
        <f t="shared" si="6"/>
        <v>26</v>
      </c>
      <c r="AB43" s="244">
        <f t="shared" si="8"/>
        <v>0</v>
      </c>
      <c r="AC43" s="244" t="str">
        <f t="shared" si="9"/>
        <v>N</v>
      </c>
      <c r="AD43" s="244" t="str">
        <f t="shared" si="10"/>
        <v>Y</v>
      </c>
      <c r="AE43" s="304">
        <f t="shared" si="11"/>
        <v>48.333333333333336</v>
      </c>
      <c r="AF43" s="220">
        <f t="shared" si="12"/>
        <v>65</v>
      </c>
      <c r="AG43" s="222"/>
    </row>
    <row r="44" spans="1:33" ht="15.75" x14ac:dyDescent="0.25">
      <c r="A44" s="245"/>
      <c r="B44" s="246"/>
      <c r="C44" s="166" t="str">
        <f>[10]Sheet1!A57</f>
        <v>2023-IT-56</v>
      </c>
      <c r="D44" s="166" t="str">
        <f>[10]Sheet1!B57</f>
        <v>Muhammad Adeel</v>
      </c>
      <c r="E44" s="168">
        <f>[10]Sheet1!D57</f>
        <v>7</v>
      </c>
      <c r="F44" s="168"/>
      <c r="G44" s="229">
        <f t="shared" si="0"/>
        <v>7</v>
      </c>
      <c r="H44" s="249">
        <v>7</v>
      </c>
      <c r="I44" s="249">
        <v>9</v>
      </c>
      <c r="J44" s="249"/>
      <c r="K44" s="249"/>
      <c r="L44" s="229">
        <f>[10]Sheet1!E57</f>
        <v>16</v>
      </c>
      <c r="M44" s="168">
        <f>[10]Sheet1!F57</f>
        <v>9</v>
      </c>
      <c r="N44" s="249"/>
      <c r="O44" s="229"/>
      <c r="P44" s="250">
        <v>8</v>
      </c>
      <c r="Q44" s="249">
        <v>12</v>
      </c>
      <c r="R44" s="249"/>
      <c r="S44" s="242"/>
      <c r="T44" s="229">
        <f>[10]Sheet1!G57</f>
        <v>20</v>
      </c>
      <c r="U44" s="243">
        <f>[10]Sheet1!H57</f>
        <v>7</v>
      </c>
      <c r="V44" s="241"/>
      <c r="W44" s="229">
        <f t="shared" si="7"/>
        <v>7</v>
      </c>
      <c r="X44" s="229">
        <f t="shared" si="3"/>
        <v>50</v>
      </c>
      <c r="Y44" s="244">
        <f t="shared" si="4"/>
        <v>0</v>
      </c>
      <c r="Z44" s="244">
        <f t="shared" si="5"/>
        <v>31</v>
      </c>
      <c r="AA44" s="244">
        <f t="shared" si="6"/>
        <v>28</v>
      </c>
      <c r="AB44" s="244">
        <f t="shared" si="8"/>
        <v>0</v>
      </c>
      <c r="AC44" s="244" t="str">
        <f t="shared" si="9"/>
        <v>Y</v>
      </c>
      <c r="AD44" s="244" t="str">
        <f t="shared" si="10"/>
        <v>Y</v>
      </c>
      <c r="AE44" s="304">
        <f t="shared" si="11"/>
        <v>51.666666666666671</v>
      </c>
      <c r="AF44" s="220">
        <f t="shared" si="12"/>
        <v>70</v>
      </c>
      <c r="AG44" s="222"/>
    </row>
    <row r="45" spans="1:33" ht="15.75" x14ac:dyDescent="0.25">
      <c r="A45" s="245"/>
      <c r="B45" s="246"/>
      <c r="C45" s="166" t="str">
        <f>[10]Sheet1!A58</f>
        <v>2023-IT-60</v>
      </c>
      <c r="D45" s="166" t="str">
        <f>[10]Sheet1!B58</f>
        <v>Mughees Ahmad</v>
      </c>
      <c r="E45" s="168">
        <f>[10]Sheet1!D58</f>
        <v>8</v>
      </c>
      <c r="F45" s="168"/>
      <c r="G45" s="229">
        <f t="shared" si="0"/>
        <v>8</v>
      </c>
      <c r="H45" s="249">
        <v>6</v>
      </c>
      <c r="I45" s="249">
        <v>12</v>
      </c>
      <c r="J45" s="249"/>
      <c r="K45" s="249"/>
      <c r="L45" s="229">
        <f>[10]Sheet1!E58</f>
        <v>18</v>
      </c>
      <c r="M45" s="168">
        <f>[10]Sheet1!F58</f>
        <v>7</v>
      </c>
      <c r="N45" s="249"/>
      <c r="O45" s="229"/>
      <c r="P45" s="250">
        <v>12</v>
      </c>
      <c r="Q45" s="249">
        <v>8</v>
      </c>
      <c r="R45" s="249"/>
      <c r="S45" s="242"/>
      <c r="T45" s="229">
        <f>[10]Sheet1!G58</f>
        <v>20</v>
      </c>
      <c r="U45" s="243">
        <f>[10]Sheet1!H58</f>
        <v>8</v>
      </c>
      <c r="V45" s="241"/>
      <c r="W45" s="229">
        <f t="shared" si="7"/>
        <v>8</v>
      </c>
      <c r="X45" s="229">
        <f t="shared" si="3"/>
        <v>54</v>
      </c>
      <c r="Y45" s="244">
        <f t="shared" si="4"/>
        <v>0</v>
      </c>
      <c r="Z45" s="244">
        <f t="shared" si="5"/>
        <v>38</v>
      </c>
      <c r="AA45" s="244">
        <f t="shared" si="6"/>
        <v>23</v>
      </c>
      <c r="AB45" s="244">
        <f t="shared" si="8"/>
        <v>0</v>
      </c>
      <c r="AC45" s="244" t="str">
        <f t="shared" si="9"/>
        <v>Y</v>
      </c>
      <c r="AD45" s="244" t="str">
        <f t="shared" si="10"/>
        <v>Y</v>
      </c>
      <c r="AE45" s="304">
        <f t="shared" si="11"/>
        <v>63.333333333333329</v>
      </c>
      <c r="AF45" s="220">
        <f t="shared" si="12"/>
        <v>57.499999999999993</v>
      </c>
      <c r="AG45" s="222"/>
    </row>
    <row r="46" spans="1:33" ht="15.75" x14ac:dyDescent="0.25">
      <c r="A46" s="245"/>
      <c r="B46" s="246"/>
      <c r="C46" s="166" t="str">
        <f>[10]Sheet1!A59</f>
        <v>2023-IT-62</v>
      </c>
      <c r="D46" s="166" t="str">
        <f>[10]Sheet1!B59</f>
        <v>Muhammad Azeem</v>
      </c>
      <c r="E46" s="168">
        <f>[10]Sheet1!D59</f>
        <v>7</v>
      </c>
      <c r="F46" s="168"/>
      <c r="G46" s="229">
        <f t="shared" si="0"/>
        <v>7</v>
      </c>
      <c r="H46" s="249">
        <v>8</v>
      </c>
      <c r="I46" s="249">
        <v>12</v>
      </c>
      <c r="J46" s="249"/>
      <c r="K46" s="249"/>
      <c r="L46" s="229">
        <f>[10]Sheet1!E59</f>
        <v>20</v>
      </c>
      <c r="M46" s="168">
        <f>[10]Sheet1!F59</f>
        <v>8</v>
      </c>
      <c r="N46" s="249"/>
      <c r="O46" s="229"/>
      <c r="P46" s="250">
        <v>11</v>
      </c>
      <c r="Q46" s="249">
        <v>11</v>
      </c>
      <c r="R46" s="249"/>
      <c r="S46" s="242"/>
      <c r="T46" s="229">
        <f>[10]Sheet1!G59</f>
        <v>22</v>
      </c>
      <c r="U46" s="243">
        <f>[10]Sheet1!H59</f>
        <v>8</v>
      </c>
      <c r="V46" s="241"/>
      <c r="W46" s="229">
        <f t="shared" si="7"/>
        <v>8</v>
      </c>
      <c r="X46" s="229">
        <f t="shared" si="3"/>
        <v>57</v>
      </c>
      <c r="Y46" s="244">
        <f t="shared" si="4"/>
        <v>0</v>
      </c>
      <c r="Z46" s="244">
        <f t="shared" si="5"/>
        <v>38</v>
      </c>
      <c r="AA46" s="244">
        <f t="shared" si="6"/>
        <v>27</v>
      </c>
      <c r="AB46" s="244">
        <f t="shared" si="8"/>
        <v>0</v>
      </c>
      <c r="AC46" s="244" t="str">
        <f t="shared" si="9"/>
        <v>Y</v>
      </c>
      <c r="AD46" s="244" t="str">
        <f t="shared" si="10"/>
        <v>Y</v>
      </c>
      <c r="AE46" s="304">
        <f t="shared" si="11"/>
        <v>63.333333333333329</v>
      </c>
      <c r="AF46" s="220">
        <f t="shared" si="12"/>
        <v>67.5</v>
      </c>
      <c r="AG46" s="222"/>
    </row>
    <row r="47" spans="1:33" ht="15.75" x14ac:dyDescent="0.25">
      <c r="A47" s="245"/>
      <c r="B47" s="246"/>
      <c r="C47" s="166" t="str">
        <f>[10]Sheet1!A60</f>
        <v>2023-IT-64</v>
      </c>
      <c r="D47" s="166" t="str">
        <f>[10]Sheet1!B60</f>
        <v>Abdul Ahad</v>
      </c>
      <c r="E47" s="168">
        <f>[10]Sheet1!D60</f>
        <v>0</v>
      </c>
      <c r="F47" s="168"/>
      <c r="G47" s="229">
        <f t="shared" si="0"/>
        <v>0</v>
      </c>
      <c r="H47" s="249">
        <v>0</v>
      </c>
      <c r="I47" s="249">
        <v>0</v>
      </c>
      <c r="J47" s="249"/>
      <c r="K47" s="249"/>
      <c r="L47" s="229">
        <f>[10]Sheet1!E60</f>
        <v>0</v>
      </c>
      <c r="M47" s="168">
        <f>[10]Sheet1!F60</f>
        <v>0</v>
      </c>
      <c r="N47" s="249"/>
      <c r="O47" s="229"/>
      <c r="P47" s="250">
        <v>0</v>
      </c>
      <c r="Q47" s="249">
        <v>0</v>
      </c>
      <c r="R47" s="249"/>
      <c r="S47" s="242"/>
      <c r="T47" s="229">
        <f>[10]Sheet1!G60</f>
        <v>0</v>
      </c>
      <c r="U47" s="243">
        <f>[10]Sheet1!H60</f>
        <v>0</v>
      </c>
      <c r="V47" s="241"/>
      <c r="W47" s="229">
        <f t="shared" si="7"/>
        <v>0</v>
      </c>
      <c r="X47" s="229">
        <f t="shared" si="3"/>
        <v>0</v>
      </c>
      <c r="Y47" s="244">
        <f t="shared" si="4"/>
        <v>0</v>
      </c>
      <c r="Z47" s="244">
        <f t="shared" si="5"/>
        <v>0</v>
      </c>
      <c r="AA47" s="244">
        <f t="shared" si="6"/>
        <v>0</v>
      </c>
      <c r="AB47" s="244">
        <f t="shared" si="8"/>
        <v>0</v>
      </c>
      <c r="AC47" s="244" t="str">
        <f t="shared" si="9"/>
        <v>N</v>
      </c>
      <c r="AD47" s="244" t="str">
        <f t="shared" si="10"/>
        <v>N</v>
      </c>
      <c r="AE47" s="304">
        <f t="shared" si="11"/>
        <v>0</v>
      </c>
      <c r="AF47" s="220">
        <f t="shared" si="12"/>
        <v>0</v>
      </c>
      <c r="AG47" s="222"/>
    </row>
    <row r="48" spans="1:33" ht="15.75" x14ac:dyDescent="0.25">
      <c r="A48" s="245"/>
      <c r="B48" s="246"/>
      <c r="C48" s="166" t="str">
        <f>[10]Sheet1!A61</f>
        <v>2023-IT-66</v>
      </c>
      <c r="D48" s="166" t="str">
        <f>[10]Sheet1!B61</f>
        <v>Muhammad Haris Javed</v>
      </c>
      <c r="E48" s="168">
        <f>[10]Sheet1!D61</f>
        <v>8</v>
      </c>
      <c r="F48" s="168"/>
      <c r="G48" s="229">
        <f t="shared" si="0"/>
        <v>8</v>
      </c>
      <c r="H48" s="249">
        <v>5</v>
      </c>
      <c r="I48" s="249">
        <v>10</v>
      </c>
      <c r="J48" s="249"/>
      <c r="K48" s="249"/>
      <c r="L48" s="229">
        <f>[10]Sheet1!E61</f>
        <v>15</v>
      </c>
      <c r="M48" s="168">
        <f>[10]Sheet1!F61</f>
        <v>9</v>
      </c>
      <c r="N48" s="249"/>
      <c r="O48" s="229"/>
      <c r="P48" s="250">
        <v>14</v>
      </c>
      <c r="Q48" s="249">
        <v>10</v>
      </c>
      <c r="R48" s="249"/>
      <c r="S48" s="242"/>
      <c r="T48" s="229">
        <f>[10]Sheet1!G61</f>
        <v>24</v>
      </c>
      <c r="U48" s="243">
        <f>[10]Sheet1!H61</f>
        <v>9</v>
      </c>
      <c r="V48" s="241"/>
      <c r="W48" s="229">
        <f t="shared" si="7"/>
        <v>9</v>
      </c>
      <c r="X48" s="229">
        <f t="shared" si="3"/>
        <v>56</v>
      </c>
      <c r="Y48" s="244">
        <f t="shared" si="4"/>
        <v>0</v>
      </c>
      <c r="Z48" s="244">
        <f t="shared" si="5"/>
        <v>37</v>
      </c>
      <c r="AA48" s="244">
        <f t="shared" si="6"/>
        <v>28</v>
      </c>
      <c r="AB48" s="244">
        <f t="shared" si="8"/>
        <v>0</v>
      </c>
      <c r="AC48" s="244" t="str">
        <f t="shared" si="9"/>
        <v>Y</v>
      </c>
      <c r="AD48" s="244" t="str">
        <f t="shared" si="10"/>
        <v>Y</v>
      </c>
      <c r="AE48" s="304">
        <f t="shared" si="11"/>
        <v>61.666666666666671</v>
      </c>
      <c r="AF48" s="220">
        <f t="shared" si="12"/>
        <v>70</v>
      </c>
      <c r="AG48" s="222"/>
    </row>
    <row r="49" spans="1:33" ht="15.75" x14ac:dyDescent="0.25">
      <c r="A49" s="245"/>
      <c r="B49" s="246"/>
      <c r="C49" s="166" t="str">
        <f>[10]Sheet1!A62</f>
        <v>2023-IT-68</v>
      </c>
      <c r="D49" s="166" t="str">
        <f>[10]Sheet1!B62</f>
        <v>Muhammad Mubashir</v>
      </c>
      <c r="E49" s="168">
        <f>[10]Sheet1!D62</f>
        <v>8</v>
      </c>
      <c r="F49" s="168"/>
      <c r="G49" s="229">
        <f t="shared" si="0"/>
        <v>8</v>
      </c>
      <c r="H49" s="249">
        <v>8</v>
      </c>
      <c r="I49" s="249">
        <v>14</v>
      </c>
      <c r="J49" s="249"/>
      <c r="K49" s="249"/>
      <c r="L49" s="229">
        <f>[10]Sheet1!E62</f>
        <v>22</v>
      </c>
      <c r="M49" s="168">
        <f>[10]Sheet1!F62</f>
        <v>7</v>
      </c>
      <c r="N49" s="249"/>
      <c r="O49" s="229"/>
      <c r="P49" s="250">
        <v>8</v>
      </c>
      <c r="Q49" s="249">
        <v>10</v>
      </c>
      <c r="R49" s="249"/>
      <c r="S49" s="242"/>
      <c r="T49" s="229">
        <f>[10]Sheet1!G62</f>
        <v>18</v>
      </c>
      <c r="U49" s="243">
        <f>[10]Sheet1!H62</f>
        <v>8</v>
      </c>
      <c r="V49" s="241"/>
      <c r="W49" s="229">
        <f t="shared" si="7"/>
        <v>8</v>
      </c>
      <c r="X49" s="229">
        <f t="shared" si="3"/>
        <v>56</v>
      </c>
      <c r="Y49" s="244">
        <f t="shared" si="4"/>
        <v>0</v>
      </c>
      <c r="Z49" s="244">
        <f t="shared" si="5"/>
        <v>38</v>
      </c>
      <c r="AA49" s="244">
        <f t="shared" si="6"/>
        <v>25</v>
      </c>
      <c r="AB49" s="244">
        <f t="shared" si="8"/>
        <v>0</v>
      </c>
      <c r="AC49" s="244" t="str">
        <f t="shared" si="9"/>
        <v>Y</v>
      </c>
      <c r="AD49" s="244" t="str">
        <f t="shared" si="10"/>
        <v>Y</v>
      </c>
      <c r="AE49" s="304">
        <f t="shared" si="11"/>
        <v>63.333333333333329</v>
      </c>
      <c r="AF49" s="220">
        <f t="shared" si="12"/>
        <v>62.5</v>
      </c>
      <c r="AG49" s="222"/>
    </row>
    <row r="50" spans="1:33" ht="15.75" x14ac:dyDescent="0.25">
      <c r="A50" s="245"/>
      <c r="B50" s="246"/>
      <c r="C50" s="166" t="str">
        <f>[10]Sheet1!A63</f>
        <v>2023-IT-70</v>
      </c>
      <c r="D50" s="166" t="str">
        <f>[10]Sheet1!B63</f>
        <v>Muhammad Usama</v>
      </c>
      <c r="E50" s="168">
        <f>[10]Sheet1!D63</f>
        <v>0</v>
      </c>
      <c r="F50" s="168"/>
      <c r="G50" s="229">
        <f t="shared" ref="G50:G56" si="13">SUM(C50:F50)</f>
        <v>0</v>
      </c>
      <c r="H50" s="249">
        <v>0</v>
      </c>
      <c r="I50" s="249">
        <v>0</v>
      </c>
      <c r="J50" s="249"/>
      <c r="K50" s="249"/>
      <c r="L50" s="229">
        <f>[10]Sheet1!E63</f>
        <v>0</v>
      </c>
      <c r="M50" s="168">
        <f>[10]Sheet1!F63</f>
        <v>0</v>
      </c>
      <c r="N50" s="249"/>
      <c r="O50" s="229"/>
      <c r="P50" s="250">
        <v>0</v>
      </c>
      <c r="Q50" s="249">
        <v>0</v>
      </c>
      <c r="R50" s="249"/>
      <c r="S50" s="242"/>
      <c r="T50" s="229">
        <f>[10]Sheet1!G63</f>
        <v>0</v>
      </c>
      <c r="U50" s="243">
        <f>[10]Sheet1!H63</f>
        <v>0</v>
      </c>
      <c r="V50" s="241"/>
      <c r="W50" s="229">
        <f t="shared" ref="W50:W56" si="14">SUM(U50:V50)</f>
        <v>0</v>
      </c>
      <c r="X50" s="229">
        <f t="shared" ref="X50:X56" si="15">SUM(G50+L50+O50+T50+W50)</f>
        <v>0</v>
      </c>
      <c r="Y50" s="244">
        <f t="shared" si="4"/>
        <v>0</v>
      </c>
      <c r="Z50" s="244">
        <f t="shared" si="5"/>
        <v>0</v>
      </c>
      <c r="AA50" s="244">
        <f t="shared" si="6"/>
        <v>0</v>
      </c>
      <c r="AB50" s="244">
        <f t="shared" si="8"/>
        <v>0</v>
      </c>
      <c r="AC50" s="244" t="str">
        <f t="shared" si="9"/>
        <v>N</v>
      </c>
      <c r="AD50" s="244" t="str">
        <f t="shared" si="10"/>
        <v>N</v>
      </c>
      <c r="AE50" s="304">
        <f t="shared" ref="AE50:AE56" si="16">Z50/60*100</f>
        <v>0</v>
      </c>
      <c r="AF50" s="220">
        <f t="shared" ref="AF50:AF56" si="17">AA50/40*100</f>
        <v>0</v>
      </c>
      <c r="AG50" s="222"/>
    </row>
    <row r="51" spans="1:33" ht="15.75" x14ac:dyDescent="0.25">
      <c r="A51" s="245"/>
      <c r="B51" s="246"/>
      <c r="C51" s="166" t="str">
        <f>[10]Sheet1!A64</f>
        <v>2023-IT-72</v>
      </c>
      <c r="D51" s="166" t="str">
        <f>[10]Sheet1!B64</f>
        <v>Muhammad Zohaib Akhtar</v>
      </c>
      <c r="E51" s="168">
        <f>[10]Sheet1!D64</f>
        <v>8</v>
      </c>
      <c r="F51" s="168"/>
      <c r="G51" s="229">
        <f t="shared" si="13"/>
        <v>8</v>
      </c>
      <c r="H51" s="249">
        <v>8</v>
      </c>
      <c r="I51" s="249">
        <v>8</v>
      </c>
      <c r="J51" s="249"/>
      <c r="K51" s="249"/>
      <c r="L51" s="229">
        <f>[10]Sheet1!E64</f>
        <v>16</v>
      </c>
      <c r="M51" s="168">
        <f>[10]Sheet1!F64</f>
        <v>9</v>
      </c>
      <c r="N51" s="249"/>
      <c r="O51" s="229"/>
      <c r="P51" s="250">
        <v>13</v>
      </c>
      <c r="Q51" s="249">
        <v>10</v>
      </c>
      <c r="R51" s="249"/>
      <c r="S51" s="242"/>
      <c r="T51" s="229">
        <f>[10]Sheet1!G64</f>
        <v>23</v>
      </c>
      <c r="U51" s="243">
        <f>[10]Sheet1!H64</f>
        <v>9</v>
      </c>
      <c r="V51" s="241"/>
      <c r="W51" s="229">
        <f t="shared" si="14"/>
        <v>9</v>
      </c>
      <c r="X51" s="229">
        <f t="shared" si="15"/>
        <v>56</v>
      </c>
      <c r="Y51" s="244">
        <f t="shared" si="4"/>
        <v>0</v>
      </c>
      <c r="Z51" s="244">
        <f t="shared" si="5"/>
        <v>37</v>
      </c>
      <c r="AA51" s="244">
        <f t="shared" si="6"/>
        <v>28</v>
      </c>
      <c r="AB51" s="244">
        <f t="shared" si="8"/>
        <v>0</v>
      </c>
      <c r="AC51" s="244" t="str">
        <f t="shared" si="9"/>
        <v>Y</v>
      </c>
      <c r="AD51" s="244" t="str">
        <f t="shared" si="10"/>
        <v>Y</v>
      </c>
      <c r="AE51" s="304">
        <f t="shared" si="16"/>
        <v>61.666666666666671</v>
      </c>
      <c r="AF51" s="220">
        <f t="shared" si="17"/>
        <v>70</v>
      </c>
      <c r="AG51" s="222"/>
    </row>
    <row r="52" spans="1:33" ht="15.75" x14ac:dyDescent="0.25">
      <c r="A52" s="245"/>
      <c r="B52" s="246"/>
      <c r="C52" s="166" t="str">
        <f>[10]Sheet1!A65</f>
        <v>2023-IT-74</v>
      </c>
      <c r="D52" s="166" t="str">
        <f>[10]Sheet1!B65</f>
        <v>Ashir Mudassir</v>
      </c>
      <c r="E52" s="168">
        <f>[10]Sheet1!D65</f>
        <v>8</v>
      </c>
      <c r="F52" s="168"/>
      <c r="G52" s="229">
        <f t="shared" si="13"/>
        <v>8</v>
      </c>
      <c r="H52" s="249">
        <v>1</v>
      </c>
      <c r="I52" s="249">
        <v>8</v>
      </c>
      <c r="J52" s="249"/>
      <c r="K52" s="249"/>
      <c r="L52" s="229">
        <f>[10]Sheet1!E65</f>
        <v>9</v>
      </c>
      <c r="M52" s="168">
        <f>[10]Sheet1!F65</f>
        <v>7</v>
      </c>
      <c r="N52" s="249"/>
      <c r="O52" s="229"/>
      <c r="P52" s="250">
        <v>10</v>
      </c>
      <c r="Q52" s="249">
        <v>12</v>
      </c>
      <c r="R52" s="249"/>
      <c r="S52" s="242"/>
      <c r="T52" s="229">
        <f>[10]Sheet1!G65</f>
        <v>22</v>
      </c>
      <c r="U52" s="243">
        <f>[10]Sheet1!H65</f>
        <v>7</v>
      </c>
      <c r="V52" s="241"/>
      <c r="W52" s="229">
        <f t="shared" si="14"/>
        <v>7</v>
      </c>
      <c r="X52" s="229">
        <f t="shared" si="15"/>
        <v>46</v>
      </c>
      <c r="Y52" s="244">
        <f t="shared" si="4"/>
        <v>0</v>
      </c>
      <c r="Z52" s="244">
        <f t="shared" si="5"/>
        <v>27</v>
      </c>
      <c r="AA52" s="244">
        <f t="shared" si="6"/>
        <v>26</v>
      </c>
      <c r="AB52" s="244">
        <f t="shared" si="8"/>
        <v>0</v>
      </c>
      <c r="AC52" s="244" t="str">
        <f t="shared" si="9"/>
        <v>N</v>
      </c>
      <c r="AD52" s="244" t="str">
        <f t="shared" si="10"/>
        <v>Y</v>
      </c>
      <c r="AE52" s="304">
        <f t="shared" si="16"/>
        <v>45</v>
      </c>
      <c r="AF52" s="220">
        <f t="shared" si="17"/>
        <v>65</v>
      </c>
      <c r="AG52" s="222"/>
    </row>
    <row r="53" spans="1:33" ht="15.75" x14ac:dyDescent="0.25">
      <c r="A53" s="245"/>
      <c r="B53" s="246"/>
      <c r="C53" s="166" t="str">
        <f>[10]Sheet1!A66</f>
        <v>2023-IT-76</v>
      </c>
      <c r="D53" s="166" t="str">
        <f>[10]Sheet1!B66</f>
        <v>Rao Usama</v>
      </c>
      <c r="E53" s="168">
        <f>[10]Sheet1!D66</f>
        <v>8</v>
      </c>
      <c r="F53" s="168"/>
      <c r="G53" s="229">
        <f t="shared" si="13"/>
        <v>8</v>
      </c>
      <c r="H53" s="249">
        <v>4</v>
      </c>
      <c r="I53" s="249">
        <v>10</v>
      </c>
      <c r="J53" s="249"/>
      <c r="K53" s="249"/>
      <c r="L53" s="229">
        <f>[10]Sheet1!E66</f>
        <v>14</v>
      </c>
      <c r="M53" s="168">
        <f>[10]Sheet1!F66</f>
        <v>8</v>
      </c>
      <c r="N53" s="249"/>
      <c r="O53" s="229"/>
      <c r="P53" s="250">
        <v>13</v>
      </c>
      <c r="Q53" s="249">
        <v>14</v>
      </c>
      <c r="R53" s="249"/>
      <c r="S53" s="242"/>
      <c r="T53" s="229">
        <f>[10]Sheet1!G66</f>
        <v>27</v>
      </c>
      <c r="U53" s="243">
        <f>[10]Sheet1!H66</f>
        <v>8</v>
      </c>
      <c r="V53" s="241"/>
      <c r="W53" s="229">
        <f t="shared" si="14"/>
        <v>8</v>
      </c>
      <c r="X53" s="229">
        <f t="shared" si="15"/>
        <v>57</v>
      </c>
      <c r="Y53" s="244">
        <f t="shared" si="4"/>
        <v>0</v>
      </c>
      <c r="Z53" s="244">
        <f t="shared" si="5"/>
        <v>35</v>
      </c>
      <c r="AA53" s="244">
        <f t="shared" si="6"/>
        <v>30</v>
      </c>
      <c r="AB53" s="244">
        <f t="shared" si="8"/>
        <v>0</v>
      </c>
      <c r="AC53" s="244" t="str">
        <f t="shared" si="9"/>
        <v>Y</v>
      </c>
      <c r="AD53" s="244" t="str">
        <f t="shared" si="10"/>
        <v>Y</v>
      </c>
      <c r="AE53" s="304">
        <f t="shared" si="16"/>
        <v>58.333333333333336</v>
      </c>
      <c r="AF53" s="220">
        <f t="shared" si="17"/>
        <v>75</v>
      </c>
      <c r="AG53" s="222"/>
    </row>
    <row r="54" spans="1:33" ht="15.75" x14ac:dyDescent="0.25">
      <c r="A54" s="245"/>
      <c r="B54" s="246"/>
      <c r="C54" s="166" t="str">
        <f>[10]Sheet1!A67</f>
        <v>2023-IT-78</v>
      </c>
      <c r="D54" s="166" t="str">
        <f>[10]Sheet1!B67</f>
        <v>Muhammad Zaman</v>
      </c>
      <c r="E54" s="168">
        <f>[10]Sheet1!D67</f>
        <v>7</v>
      </c>
      <c r="F54" s="168"/>
      <c r="G54" s="229">
        <f t="shared" si="13"/>
        <v>7</v>
      </c>
      <c r="H54" s="249">
        <v>3</v>
      </c>
      <c r="I54" s="249">
        <v>6</v>
      </c>
      <c r="J54" s="249"/>
      <c r="K54" s="249"/>
      <c r="L54" s="229">
        <f>[10]Sheet1!E67</f>
        <v>9</v>
      </c>
      <c r="M54" s="168">
        <f>[10]Sheet1!F67</f>
        <v>8</v>
      </c>
      <c r="N54" s="249"/>
      <c r="O54" s="229"/>
      <c r="P54" s="250">
        <v>13</v>
      </c>
      <c r="Q54" s="249">
        <v>14</v>
      </c>
      <c r="R54" s="249"/>
      <c r="S54" s="242"/>
      <c r="T54" s="229">
        <f>[10]Sheet1!G67</f>
        <v>27</v>
      </c>
      <c r="U54" s="243">
        <f>[10]Sheet1!H67</f>
        <v>8</v>
      </c>
      <c r="V54" s="241"/>
      <c r="W54" s="229">
        <f t="shared" si="14"/>
        <v>8</v>
      </c>
      <c r="X54" s="229">
        <f t="shared" si="15"/>
        <v>51</v>
      </c>
      <c r="Y54" s="244">
        <f t="shared" si="4"/>
        <v>0</v>
      </c>
      <c r="Z54" s="244">
        <f t="shared" si="5"/>
        <v>29</v>
      </c>
      <c r="AA54" s="244">
        <f t="shared" si="6"/>
        <v>30</v>
      </c>
      <c r="AB54" s="244">
        <f t="shared" si="8"/>
        <v>0</v>
      </c>
      <c r="AC54" s="244" t="str">
        <f t="shared" si="9"/>
        <v>N</v>
      </c>
      <c r="AD54" s="244" t="str">
        <f t="shared" si="10"/>
        <v>Y</v>
      </c>
      <c r="AE54" s="304">
        <f t="shared" si="16"/>
        <v>48.333333333333336</v>
      </c>
      <c r="AF54" s="220">
        <f t="shared" si="17"/>
        <v>75</v>
      </c>
      <c r="AG54" s="222"/>
    </row>
    <row r="55" spans="1:33" ht="15.75" x14ac:dyDescent="0.25">
      <c r="A55" s="245"/>
      <c r="B55" s="246"/>
      <c r="C55" s="166" t="str">
        <f>[10]Sheet1!A68</f>
        <v>2023-IT-79</v>
      </c>
      <c r="D55" s="166" t="str">
        <f>[10]Sheet1!B68</f>
        <v>Iqra Moeen</v>
      </c>
      <c r="E55" s="168">
        <f>[10]Sheet1!D68</f>
        <v>8</v>
      </c>
      <c r="F55" s="168"/>
      <c r="G55" s="229">
        <f t="shared" si="13"/>
        <v>8</v>
      </c>
      <c r="H55" s="249">
        <v>4</v>
      </c>
      <c r="I55" s="249">
        <v>14</v>
      </c>
      <c r="J55" s="249"/>
      <c r="K55" s="249"/>
      <c r="L55" s="229">
        <f>[10]Sheet1!E68</f>
        <v>18</v>
      </c>
      <c r="M55" s="168">
        <f>[10]Sheet1!F68</f>
        <v>8</v>
      </c>
      <c r="N55" s="249"/>
      <c r="O55" s="229"/>
      <c r="P55" s="250">
        <v>14</v>
      </c>
      <c r="Q55" s="249">
        <v>14</v>
      </c>
      <c r="R55" s="249"/>
      <c r="S55" s="242"/>
      <c r="T55" s="229">
        <f>[10]Sheet1!G68</f>
        <v>28</v>
      </c>
      <c r="U55" s="243">
        <f>[10]Sheet1!H68</f>
        <v>8</v>
      </c>
      <c r="V55" s="241"/>
      <c r="W55" s="229">
        <f t="shared" si="14"/>
        <v>8</v>
      </c>
      <c r="X55" s="229">
        <f t="shared" si="15"/>
        <v>62</v>
      </c>
      <c r="Y55" s="244">
        <f t="shared" si="4"/>
        <v>0</v>
      </c>
      <c r="Z55" s="244">
        <f t="shared" si="5"/>
        <v>40</v>
      </c>
      <c r="AA55" s="244">
        <f t="shared" si="6"/>
        <v>30</v>
      </c>
      <c r="AB55" s="244">
        <f t="shared" si="8"/>
        <v>0</v>
      </c>
      <c r="AC55" s="244" t="str">
        <f t="shared" si="9"/>
        <v>Y</v>
      </c>
      <c r="AD55" s="244" t="str">
        <f t="shared" si="10"/>
        <v>Y</v>
      </c>
      <c r="AE55" s="304">
        <f t="shared" si="16"/>
        <v>66.666666666666657</v>
      </c>
      <c r="AF55" s="220">
        <f t="shared" si="17"/>
        <v>75</v>
      </c>
      <c r="AG55" s="222"/>
    </row>
    <row r="56" spans="1:33" ht="15.75" x14ac:dyDescent="0.25">
      <c r="A56" s="245"/>
      <c r="B56" s="246"/>
      <c r="C56" s="166" t="str">
        <f>[10]Sheet1!A69</f>
        <v>2023-IT-80</v>
      </c>
      <c r="D56" s="166" t="str">
        <f>[10]Sheet1!B69</f>
        <v>Ali Raza</v>
      </c>
      <c r="E56" s="168">
        <f>[10]Sheet1!D69</f>
        <v>8</v>
      </c>
      <c r="F56" s="168"/>
      <c r="G56" s="229">
        <f t="shared" si="13"/>
        <v>8</v>
      </c>
      <c r="H56" s="249">
        <v>5</v>
      </c>
      <c r="I56" s="249">
        <v>8</v>
      </c>
      <c r="J56" s="249"/>
      <c r="K56" s="249"/>
      <c r="L56" s="229">
        <f>[10]Sheet1!E69</f>
        <v>13</v>
      </c>
      <c r="M56" s="168">
        <f>[10]Sheet1!F69</f>
        <v>9</v>
      </c>
      <c r="N56" s="249"/>
      <c r="O56" s="229"/>
      <c r="P56" s="250">
        <v>10</v>
      </c>
      <c r="Q56" s="249">
        <v>15</v>
      </c>
      <c r="R56" s="249"/>
      <c r="S56" s="242"/>
      <c r="T56" s="229">
        <f>[10]Sheet1!G69</f>
        <v>25</v>
      </c>
      <c r="U56" s="243">
        <f>[10]Sheet1!H69</f>
        <v>9</v>
      </c>
      <c r="V56" s="241"/>
      <c r="W56" s="229">
        <f t="shared" si="14"/>
        <v>9</v>
      </c>
      <c r="X56" s="229">
        <f t="shared" si="15"/>
        <v>55</v>
      </c>
      <c r="Y56" s="244">
        <f t="shared" si="4"/>
        <v>0</v>
      </c>
      <c r="Z56" s="244">
        <f t="shared" si="5"/>
        <v>31</v>
      </c>
      <c r="AA56" s="244">
        <f t="shared" si="6"/>
        <v>33</v>
      </c>
      <c r="AB56" s="244">
        <f t="shared" si="8"/>
        <v>0</v>
      </c>
      <c r="AC56" s="244" t="str">
        <f t="shared" si="9"/>
        <v>Y</v>
      </c>
      <c r="AD56" s="244" t="str">
        <f t="shared" si="10"/>
        <v>Y</v>
      </c>
      <c r="AE56" s="304">
        <f t="shared" si="16"/>
        <v>51.666666666666671</v>
      </c>
      <c r="AF56" s="220">
        <f t="shared" si="17"/>
        <v>82.5</v>
      </c>
      <c r="AG56" s="222"/>
    </row>
    <row r="57" spans="1:33" ht="15.75" x14ac:dyDescent="0.25">
      <c r="A57" s="245"/>
      <c r="B57" s="246"/>
      <c r="C57" s="166"/>
      <c r="D57" s="166"/>
      <c r="E57" s="168"/>
      <c r="F57" s="168"/>
      <c r="G57" s="229"/>
      <c r="H57" s="249"/>
      <c r="I57" s="249"/>
      <c r="J57" s="249"/>
      <c r="K57" s="249"/>
      <c r="L57" s="229"/>
      <c r="M57" s="249"/>
      <c r="N57" s="249"/>
      <c r="O57" s="229"/>
      <c r="P57" s="250"/>
      <c r="Q57" s="249"/>
      <c r="R57" s="249"/>
      <c r="S57" s="242"/>
      <c r="T57" s="229"/>
      <c r="U57" s="168"/>
      <c r="V57" s="241"/>
      <c r="W57" s="229"/>
      <c r="X57" s="229"/>
      <c r="Y57" s="244"/>
      <c r="Z57" s="244"/>
      <c r="AA57" s="244"/>
      <c r="AB57" s="244"/>
      <c r="AC57" s="244"/>
      <c r="AD57" s="244"/>
      <c r="AE57" s="222"/>
      <c r="AF57" s="222"/>
      <c r="AG57" s="222"/>
    </row>
    <row r="58" spans="1:33" ht="15.75" x14ac:dyDescent="0.25">
      <c r="A58" s="251"/>
      <c r="B58" s="252"/>
      <c r="C58" s="253"/>
      <c r="D58" s="254"/>
      <c r="E58" s="254"/>
      <c r="F58" s="255"/>
      <c r="G58" s="255"/>
      <c r="H58" s="253"/>
      <c r="I58" s="253"/>
      <c r="J58" s="253"/>
      <c r="K58" s="253"/>
      <c r="L58" s="253"/>
      <c r="M58" s="253"/>
      <c r="N58" s="253"/>
      <c r="O58" s="253"/>
      <c r="P58" s="256"/>
      <c r="Q58" s="253"/>
      <c r="R58" s="253"/>
      <c r="S58" s="257"/>
      <c r="T58" s="257"/>
      <c r="U58" s="257"/>
      <c r="V58" s="257"/>
      <c r="W58" s="257"/>
      <c r="X58" s="258"/>
      <c r="Y58" s="258"/>
      <c r="Z58" s="258"/>
      <c r="AA58" s="258"/>
      <c r="AB58" s="259"/>
      <c r="AC58" s="259"/>
      <c r="AD58" s="259"/>
      <c r="AE58" s="222"/>
      <c r="AF58" s="222"/>
      <c r="AG58" s="222"/>
    </row>
    <row r="59" spans="1:33" ht="15.75" x14ac:dyDescent="0.25">
      <c r="A59" s="251"/>
      <c r="B59" s="252"/>
      <c r="C59" s="529" t="s">
        <v>243</v>
      </c>
      <c r="D59" s="530"/>
      <c r="E59" s="531"/>
      <c r="F59" s="260" t="str">
        <f>Y11</f>
        <v>PLO1</v>
      </c>
      <c r="G59" s="261">
        <f>COUNTIF($AB$13:$AB$57,"Y")</f>
        <v>0</v>
      </c>
      <c r="H59" s="261">
        <f>COUNTIF($AB$13:$AB$57,"N")</f>
        <v>0</v>
      </c>
      <c r="J59" s="253"/>
      <c r="K59" s="253"/>
      <c r="L59" s="253"/>
      <c r="M59" s="253"/>
      <c r="N59" s="253"/>
      <c r="O59" s="253"/>
      <c r="P59" s="256"/>
      <c r="Q59" s="253"/>
      <c r="R59" s="253"/>
      <c r="S59" s="257"/>
      <c r="T59" s="257"/>
      <c r="U59" s="257"/>
      <c r="V59" s="257"/>
      <c r="W59" s="257"/>
      <c r="X59" s="258"/>
      <c r="Y59" s="258"/>
      <c r="Z59" s="258"/>
      <c r="AA59" s="258"/>
      <c r="AB59" s="259"/>
      <c r="AC59" s="259"/>
      <c r="AD59" s="259"/>
      <c r="AE59" s="222"/>
      <c r="AF59" s="222"/>
      <c r="AG59" s="222"/>
    </row>
    <row r="60" spans="1:33" x14ac:dyDescent="0.25">
      <c r="A60" s="251"/>
      <c r="B60" s="252"/>
      <c r="C60" s="532"/>
      <c r="D60" s="533"/>
      <c r="E60" s="534"/>
      <c r="F60" s="260" t="str">
        <f>Z11</f>
        <v>PLO2</v>
      </c>
      <c r="G60" s="261">
        <f>COUNTIF($AC$13:$AC$57,"Y")</f>
        <v>32</v>
      </c>
      <c r="H60" s="261">
        <f>COUNTIF($AC$13:$AC$57,"N")</f>
        <v>12</v>
      </c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</row>
    <row r="61" spans="1:33" x14ac:dyDescent="0.25">
      <c r="A61" s="251"/>
      <c r="B61" s="252"/>
      <c r="C61" s="535"/>
      <c r="D61" s="536"/>
      <c r="E61" s="537"/>
      <c r="F61" s="260" t="str">
        <f>AA11</f>
        <v>PLO4</v>
      </c>
      <c r="G61" s="261">
        <f>COUNTIF($AD$13:$AD$57,"Y")</f>
        <v>38</v>
      </c>
      <c r="H61" s="261">
        <f>COUNTIF($AD$13:$AD$57,"N")</f>
        <v>6</v>
      </c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</row>
    <row r="62" spans="1:33" x14ac:dyDescent="0.25">
      <c r="A62" s="262">
        <v>9</v>
      </c>
      <c r="B62" s="263" t="s">
        <v>244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</row>
    <row r="63" spans="1:33" ht="33.950000000000003" customHeight="1" x14ac:dyDescent="0.25">
      <c r="A63" s="262">
        <v>10</v>
      </c>
      <c r="B63" s="263" t="s">
        <v>245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</row>
    <row r="64" spans="1:33" x14ac:dyDescent="0.25">
      <c r="A64" s="262">
        <v>11</v>
      </c>
      <c r="B64" s="263" t="s">
        <v>246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</row>
    <row r="65" spans="1:33" ht="31.5" customHeight="1" x14ac:dyDescent="0.25">
      <c r="A65" s="262">
        <v>12</v>
      </c>
      <c r="B65" s="263" t="s">
        <v>247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</row>
    <row r="66" spans="1:33" x14ac:dyDescent="0.25">
      <c r="A66" s="262">
        <v>13</v>
      </c>
      <c r="B66" s="263" t="s">
        <v>248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</row>
    <row r="67" spans="1:33" x14ac:dyDescent="0.25">
      <c r="A67" s="262">
        <v>14</v>
      </c>
      <c r="B67" s="263" t="s">
        <v>249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</row>
    <row r="68" spans="1:33" x14ac:dyDescent="0.25">
      <c r="A68" s="262">
        <v>15</v>
      </c>
      <c r="B68" s="263" t="s">
        <v>250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</row>
    <row r="69" spans="1:33" ht="32.1" customHeight="1" x14ac:dyDescent="0.25">
      <c r="A69" s="262">
        <v>16</v>
      </c>
      <c r="B69" s="263" t="s">
        <v>251</v>
      </c>
      <c r="C69" s="222"/>
      <c r="D69" s="264"/>
      <c r="E69" s="264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</row>
    <row r="70" spans="1:33" x14ac:dyDescent="0.25">
      <c r="A70" s="262">
        <v>17</v>
      </c>
      <c r="B70" s="263" t="s">
        <v>252</v>
      </c>
      <c r="C70" s="222"/>
      <c r="D70" s="264"/>
      <c r="E70" s="264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</row>
    <row r="71" spans="1:33" x14ac:dyDescent="0.25">
      <c r="A71" s="262">
        <v>18</v>
      </c>
      <c r="B71" s="263" t="s">
        <v>253</v>
      </c>
      <c r="C71" s="222"/>
      <c r="AE71" s="222"/>
      <c r="AF71" s="222"/>
      <c r="AG71" s="222"/>
    </row>
    <row r="72" spans="1:33" x14ac:dyDescent="0.25">
      <c r="A72" s="262">
        <v>19</v>
      </c>
      <c r="B72" s="263" t="s">
        <v>254</v>
      </c>
      <c r="C72" s="222"/>
      <c r="AE72" s="222"/>
      <c r="AF72" s="222"/>
      <c r="AG72" s="222"/>
    </row>
    <row r="73" spans="1:33" x14ac:dyDescent="0.25">
      <c r="A73" s="262">
        <v>20</v>
      </c>
      <c r="B73" s="263" t="s">
        <v>255</v>
      </c>
      <c r="C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</row>
    <row r="74" spans="1:33" x14ac:dyDescent="0.25">
      <c r="A74" s="262">
        <v>21</v>
      </c>
      <c r="B74" s="263" t="s">
        <v>256</v>
      </c>
      <c r="C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</row>
    <row r="75" spans="1:33" x14ac:dyDescent="0.25">
      <c r="A75" s="262">
        <v>22</v>
      </c>
      <c r="B75" s="263" t="s">
        <v>257</v>
      </c>
      <c r="C75" s="222"/>
      <c r="D75" s="265"/>
      <c r="E75" s="265"/>
      <c r="F75" s="538" t="s">
        <v>30</v>
      </c>
      <c r="G75" s="539"/>
      <c r="H75" s="539"/>
      <c r="I75" s="539"/>
      <c r="J75" s="539"/>
      <c r="K75" s="539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538" t="s">
        <v>31</v>
      </c>
      <c r="W75" s="538"/>
      <c r="X75" s="538"/>
      <c r="Y75" s="538"/>
      <c r="Z75" s="538"/>
      <c r="AA75" s="538"/>
      <c r="AB75" s="538"/>
      <c r="AC75" s="265"/>
      <c r="AD75" s="265"/>
      <c r="AE75" s="222"/>
      <c r="AF75" s="222"/>
      <c r="AG75" s="222"/>
    </row>
    <row r="76" spans="1:33" x14ac:dyDescent="0.25">
      <c r="A76" s="262">
        <v>23</v>
      </c>
      <c r="B76" s="263" t="s">
        <v>258</v>
      </c>
      <c r="C76" s="222"/>
      <c r="D76" s="222"/>
      <c r="E76" s="222"/>
      <c r="F76" s="539" t="str">
        <f>J5</f>
        <v>Name: Engr. M Talha Jahangir</v>
      </c>
      <c r="G76" s="539"/>
      <c r="H76" s="539"/>
      <c r="I76" s="539"/>
      <c r="J76" s="539"/>
      <c r="K76" s="539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539" t="s">
        <v>259</v>
      </c>
      <c r="W76" s="539"/>
      <c r="X76" s="539"/>
      <c r="Y76" s="539"/>
      <c r="Z76" s="539"/>
      <c r="AA76" s="539"/>
      <c r="AB76" s="539"/>
      <c r="AC76" s="222"/>
      <c r="AD76" s="222"/>
      <c r="AE76" s="222"/>
      <c r="AF76" s="222"/>
      <c r="AG76" s="222"/>
    </row>
    <row r="77" spans="1:33" x14ac:dyDescent="0.25">
      <c r="A77" s="262">
        <v>24</v>
      </c>
      <c r="B77" s="263" t="s">
        <v>260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</row>
    <row r="78" spans="1:33" x14ac:dyDescent="0.25">
      <c r="A78" s="262">
        <v>25</v>
      </c>
      <c r="B78" s="263" t="s">
        <v>261</v>
      </c>
      <c r="C78" s="222"/>
      <c r="D78" s="264"/>
      <c r="E78" s="264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</row>
    <row r="79" spans="1:33" ht="15.75" thickBot="1" x14ac:dyDescent="0.3">
      <c r="A79" s="266">
        <v>26</v>
      </c>
      <c r="B79" s="267" t="s">
        <v>262</v>
      </c>
      <c r="C79" s="222"/>
      <c r="D79" s="264"/>
      <c r="E79" s="264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  <row r="89" spans="4:5" x14ac:dyDescent="0.25">
      <c r="D89" s="264"/>
      <c r="E89" s="264"/>
    </row>
    <row r="90" spans="4:5" x14ac:dyDescent="0.25">
      <c r="D90" s="264"/>
      <c r="E90" s="264"/>
    </row>
  </sheetData>
  <protectedRanges>
    <protectedRange sqref="H10:K49 P10:S49 E10:F49 M10:N49 U10:V49 H57:K57 P57:S57 E57:F57 M57:N57 U57:V57" name="questions maping clo plo"/>
    <protectedRange sqref="C3:L6" name="Course Information"/>
    <protectedRange sqref="Y11:AA11" name="plo assesment"/>
    <protectedRange sqref="H50:K56 P50:S56 E50:F56 M50:N56 U50:V56" name="questions maping clo plo_2"/>
  </protectedRanges>
  <mergeCells count="38">
    <mergeCell ref="C59:E61"/>
    <mergeCell ref="F75:K75"/>
    <mergeCell ref="V75:AB75"/>
    <mergeCell ref="F76:K76"/>
    <mergeCell ref="V76:AB76"/>
    <mergeCell ref="AE10:AF10"/>
    <mergeCell ref="AB9:AD9"/>
    <mergeCell ref="C10:D10"/>
    <mergeCell ref="X10:X12"/>
    <mergeCell ref="C11:D11"/>
    <mergeCell ref="G11:G12"/>
    <mergeCell ref="L11:L12"/>
    <mergeCell ref="O11:O12"/>
    <mergeCell ref="T11:T12"/>
    <mergeCell ref="W11:W12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B3A3-A248-4A1D-B5FB-5652A9B7E004}">
  <sheetPr>
    <pageSetUpPr fitToPage="1"/>
  </sheetPr>
  <dimension ref="A1:AG88"/>
  <sheetViews>
    <sheetView topLeftCell="F1" zoomScale="80" zoomScaleNormal="80" workbookViewId="0">
      <selection activeCell="AG9" sqref="AG9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s">
        <v>182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'[7]Expository Writing'!B5</f>
        <v>Title (Code): Expository Writing  (ENG-125)</v>
      </c>
      <c r="E5" s="485"/>
      <c r="F5" s="485"/>
      <c r="G5" s="486"/>
      <c r="H5" s="473" t="s">
        <v>189</v>
      </c>
      <c r="I5" s="474"/>
      <c r="J5" s="489" t="str">
        <f>'[7]Expository Writing'!H5</f>
        <v>Name: M. Amir Khan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263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TRANSPOSE(_xlfn._xlws.FILTER('[7]CLO &amp; PLO'!K1:K10,'Expository Writing 2'!E7='[7]CLO &amp; PLO'!A1))</f>
        <v>50</v>
      </c>
      <c r="F8" s="226">
        <v>20</v>
      </c>
      <c r="G8" s="226">
        <v>30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_xlfn._xlws.FILTER('[7]CLO &amp; PLO'!X1:X10,'[7]CLO &amp; PLO'!N1='Expository Writing 2'!P7))</f>
        <v>50</v>
      </c>
      <c r="Q8" s="227">
        <v>20</v>
      </c>
      <c r="R8" s="227">
        <v>30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5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  <c r="AE10" s="556" t="s">
        <v>271</v>
      </c>
      <c r="AF10" s="556"/>
      <c r="AG10" s="556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193</v>
      </c>
      <c r="F11" s="235"/>
      <c r="G11" s="525" t="s">
        <v>9</v>
      </c>
      <c r="H11" s="236" t="s">
        <v>194</v>
      </c>
      <c r="I11" s="235" t="s">
        <v>193</v>
      </c>
      <c r="J11" s="236"/>
      <c r="K11" s="236"/>
      <c r="L11" s="525" t="s">
        <v>9</v>
      </c>
      <c r="M11" s="235" t="s">
        <v>195</v>
      </c>
      <c r="N11" s="235"/>
      <c r="O11" s="525" t="s">
        <v>9</v>
      </c>
      <c r="P11" s="235" t="s">
        <v>195</v>
      </c>
      <c r="Q11" s="235" t="s">
        <v>193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174</v>
      </c>
      <c r="AB11" s="237" t="str">
        <f>Y11</f>
        <v>PLO1</v>
      </c>
      <c r="AC11" s="237" t="str">
        <f>Z11</f>
        <v>PLO2</v>
      </c>
      <c r="AD11" s="237" t="str">
        <f>AA11</f>
        <v>PLO3</v>
      </c>
      <c r="AE11" s="237" t="s">
        <v>177</v>
      </c>
      <c r="AF11" s="237" t="s">
        <v>173</v>
      </c>
      <c r="AG11" s="237" t="s">
        <v>174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177</v>
      </c>
      <c r="F12" s="235"/>
      <c r="G12" s="527"/>
      <c r="H12" s="235" t="s">
        <v>173</v>
      </c>
      <c r="I12" s="235" t="s">
        <v>177</v>
      </c>
      <c r="J12" s="236"/>
      <c r="K12" s="236"/>
      <c r="L12" s="527"/>
      <c r="M12" s="235" t="s">
        <v>174</v>
      </c>
      <c r="N12" s="235"/>
      <c r="O12" s="527"/>
      <c r="P12" s="235" t="s">
        <v>174</v>
      </c>
      <c r="Q12" s="235" t="s">
        <v>177</v>
      </c>
      <c r="R12" s="235"/>
      <c r="S12" s="235"/>
      <c r="T12" s="527"/>
      <c r="U12" s="237" t="s">
        <v>173</v>
      </c>
      <c r="V12" s="237"/>
      <c r="W12" s="527"/>
      <c r="X12" s="527"/>
      <c r="Y12" s="237" cm="1">
        <f t="array" ref="Y12">IFERROR(_xlfn._xlws.FILTER(_xlfn.ANCHORARRAY(P8),Y11=$P$7:$Y$7),0)</f>
        <v>50</v>
      </c>
      <c r="Z12" s="237" cm="1">
        <f t="array" ref="Z12">IFERROR(_xlfn._xlws.FILTER(_xlfn.ANCHORARRAY(P8),Z11=$P$7:$Y$7),0)</f>
        <v>20</v>
      </c>
      <c r="AA12" s="237" cm="1">
        <f t="array" ref="AA12">IFERROR(_xlfn._xlws.FILTER(_xlfn.ANCHORARRAY(P8),AA11=$P$7:$Y$7),0)</f>
        <v>30</v>
      </c>
      <c r="AB12" s="237" cm="1">
        <f t="array" ref="AB12">IFERROR(_xlfn._xlws.FILTER(_xlfn.ANCHORARRAY(P8),AB11=$P$7:$Y$7),0)</f>
        <v>50</v>
      </c>
      <c r="AC12" s="237" cm="1">
        <f t="array" ref="AC12">IFERROR(_xlfn._xlws.FILTER(_xlfn.ANCHORARRAY(P8),AC11=$P$7:$Y$7),0)</f>
        <v>20</v>
      </c>
      <c r="AD12" s="237" cm="1">
        <f t="array" ref="AD12">IFERROR(_xlfn._xlws.FILTER(_xlfn.ANCHORARRAY(P8),AD11=$P$7:$Y$7),0)</f>
        <v>30</v>
      </c>
      <c r="AE12" s="237">
        <v>50</v>
      </c>
      <c r="AF12" s="237">
        <v>20</v>
      </c>
      <c r="AG12" s="237">
        <v>30</v>
      </c>
    </row>
    <row r="13" spans="1:33" ht="15.75" x14ac:dyDescent="0.25">
      <c r="A13" s="239">
        <v>1</v>
      </c>
      <c r="B13" s="240" t="s">
        <v>220</v>
      </c>
      <c r="C13" s="166" t="str">
        <f>'[7]Expository Writing'!A26</f>
        <v>2023-IT-01</v>
      </c>
      <c r="D13" s="166" t="str">
        <f>'[7]Expository Writing'!B26</f>
        <v>Rahma Noor</v>
      </c>
      <c r="E13" s="168">
        <f>'[7]Expository Writing'!D26</f>
        <v>4</v>
      </c>
      <c r="F13" s="168"/>
      <c r="G13" s="229">
        <f>E13</f>
        <v>4</v>
      </c>
      <c r="H13" s="168">
        <v>8</v>
      </c>
      <c r="I13" s="168">
        <v>10</v>
      </c>
      <c r="J13" s="168"/>
      <c r="K13" s="168"/>
      <c r="L13" s="229">
        <f>'[7]Expository Writing'!E26</f>
        <v>18</v>
      </c>
      <c r="M13" s="168">
        <f>'[7]Expository Writing'!F26</f>
        <v>5</v>
      </c>
      <c r="N13" s="168"/>
      <c r="O13" s="229">
        <f>M13</f>
        <v>5</v>
      </c>
      <c r="P13" s="241">
        <v>10</v>
      </c>
      <c r="Q13" s="168">
        <v>10</v>
      </c>
      <c r="R13" s="168"/>
      <c r="S13" s="242"/>
      <c r="T13" s="229">
        <f>'[7]Expository Writing'!G26</f>
        <v>20</v>
      </c>
      <c r="U13" s="243">
        <f>'[7]Expository Writing'!H26</f>
        <v>5</v>
      </c>
      <c r="V13" s="241"/>
      <c r="W13" s="229">
        <f>U13</f>
        <v>5</v>
      </c>
      <c r="X13" s="229">
        <f t="shared" ref="X13:X56" si="0">SUM(G13+L13+O13+T13+W13)</f>
        <v>52</v>
      </c>
      <c r="Y13" s="244">
        <f t="shared" ref="Y13:Y56" si="1">SUMIF($E$12:$V$12,$Y$11,E13:V13)</f>
        <v>24</v>
      </c>
      <c r="Z13" s="244">
        <f t="shared" ref="Z13:Z56" si="2">SUMIF($E$12:$V$12,$Z$11,E13:V13)</f>
        <v>13</v>
      </c>
      <c r="AA13" s="244">
        <f t="shared" ref="AA13:AA56" si="3">SUMIF($E$12:$V$12,$AA$11,E13:V13)</f>
        <v>15</v>
      </c>
      <c r="AB13" s="244" t="str">
        <f>IFERROR(IF(Y13/$Y$12*100&gt;=50,"Y","N"),0)</f>
        <v>N</v>
      </c>
      <c r="AC13" s="244" t="str">
        <f>IFERROR(IF(Z13/$Z$12*100&gt;=50,"Y","N"),0)</f>
        <v>Y</v>
      </c>
      <c r="AD13" s="244" t="str">
        <f>IFERROR(IF(AA13/$AA$12*100&gt;=50,"Y","N"),0)</f>
        <v>Y</v>
      </c>
      <c r="AE13" s="280">
        <f>Y13/50*100</f>
        <v>48</v>
      </c>
      <c r="AF13" s="280">
        <f>Z13/20*100</f>
        <v>65</v>
      </c>
      <c r="AG13" s="280">
        <f>AA13/30*100</f>
        <v>50</v>
      </c>
    </row>
    <row r="14" spans="1:33" ht="15.75" x14ac:dyDescent="0.25">
      <c r="A14" s="245">
        <v>2</v>
      </c>
      <c r="B14" s="246" t="s">
        <v>221</v>
      </c>
      <c r="C14" s="166" t="str">
        <f>'[7]Expository Writing'!A27</f>
        <v>2023-IT-02</v>
      </c>
      <c r="D14" s="166" t="str">
        <f>'[7]Expository Writing'!B27</f>
        <v>Alishba Manzoor</v>
      </c>
      <c r="E14" s="168">
        <f>'[7]Expository Writing'!D27</f>
        <v>3</v>
      </c>
      <c r="F14" s="168"/>
      <c r="G14" s="229">
        <f t="shared" ref="G14:G56" si="4">E14</f>
        <v>3</v>
      </c>
      <c r="H14" s="168">
        <v>3</v>
      </c>
      <c r="I14" s="168">
        <v>3</v>
      </c>
      <c r="J14" s="168"/>
      <c r="K14" s="168"/>
      <c r="L14" s="229">
        <f>'[7]Expository Writing'!E27</f>
        <v>6</v>
      </c>
      <c r="M14" s="168">
        <f>'[7]Expository Writing'!F27</f>
        <v>2</v>
      </c>
      <c r="N14" s="168"/>
      <c r="O14" s="229">
        <f t="shared" ref="O14:O56" si="5">M14</f>
        <v>2</v>
      </c>
      <c r="P14" s="241">
        <v>8</v>
      </c>
      <c r="Q14" s="168">
        <v>10</v>
      </c>
      <c r="R14" s="168"/>
      <c r="S14" s="242"/>
      <c r="T14" s="229">
        <f>'[7]Expository Writing'!G27</f>
        <v>18</v>
      </c>
      <c r="U14" s="243">
        <f>'[7]Expository Writing'!H27</f>
        <v>5</v>
      </c>
      <c r="V14" s="241"/>
      <c r="W14" s="229">
        <f t="shared" ref="W14:W56" si="6">U14</f>
        <v>5</v>
      </c>
      <c r="X14" s="229">
        <f t="shared" si="0"/>
        <v>34</v>
      </c>
      <c r="Y14" s="244">
        <f t="shared" si="1"/>
        <v>16</v>
      </c>
      <c r="Z14" s="244">
        <f t="shared" si="2"/>
        <v>8</v>
      </c>
      <c r="AA14" s="244">
        <f t="shared" si="3"/>
        <v>10</v>
      </c>
      <c r="AB14" s="244" t="str">
        <f t="shared" ref="AB14:AB56" si="7">IFERROR(IF(Y14/$Y$12*100&gt;=50,"Y","N"),0)</f>
        <v>N</v>
      </c>
      <c r="AC14" s="244" t="str">
        <f t="shared" ref="AC14:AC56" si="8">IFERROR(IF(Z14/$Z$12*100&gt;=50,"Y","N"),0)</f>
        <v>N</v>
      </c>
      <c r="AD14" s="244" t="str">
        <f t="shared" ref="AD14:AD56" si="9">IFERROR(IF(AA14/$AA$12*100&gt;=50,"Y","N"),0)</f>
        <v>N</v>
      </c>
      <c r="AE14" s="280">
        <f t="shared" ref="AE14:AE77" si="10">Y14/50*100</f>
        <v>32</v>
      </c>
      <c r="AF14" s="280">
        <f t="shared" ref="AF14:AF77" si="11">Z14/20*100</f>
        <v>40</v>
      </c>
      <c r="AG14" s="280">
        <f t="shared" ref="AG14:AG77" si="12">AA14/30*100</f>
        <v>33.333333333333329</v>
      </c>
    </row>
    <row r="15" spans="1:33" ht="15.75" x14ac:dyDescent="0.25">
      <c r="A15" s="247">
        <v>3</v>
      </c>
      <c r="B15" s="248" t="s">
        <v>222</v>
      </c>
      <c r="C15" s="166" t="str">
        <f>'[7]Expository Writing'!A28</f>
        <v>2023-IT-03</v>
      </c>
      <c r="D15" s="166" t="str">
        <f>'[7]Expository Writing'!B28</f>
        <v>Maheen Fatima</v>
      </c>
      <c r="E15" s="168">
        <f>'[7]Expository Writing'!D28</f>
        <v>4</v>
      </c>
      <c r="F15" s="168"/>
      <c r="G15" s="229">
        <f t="shared" si="4"/>
        <v>4</v>
      </c>
      <c r="H15" s="168">
        <v>6</v>
      </c>
      <c r="I15" s="168">
        <v>6</v>
      </c>
      <c r="J15" s="168"/>
      <c r="K15" s="168"/>
      <c r="L15" s="229">
        <f>'[7]Expository Writing'!E28</f>
        <v>12</v>
      </c>
      <c r="M15" s="168">
        <f>'[7]Expository Writing'!F28</f>
        <v>3</v>
      </c>
      <c r="N15" s="168"/>
      <c r="O15" s="229">
        <f t="shared" si="5"/>
        <v>3</v>
      </c>
      <c r="P15" s="241">
        <v>10</v>
      </c>
      <c r="Q15" s="168">
        <v>12</v>
      </c>
      <c r="R15" s="168"/>
      <c r="S15" s="242"/>
      <c r="T15" s="229">
        <f>'[7]Expository Writing'!G28</f>
        <v>22</v>
      </c>
      <c r="U15" s="243">
        <f>'[7]Expository Writing'!H28</f>
        <v>5</v>
      </c>
      <c r="V15" s="241"/>
      <c r="W15" s="229">
        <f t="shared" si="6"/>
        <v>5</v>
      </c>
      <c r="X15" s="229">
        <f t="shared" si="0"/>
        <v>46</v>
      </c>
      <c r="Y15" s="244">
        <f t="shared" si="1"/>
        <v>22</v>
      </c>
      <c r="Z15" s="244">
        <f t="shared" si="2"/>
        <v>11</v>
      </c>
      <c r="AA15" s="244">
        <f t="shared" si="3"/>
        <v>13</v>
      </c>
      <c r="AB15" s="244" t="str">
        <f t="shared" si="7"/>
        <v>N</v>
      </c>
      <c r="AC15" s="244" t="str">
        <f t="shared" si="8"/>
        <v>Y</v>
      </c>
      <c r="AD15" s="244" t="str">
        <f t="shared" si="9"/>
        <v>N</v>
      </c>
      <c r="AE15" s="280">
        <f t="shared" si="10"/>
        <v>44</v>
      </c>
      <c r="AF15" s="280">
        <f t="shared" si="11"/>
        <v>55.000000000000007</v>
      </c>
      <c r="AG15" s="280">
        <f t="shared" si="12"/>
        <v>43.333333333333336</v>
      </c>
    </row>
    <row r="16" spans="1:33" ht="15.75" x14ac:dyDescent="0.25">
      <c r="A16" s="245">
        <v>4</v>
      </c>
      <c r="B16" s="246" t="s">
        <v>223</v>
      </c>
      <c r="C16" s="166" t="str">
        <f>'[7]Expository Writing'!A29</f>
        <v>2023-IT-04</v>
      </c>
      <c r="D16" s="166" t="str">
        <f>'[7]Expository Writing'!B29</f>
        <v>Aneela</v>
      </c>
      <c r="E16" s="168">
        <f>'[7]Expository Writing'!D29</f>
        <v>4</v>
      </c>
      <c r="F16" s="168"/>
      <c r="G16" s="229">
        <f t="shared" si="4"/>
        <v>4</v>
      </c>
      <c r="H16" s="168">
        <v>2</v>
      </c>
      <c r="I16" s="168">
        <v>6</v>
      </c>
      <c r="J16" s="168"/>
      <c r="K16" s="168"/>
      <c r="L16" s="229">
        <f>'[7]Expository Writing'!E29</f>
        <v>8</v>
      </c>
      <c r="M16" s="168">
        <f>'[7]Expository Writing'!F29</f>
        <v>4</v>
      </c>
      <c r="N16" s="168"/>
      <c r="O16" s="229">
        <f t="shared" si="5"/>
        <v>4</v>
      </c>
      <c r="P16" s="241">
        <v>10</v>
      </c>
      <c r="Q16" s="168">
        <v>12</v>
      </c>
      <c r="R16" s="168"/>
      <c r="S16" s="242"/>
      <c r="T16" s="229">
        <f>'[7]Expository Writing'!G29</f>
        <v>22</v>
      </c>
      <c r="U16" s="243">
        <f>'[7]Expository Writing'!H29</f>
        <v>5</v>
      </c>
      <c r="V16" s="241"/>
      <c r="W16" s="229">
        <f t="shared" si="6"/>
        <v>5</v>
      </c>
      <c r="X16" s="229">
        <f t="shared" si="0"/>
        <v>43</v>
      </c>
      <c r="Y16" s="244">
        <f t="shared" si="1"/>
        <v>22</v>
      </c>
      <c r="Z16" s="244">
        <f t="shared" si="2"/>
        <v>7</v>
      </c>
      <c r="AA16" s="244">
        <f t="shared" si="3"/>
        <v>14</v>
      </c>
      <c r="AB16" s="244" t="str">
        <f t="shared" si="7"/>
        <v>N</v>
      </c>
      <c r="AC16" s="244" t="str">
        <f t="shared" si="8"/>
        <v>N</v>
      </c>
      <c r="AD16" s="244" t="str">
        <f t="shared" si="9"/>
        <v>N</v>
      </c>
      <c r="AE16" s="280">
        <f t="shared" si="10"/>
        <v>44</v>
      </c>
      <c r="AF16" s="280">
        <f t="shared" si="11"/>
        <v>35</v>
      </c>
      <c r="AG16" s="280">
        <f t="shared" si="12"/>
        <v>46.666666666666664</v>
      </c>
    </row>
    <row r="17" spans="1:33" ht="15.75" x14ac:dyDescent="0.25">
      <c r="A17" s="245">
        <v>5</v>
      </c>
      <c r="B17" s="246" t="s">
        <v>224</v>
      </c>
      <c r="C17" s="166" t="str">
        <f>'[7]Expository Writing'!A30</f>
        <v>2023-IT-05</v>
      </c>
      <c r="D17" s="166" t="str">
        <f>'[7]Expository Writing'!B30</f>
        <v>Alishba Saleem</v>
      </c>
      <c r="E17" s="168">
        <f>'[7]Expository Writing'!D30</f>
        <v>5</v>
      </c>
      <c r="F17" s="168"/>
      <c r="G17" s="229">
        <f t="shared" si="4"/>
        <v>5</v>
      </c>
      <c r="H17" s="249">
        <v>2</v>
      </c>
      <c r="I17" s="249">
        <v>4</v>
      </c>
      <c r="J17" s="249"/>
      <c r="K17" s="249"/>
      <c r="L17" s="229">
        <f>'[7]Expository Writing'!E30</f>
        <v>6</v>
      </c>
      <c r="M17" s="168">
        <f>'[7]Expository Writing'!F30</f>
        <v>3</v>
      </c>
      <c r="N17" s="249"/>
      <c r="O17" s="229">
        <f t="shared" si="5"/>
        <v>3</v>
      </c>
      <c r="P17" s="250">
        <v>7</v>
      </c>
      <c r="Q17" s="249">
        <v>10</v>
      </c>
      <c r="R17" s="249"/>
      <c r="S17" s="242"/>
      <c r="T17" s="229">
        <f>'[7]Expository Writing'!G30</f>
        <v>17</v>
      </c>
      <c r="U17" s="243">
        <f>'[7]Expository Writing'!H30</f>
        <v>6</v>
      </c>
      <c r="V17" s="241"/>
      <c r="W17" s="229">
        <f t="shared" si="6"/>
        <v>6</v>
      </c>
      <c r="X17" s="229">
        <f t="shared" si="0"/>
        <v>37</v>
      </c>
      <c r="Y17" s="244">
        <f t="shared" si="1"/>
        <v>19</v>
      </c>
      <c r="Z17" s="244">
        <f t="shared" si="2"/>
        <v>8</v>
      </c>
      <c r="AA17" s="244">
        <f t="shared" si="3"/>
        <v>10</v>
      </c>
      <c r="AB17" s="244" t="str">
        <f t="shared" si="7"/>
        <v>N</v>
      </c>
      <c r="AC17" s="244" t="str">
        <f t="shared" si="8"/>
        <v>N</v>
      </c>
      <c r="AD17" s="244" t="str">
        <f t="shared" si="9"/>
        <v>N</v>
      </c>
      <c r="AE17" s="280">
        <f t="shared" si="10"/>
        <v>38</v>
      </c>
      <c r="AF17" s="280">
        <f t="shared" si="11"/>
        <v>40</v>
      </c>
      <c r="AG17" s="280">
        <f t="shared" si="12"/>
        <v>33.333333333333329</v>
      </c>
    </row>
    <row r="18" spans="1:33" ht="15.75" x14ac:dyDescent="0.25">
      <c r="A18" s="245">
        <v>6</v>
      </c>
      <c r="B18" s="246" t="s">
        <v>225</v>
      </c>
      <c r="C18" s="166" t="str">
        <f>'[7]Expository Writing'!A31</f>
        <v>2023-IT-06</v>
      </c>
      <c r="D18" s="166" t="str">
        <f>'[7]Expository Writing'!B31</f>
        <v>Mehak Asghar</v>
      </c>
      <c r="E18" s="168">
        <f>'[7]Expository Writing'!D31</f>
        <v>4</v>
      </c>
      <c r="F18" s="168"/>
      <c r="G18" s="229">
        <f t="shared" si="4"/>
        <v>4</v>
      </c>
      <c r="H18" s="249">
        <v>7</v>
      </c>
      <c r="I18" s="249">
        <v>6</v>
      </c>
      <c r="J18" s="249"/>
      <c r="K18" s="249"/>
      <c r="L18" s="229">
        <f>'[7]Expository Writing'!E31</f>
        <v>13</v>
      </c>
      <c r="M18" s="168">
        <f>'[7]Expository Writing'!F31</f>
        <v>4</v>
      </c>
      <c r="N18" s="249"/>
      <c r="O18" s="229">
        <f t="shared" si="5"/>
        <v>4</v>
      </c>
      <c r="P18" s="250">
        <v>8</v>
      </c>
      <c r="Q18" s="249">
        <v>20</v>
      </c>
      <c r="R18" s="249"/>
      <c r="S18" s="242"/>
      <c r="T18" s="229">
        <f>'[7]Expository Writing'!G31</f>
        <v>28</v>
      </c>
      <c r="U18" s="243">
        <f>'[7]Expository Writing'!H31</f>
        <v>7</v>
      </c>
      <c r="V18" s="241"/>
      <c r="W18" s="229">
        <f t="shared" si="6"/>
        <v>7</v>
      </c>
      <c r="X18" s="229">
        <f t="shared" si="0"/>
        <v>56</v>
      </c>
      <c r="Y18" s="244">
        <f t="shared" si="1"/>
        <v>30</v>
      </c>
      <c r="Z18" s="244">
        <f t="shared" si="2"/>
        <v>14</v>
      </c>
      <c r="AA18" s="244">
        <f t="shared" si="3"/>
        <v>12</v>
      </c>
      <c r="AB18" s="244" t="str">
        <f t="shared" si="7"/>
        <v>Y</v>
      </c>
      <c r="AC18" s="244" t="str">
        <f t="shared" si="8"/>
        <v>Y</v>
      </c>
      <c r="AD18" s="244" t="str">
        <f t="shared" si="9"/>
        <v>N</v>
      </c>
      <c r="AE18" s="280">
        <f t="shared" si="10"/>
        <v>60</v>
      </c>
      <c r="AF18" s="280">
        <f t="shared" si="11"/>
        <v>70</v>
      </c>
      <c r="AG18" s="280">
        <f t="shared" si="12"/>
        <v>40</v>
      </c>
    </row>
    <row r="19" spans="1:33" ht="15.75" x14ac:dyDescent="0.25">
      <c r="A19" s="245">
        <v>7</v>
      </c>
      <c r="B19" s="246" t="s">
        <v>226</v>
      </c>
      <c r="C19" s="166" t="str">
        <f>'[7]Expository Writing'!A32</f>
        <v>2023-IT-07</v>
      </c>
      <c r="D19" s="166" t="str">
        <f>'[7]Expository Writing'!B32</f>
        <v>Humaira Afzal</v>
      </c>
      <c r="E19" s="168">
        <f>'[7]Expository Writing'!D32</f>
        <v>5</v>
      </c>
      <c r="F19" s="168"/>
      <c r="G19" s="229">
        <f t="shared" si="4"/>
        <v>5</v>
      </c>
      <c r="H19" s="249">
        <v>6</v>
      </c>
      <c r="I19" s="249">
        <v>8</v>
      </c>
      <c r="J19" s="249"/>
      <c r="K19" s="249"/>
      <c r="L19" s="229">
        <f>'[7]Expository Writing'!E32</f>
        <v>14</v>
      </c>
      <c r="M19" s="168">
        <f>'[7]Expository Writing'!F32</f>
        <v>4</v>
      </c>
      <c r="N19" s="249"/>
      <c r="O19" s="229">
        <f t="shared" si="5"/>
        <v>4</v>
      </c>
      <c r="P19" s="250">
        <v>9</v>
      </c>
      <c r="Q19" s="249">
        <v>20</v>
      </c>
      <c r="R19" s="249"/>
      <c r="S19" s="242"/>
      <c r="T19" s="229">
        <f>'[7]Expository Writing'!G32</f>
        <v>29</v>
      </c>
      <c r="U19" s="243">
        <f>'[7]Expository Writing'!H32</f>
        <v>6</v>
      </c>
      <c r="V19" s="241"/>
      <c r="W19" s="229">
        <f t="shared" si="6"/>
        <v>6</v>
      </c>
      <c r="X19" s="229">
        <f t="shared" si="0"/>
        <v>58</v>
      </c>
      <c r="Y19" s="244">
        <f t="shared" si="1"/>
        <v>33</v>
      </c>
      <c r="Z19" s="244">
        <f t="shared" si="2"/>
        <v>12</v>
      </c>
      <c r="AA19" s="244">
        <f t="shared" si="3"/>
        <v>13</v>
      </c>
      <c r="AB19" s="244" t="str">
        <f t="shared" si="7"/>
        <v>Y</v>
      </c>
      <c r="AC19" s="244" t="str">
        <f t="shared" si="8"/>
        <v>Y</v>
      </c>
      <c r="AD19" s="244" t="str">
        <f t="shared" si="9"/>
        <v>N</v>
      </c>
      <c r="AE19" s="280">
        <f t="shared" si="10"/>
        <v>66</v>
      </c>
      <c r="AF19" s="280">
        <f t="shared" si="11"/>
        <v>60</v>
      </c>
      <c r="AG19" s="280">
        <f t="shared" si="12"/>
        <v>43.333333333333336</v>
      </c>
    </row>
    <row r="20" spans="1:33" ht="15.75" x14ac:dyDescent="0.25">
      <c r="A20" s="245">
        <v>10</v>
      </c>
      <c r="B20" s="246" t="s">
        <v>227</v>
      </c>
      <c r="C20" s="166" t="str">
        <f>'[7]Expository Writing'!A33</f>
        <v>2023-IT-08</v>
      </c>
      <c r="D20" s="166" t="str">
        <f>'[7]Expository Writing'!B33</f>
        <v>Saleena Khan</v>
      </c>
      <c r="E20" s="168">
        <f>'[7]Expository Writing'!D33</f>
        <v>0</v>
      </c>
      <c r="F20" s="168"/>
      <c r="G20" s="229">
        <f t="shared" si="4"/>
        <v>0</v>
      </c>
      <c r="H20" s="249">
        <v>0</v>
      </c>
      <c r="I20" s="249">
        <v>0</v>
      </c>
      <c r="J20" s="249"/>
      <c r="K20" s="249"/>
      <c r="L20" s="229">
        <f>'[7]Expository Writing'!E33</f>
        <v>0</v>
      </c>
      <c r="M20" s="168">
        <f>'[7]Expository Writing'!F33</f>
        <v>0</v>
      </c>
      <c r="N20" s="249"/>
      <c r="O20" s="229">
        <f t="shared" si="5"/>
        <v>0</v>
      </c>
      <c r="P20" s="250">
        <v>0</v>
      </c>
      <c r="Q20" s="249">
        <v>0</v>
      </c>
      <c r="R20" s="249"/>
      <c r="S20" s="242"/>
      <c r="T20" s="229">
        <f>'[7]Expository Writing'!G33</f>
        <v>0</v>
      </c>
      <c r="U20" s="243">
        <f>'[7]Expository Writing'!H33</f>
        <v>0</v>
      </c>
      <c r="V20" s="241"/>
      <c r="W20" s="229">
        <f t="shared" si="6"/>
        <v>0</v>
      </c>
      <c r="X20" s="229">
        <f t="shared" si="0"/>
        <v>0</v>
      </c>
      <c r="Y20" s="244">
        <f t="shared" si="1"/>
        <v>0</v>
      </c>
      <c r="Z20" s="244">
        <f t="shared" si="2"/>
        <v>0</v>
      </c>
      <c r="AA20" s="244">
        <f t="shared" si="3"/>
        <v>0</v>
      </c>
      <c r="AB20" s="244" t="str">
        <f t="shared" si="7"/>
        <v>N</v>
      </c>
      <c r="AC20" s="244" t="str">
        <f t="shared" si="8"/>
        <v>N</v>
      </c>
      <c r="AD20" s="244" t="str">
        <f t="shared" si="9"/>
        <v>N</v>
      </c>
      <c r="AE20" s="280">
        <f t="shared" si="10"/>
        <v>0</v>
      </c>
      <c r="AF20" s="280">
        <f t="shared" si="11"/>
        <v>0</v>
      </c>
      <c r="AG20" s="280">
        <f t="shared" si="12"/>
        <v>0</v>
      </c>
    </row>
    <row r="21" spans="1:33" ht="15.75" x14ac:dyDescent="0.25">
      <c r="A21" s="245">
        <v>11</v>
      </c>
      <c r="B21" s="246" t="s">
        <v>228</v>
      </c>
      <c r="C21" s="166" t="str">
        <f>'[7]Expository Writing'!A34</f>
        <v>2023-IT-10</v>
      </c>
      <c r="D21" s="166" t="str">
        <f>'[7]Expository Writing'!B34</f>
        <v>Asad Ullah</v>
      </c>
      <c r="E21" s="168">
        <f>'[7]Expository Writing'!D34</f>
        <v>6</v>
      </c>
      <c r="F21" s="168"/>
      <c r="G21" s="229">
        <f t="shared" si="4"/>
        <v>6</v>
      </c>
      <c r="H21" s="249">
        <v>6</v>
      </c>
      <c r="I21" s="249">
        <v>6</v>
      </c>
      <c r="J21" s="249"/>
      <c r="K21" s="249"/>
      <c r="L21" s="229">
        <f>'[7]Expository Writing'!E34</f>
        <v>12</v>
      </c>
      <c r="M21" s="168">
        <f>'[7]Expository Writing'!F34</f>
        <v>4</v>
      </c>
      <c r="N21" s="249"/>
      <c r="O21" s="229">
        <f t="shared" si="5"/>
        <v>4</v>
      </c>
      <c r="P21" s="250">
        <v>8</v>
      </c>
      <c r="Q21" s="249">
        <v>20</v>
      </c>
      <c r="R21" s="249"/>
      <c r="S21" s="242"/>
      <c r="T21" s="229">
        <f>'[7]Expository Writing'!G34</f>
        <v>28</v>
      </c>
      <c r="U21" s="243">
        <f>'[7]Expository Writing'!H34</f>
        <v>7</v>
      </c>
      <c r="V21" s="241"/>
      <c r="W21" s="229">
        <f t="shared" si="6"/>
        <v>7</v>
      </c>
      <c r="X21" s="229">
        <f t="shared" si="0"/>
        <v>57</v>
      </c>
      <c r="Y21" s="244">
        <f t="shared" si="1"/>
        <v>32</v>
      </c>
      <c r="Z21" s="244">
        <f t="shared" si="2"/>
        <v>13</v>
      </c>
      <c r="AA21" s="244">
        <f t="shared" si="3"/>
        <v>12</v>
      </c>
      <c r="AB21" s="244" t="str">
        <f t="shared" si="7"/>
        <v>Y</v>
      </c>
      <c r="AC21" s="244" t="str">
        <f t="shared" si="8"/>
        <v>Y</v>
      </c>
      <c r="AD21" s="244" t="str">
        <f t="shared" si="9"/>
        <v>N</v>
      </c>
      <c r="AE21" s="280">
        <f t="shared" si="10"/>
        <v>64</v>
      </c>
      <c r="AF21" s="280">
        <f t="shared" si="11"/>
        <v>65</v>
      </c>
      <c r="AG21" s="280">
        <f t="shared" si="12"/>
        <v>40</v>
      </c>
    </row>
    <row r="22" spans="1:33" ht="15.75" x14ac:dyDescent="0.25">
      <c r="A22" s="245">
        <v>12</v>
      </c>
      <c r="B22" s="246" t="s">
        <v>229</v>
      </c>
      <c r="C22" s="166" t="str">
        <f>'[7]Expository Writing'!A35</f>
        <v>2023-IT-11</v>
      </c>
      <c r="D22" s="166" t="str">
        <f>'[7]Expository Writing'!B35</f>
        <v>Rana Talha dawood</v>
      </c>
      <c r="E22" s="168">
        <f>'[7]Expository Writing'!D35</f>
        <v>4</v>
      </c>
      <c r="F22" s="168"/>
      <c r="G22" s="229">
        <f t="shared" si="4"/>
        <v>4</v>
      </c>
      <c r="H22" s="249">
        <v>4</v>
      </c>
      <c r="I22" s="249">
        <v>6</v>
      </c>
      <c r="J22" s="249"/>
      <c r="K22" s="249"/>
      <c r="L22" s="229">
        <f>'[7]Expository Writing'!E35</f>
        <v>10</v>
      </c>
      <c r="M22" s="168">
        <f>'[7]Expository Writing'!F35</f>
        <v>5</v>
      </c>
      <c r="N22" s="249"/>
      <c r="O22" s="229">
        <f t="shared" si="5"/>
        <v>5</v>
      </c>
      <c r="P22" s="250">
        <v>8</v>
      </c>
      <c r="Q22" s="249">
        <v>16</v>
      </c>
      <c r="R22" s="249"/>
      <c r="S22" s="242"/>
      <c r="T22" s="229">
        <f>'[7]Expository Writing'!G35</f>
        <v>24</v>
      </c>
      <c r="U22" s="243">
        <f>'[7]Expository Writing'!H35</f>
        <v>6</v>
      </c>
      <c r="V22" s="241"/>
      <c r="W22" s="229">
        <f t="shared" si="6"/>
        <v>6</v>
      </c>
      <c r="X22" s="229">
        <f t="shared" si="0"/>
        <v>49</v>
      </c>
      <c r="Y22" s="244">
        <f t="shared" si="1"/>
        <v>26</v>
      </c>
      <c r="Z22" s="244">
        <f t="shared" si="2"/>
        <v>10</v>
      </c>
      <c r="AA22" s="244">
        <f t="shared" si="3"/>
        <v>13</v>
      </c>
      <c r="AB22" s="244" t="str">
        <f t="shared" si="7"/>
        <v>Y</v>
      </c>
      <c r="AC22" s="244" t="str">
        <f t="shared" si="8"/>
        <v>Y</v>
      </c>
      <c r="AD22" s="244" t="str">
        <f t="shared" si="9"/>
        <v>N</v>
      </c>
      <c r="AE22" s="280">
        <f t="shared" si="10"/>
        <v>52</v>
      </c>
      <c r="AF22" s="280">
        <f t="shared" si="11"/>
        <v>50</v>
      </c>
      <c r="AG22" s="280">
        <f t="shared" si="12"/>
        <v>43.333333333333336</v>
      </c>
    </row>
    <row r="23" spans="1:33" ht="15.75" x14ac:dyDescent="0.25">
      <c r="A23" s="245">
        <v>13</v>
      </c>
      <c r="B23" s="246" t="s">
        <v>230</v>
      </c>
      <c r="C23" s="166" t="str">
        <f>'[7]Expository Writing'!A36</f>
        <v>2023-IT-12</v>
      </c>
      <c r="D23" s="166" t="str">
        <f>'[7]Expository Writing'!B36</f>
        <v>Ali Ahmad</v>
      </c>
      <c r="E23" s="168">
        <f>'[7]Expository Writing'!D36</f>
        <v>5</v>
      </c>
      <c r="F23" s="168"/>
      <c r="G23" s="229">
        <f t="shared" si="4"/>
        <v>5</v>
      </c>
      <c r="H23" s="249">
        <v>2</v>
      </c>
      <c r="I23" s="249">
        <v>4</v>
      </c>
      <c r="J23" s="249"/>
      <c r="K23" s="249"/>
      <c r="L23" s="229">
        <f>'[7]Expository Writing'!E36</f>
        <v>6</v>
      </c>
      <c r="M23" s="168">
        <f>'[7]Expository Writing'!F36</f>
        <v>7</v>
      </c>
      <c r="N23" s="249"/>
      <c r="O23" s="229">
        <f t="shared" si="5"/>
        <v>7</v>
      </c>
      <c r="P23" s="250">
        <v>9</v>
      </c>
      <c r="Q23" s="249">
        <v>20</v>
      </c>
      <c r="R23" s="249"/>
      <c r="S23" s="242"/>
      <c r="T23" s="229">
        <f>'[7]Expository Writing'!G36</f>
        <v>29</v>
      </c>
      <c r="U23" s="243">
        <f>'[7]Expository Writing'!H36</f>
        <v>7</v>
      </c>
      <c r="V23" s="241"/>
      <c r="W23" s="229">
        <f t="shared" si="6"/>
        <v>7</v>
      </c>
      <c r="X23" s="229">
        <f t="shared" si="0"/>
        <v>54</v>
      </c>
      <c r="Y23" s="244">
        <f t="shared" si="1"/>
        <v>29</v>
      </c>
      <c r="Z23" s="244">
        <f t="shared" si="2"/>
        <v>9</v>
      </c>
      <c r="AA23" s="244">
        <f t="shared" si="3"/>
        <v>16</v>
      </c>
      <c r="AB23" s="244" t="str">
        <f t="shared" si="7"/>
        <v>Y</v>
      </c>
      <c r="AC23" s="244" t="str">
        <f t="shared" si="8"/>
        <v>N</v>
      </c>
      <c r="AD23" s="244" t="str">
        <f t="shared" si="9"/>
        <v>Y</v>
      </c>
      <c r="AE23" s="280">
        <f t="shared" si="10"/>
        <v>57.999999999999993</v>
      </c>
      <c r="AF23" s="280">
        <f t="shared" si="11"/>
        <v>45</v>
      </c>
      <c r="AG23" s="280">
        <f t="shared" si="12"/>
        <v>53.333333333333336</v>
      </c>
    </row>
    <row r="24" spans="1:33" ht="15.75" x14ac:dyDescent="0.25">
      <c r="A24" s="245">
        <v>14</v>
      </c>
      <c r="B24" s="246" t="s">
        <v>231</v>
      </c>
      <c r="C24" s="166" t="str">
        <f>'[7]Expository Writing'!A37</f>
        <v>2023-IT-13</v>
      </c>
      <c r="D24" s="166" t="str">
        <f>'[7]Expository Writing'!B37</f>
        <v>Muhammad Daud</v>
      </c>
      <c r="E24" s="168">
        <f>'[7]Expository Writing'!D37</f>
        <v>5</v>
      </c>
      <c r="F24" s="168"/>
      <c r="G24" s="229">
        <f t="shared" si="4"/>
        <v>5</v>
      </c>
      <c r="H24" s="249">
        <v>2</v>
      </c>
      <c r="I24" s="249">
        <v>6</v>
      </c>
      <c r="J24" s="249"/>
      <c r="K24" s="249"/>
      <c r="L24" s="229">
        <f>'[7]Expository Writing'!E37</f>
        <v>8</v>
      </c>
      <c r="M24" s="168">
        <f>'[7]Expository Writing'!F37</f>
        <v>5</v>
      </c>
      <c r="N24" s="249"/>
      <c r="O24" s="229">
        <f t="shared" si="5"/>
        <v>5</v>
      </c>
      <c r="P24" s="250">
        <v>9</v>
      </c>
      <c r="Q24" s="249">
        <v>20</v>
      </c>
      <c r="R24" s="249"/>
      <c r="S24" s="242"/>
      <c r="T24" s="229">
        <f>'[7]Expository Writing'!G37</f>
        <v>29</v>
      </c>
      <c r="U24" s="243">
        <f>'[7]Expository Writing'!H37</f>
        <v>7</v>
      </c>
      <c r="V24" s="241"/>
      <c r="W24" s="229">
        <f t="shared" si="6"/>
        <v>7</v>
      </c>
      <c r="X24" s="229">
        <f t="shared" si="0"/>
        <v>54</v>
      </c>
      <c r="Y24" s="244">
        <f t="shared" si="1"/>
        <v>31</v>
      </c>
      <c r="Z24" s="244">
        <f t="shared" si="2"/>
        <v>9</v>
      </c>
      <c r="AA24" s="244">
        <f t="shared" si="3"/>
        <v>14</v>
      </c>
      <c r="AB24" s="244" t="str">
        <f t="shared" si="7"/>
        <v>Y</v>
      </c>
      <c r="AC24" s="244" t="str">
        <f t="shared" si="8"/>
        <v>N</v>
      </c>
      <c r="AD24" s="244" t="str">
        <f t="shared" si="9"/>
        <v>N</v>
      </c>
      <c r="AE24" s="280">
        <f t="shared" si="10"/>
        <v>62</v>
      </c>
      <c r="AF24" s="280">
        <f t="shared" si="11"/>
        <v>45</v>
      </c>
      <c r="AG24" s="280">
        <f t="shared" si="12"/>
        <v>46.666666666666664</v>
      </c>
    </row>
    <row r="25" spans="1:33" ht="15.75" x14ac:dyDescent="0.25">
      <c r="A25" s="245">
        <v>16</v>
      </c>
      <c r="B25" s="246" t="s">
        <v>232</v>
      </c>
      <c r="C25" s="166" t="str">
        <f>'[7]Expository Writing'!A38</f>
        <v>2023-IT-14</v>
      </c>
      <c r="D25" s="166" t="str">
        <f>'[7]Expository Writing'!B38</f>
        <v>Mursil Mateen</v>
      </c>
      <c r="E25" s="168">
        <f>'[7]Expository Writing'!D38</f>
        <v>6</v>
      </c>
      <c r="F25" s="168"/>
      <c r="G25" s="229">
        <f t="shared" si="4"/>
        <v>6</v>
      </c>
      <c r="H25" s="249">
        <v>3</v>
      </c>
      <c r="I25" s="249">
        <v>6</v>
      </c>
      <c r="J25" s="249"/>
      <c r="K25" s="249"/>
      <c r="L25" s="229">
        <f>'[7]Expository Writing'!E38</f>
        <v>9</v>
      </c>
      <c r="M25" s="168">
        <f>'[7]Expository Writing'!F38</f>
        <v>5</v>
      </c>
      <c r="N25" s="249"/>
      <c r="O25" s="229">
        <f t="shared" si="5"/>
        <v>5</v>
      </c>
      <c r="P25" s="250">
        <v>8</v>
      </c>
      <c r="Q25" s="249">
        <v>20</v>
      </c>
      <c r="R25" s="249"/>
      <c r="S25" s="242"/>
      <c r="T25" s="229">
        <f>'[7]Expository Writing'!G38</f>
        <v>28</v>
      </c>
      <c r="U25" s="243">
        <f>'[7]Expository Writing'!H38</f>
        <v>8</v>
      </c>
      <c r="V25" s="241"/>
      <c r="W25" s="229">
        <f t="shared" si="6"/>
        <v>8</v>
      </c>
      <c r="X25" s="229">
        <f t="shared" si="0"/>
        <v>56</v>
      </c>
      <c r="Y25" s="244">
        <f t="shared" si="1"/>
        <v>32</v>
      </c>
      <c r="Z25" s="244">
        <f t="shared" si="2"/>
        <v>11</v>
      </c>
      <c r="AA25" s="244">
        <f t="shared" si="3"/>
        <v>13</v>
      </c>
      <c r="AB25" s="244" t="str">
        <f t="shared" si="7"/>
        <v>Y</v>
      </c>
      <c r="AC25" s="244" t="str">
        <f t="shared" si="8"/>
        <v>Y</v>
      </c>
      <c r="AD25" s="244" t="str">
        <f t="shared" si="9"/>
        <v>N</v>
      </c>
      <c r="AE25" s="280">
        <f t="shared" si="10"/>
        <v>64</v>
      </c>
      <c r="AF25" s="280">
        <f t="shared" si="11"/>
        <v>55.000000000000007</v>
      </c>
      <c r="AG25" s="280">
        <f t="shared" si="12"/>
        <v>43.333333333333336</v>
      </c>
    </row>
    <row r="26" spans="1:33" ht="15.75" x14ac:dyDescent="0.25">
      <c r="A26" s="245">
        <v>17</v>
      </c>
      <c r="B26" s="246" t="s">
        <v>233</v>
      </c>
      <c r="C26" s="166" t="str">
        <f>'[7]Expository Writing'!A39</f>
        <v>2023-IT-16</v>
      </c>
      <c r="D26" s="166" t="str">
        <f>'[7]Expository Writing'!B39</f>
        <v>Muhammad Usman</v>
      </c>
      <c r="E26" s="168">
        <f>'[7]Expository Writing'!D39</f>
        <v>0</v>
      </c>
      <c r="F26" s="168"/>
      <c r="G26" s="229">
        <f t="shared" si="4"/>
        <v>0</v>
      </c>
      <c r="H26" s="249">
        <v>0</v>
      </c>
      <c r="I26" s="249">
        <v>0</v>
      </c>
      <c r="J26" s="249"/>
      <c r="K26" s="249"/>
      <c r="L26" s="229">
        <f>'[7]Expository Writing'!E39</f>
        <v>0</v>
      </c>
      <c r="M26" s="168">
        <f>'[7]Expository Writing'!F39</f>
        <v>0</v>
      </c>
      <c r="N26" s="249"/>
      <c r="O26" s="229">
        <f t="shared" si="5"/>
        <v>0</v>
      </c>
      <c r="P26" s="250">
        <v>0</v>
      </c>
      <c r="Q26" s="249">
        <v>0</v>
      </c>
      <c r="R26" s="249"/>
      <c r="S26" s="242"/>
      <c r="T26" s="229">
        <f>'[7]Expository Writing'!G39</f>
        <v>0</v>
      </c>
      <c r="U26" s="243">
        <f>'[7]Expository Writing'!H39</f>
        <v>7</v>
      </c>
      <c r="V26" s="241"/>
      <c r="W26" s="229">
        <f t="shared" si="6"/>
        <v>7</v>
      </c>
      <c r="X26" s="229">
        <f t="shared" si="0"/>
        <v>7</v>
      </c>
      <c r="Y26" s="244">
        <f t="shared" si="1"/>
        <v>0</v>
      </c>
      <c r="Z26" s="244">
        <f t="shared" si="2"/>
        <v>7</v>
      </c>
      <c r="AA26" s="244">
        <f t="shared" si="3"/>
        <v>0</v>
      </c>
      <c r="AB26" s="244" t="str">
        <f t="shared" si="7"/>
        <v>N</v>
      </c>
      <c r="AC26" s="244" t="str">
        <f t="shared" si="8"/>
        <v>N</v>
      </c>
      <c r="AD26" s="244" t="str">
        <f t="shared" si="9"/>
        <v>N</v>
      </c>
      <c r="AE26" s="280">
        <f t="shared" si="10"/>
        <v>0</v>
      </c>
      <c r="AF26" s="280">
        <f t="shared" si="11"/>
        <v>35</v>
      </c>
      <c r="AG26" s="280">
        <f t="shared" si="12"/>
        <v>0</v>
      </c>
    </row>
    <row r="27" spans="1:33" ht="15.75" x14ac:dyDescent="0.25">
      <c r="A27" s="247">
        <v>18</v>
      </c>
      <c r="B27" s="248" t="s">
        <v>234</v>
      </c>
      <c r="C27" s="166" t="str">
        <f>'[7]Expository Writing'!A40</f>
        <v>2023-IT-18</v>
      </c>
      <c r="D27" s="166" t="str">
        <f>'[7]Expository Writing'!B40</f>
        <v>Adeel Maqbool</v>
      </c>
      <c r="E27" s="168">
        <f>'[7]Expository Writing'!D40</f>
        <v>5</v>
      </c>
      <c r="F27" s="168"/>
      <c r="G27" s="229">
        <f t="shared" si="4"/>
        <v>5</v>
      </c>
      <c r="H27" s="249">
        <v>2</v>
      </c>
      <c r="I27" s="249">
        <v>2</v>
      </c>
      <c r="J27" s="249"/>
      <c r="K27" s="249"/>
      <c r="L27" s="229">
        <f>'[7]Expository Writing'!E40</f>
        <v>4</v>
      </c>
      <c r="M27" s="168">
        <f>'[7]Expository Writing'!F40</f>
        <v>6</v>
      </c>
      <c r="N27" s="249"/>
      <c r="O27" s="229">
        <f t="shared" si="5"/>
        <v>6</v>
      </c>
      <c r="P27" s="250">
        <v>10</v>
      </c>
      <c r="Q27" s="249">
        <v>18</v>
      </c>
      <c r="R27" s="249"/>
      <c r="S27" s="242"/>
      <c r="T27" s="229">
        <f>'[7]Expository Writing'!G40</f>
        <v>28</v>
      </c>
      <c r="U27" s="243">
        <f>'[7]Expository Writing'!H40</f>
        <v>8</v>
      </c>
      <c r="V27" s="241"/>
      <c r="W27" s="229">
        <f t="shared" si="6"/>
        <v>8</v>
      </c>
      <c r="X27" s="229">
        <f t="shared" si="0"/>
        <v>51</v>
      </c>
      <c r="Y27" s="244">
        <f t="shared" si="1"/>
        <v>25</v>
      </c>
      <c r="Z27" s="244">
        <f t="shared" si="2"/>
        <v>10</v>
      </c>
      <c r="AA27" s="244">
        <f t="shared" si="3"/>
        <v>16</v>
      </c>
      <c r="AB27" s="244" t="str">
        <f t="shared" si="7"/>
        <v>Y</v>
      </c>
      <c r="AC27" s="244" t="str">
        <f t="shared" si="8"/>
        <v>Y</v>
      </c>
      <c r="AD27" s="244" t="str">
        <f t="shared" si="9"/>
        <v>Y</v>
      </c>
      <c r="AE27" s="280">
        <f t="shared" si="10"/>
        <v>50</v>
      </c>
      <c r="AF27" s="280">
        <f t="shared" si="11"/>
        <v>50</v>
      </c>
      <c r="AG27" s="280">
        <f t="shared" si="12"/>
        <v>53.333333333333336</v>
      </c>
    </row>
    <row r="28" spans="1:33" ht="15.75" x14ac:dyDescent="0.25">
      <c r="A28" s="247">
        <v>19</v>
      </c>
      <c r="B28" s="248" t="s">
        <v>235</v>
      </c>
      <c r="C28" s="166" t="str">
        <f>'[7]Expository Writing'!A41</f>
        <v>2023-IT-20</v>
      </c>
      <c r="D28" s="166" t="str">
        <f>'[7]Expository Writing'!B41</f>
        <v>Husnain Saleem</v>
      </c>
      <c r="E28" s="168">
        <f>'[7]Expository Writing'!D41</f>
        <v>5</v>
      </c>
      <c r="F28" s="168"/>
      <c r="G28" s="229">
        <f t="shared" si="4"/>
        <v>5</v>
      </c>
      <c r="H28" s="249">
        <v>3</v>
      </c>
      <c r="I28" s="249">
        <v>6</v>
      </c>
      <c r="J28" s="249"/>
      <c r="K28" s="249"/>
      <c r="L28" s="229">
        <f>'[7]Expository Writing'!E41</f>
        <v>9</v>
      </c>
      <c r="M28" s="168">
        <f>'[7]Expository Writing'!F41</f>
        <v>5</v>
      </c>
      <c r="N28" s="249"/>
      <c r="O28" s="229">
        <f t="shared" si="5"/>
        <v>5</v>
      </c>
      <c r="P28" s="250">
        <v>10</v>
      </c>
      <c r="Q28" s="249">
        <v>15</v>
      </c>
      <c r="R28" s="249"/>
      <c r="S28" s="242"/>
      <c r="T28" s="229">
        <f>'[7]Expository Writing'!G41</f>
        <v>25</v>
      </c>
      <c r="U28" s="243">
        <f>'[7]Expository Writing'!H41</f>
        <v>7</v>
      </c>
      <c r="V28" s="241"/>
      <c r="W28" s="229">
        <f t="shared" si="6"/>
        <v>7</v>
      </c>
      <c r="X28" s="229">
        <f t="shared" si="0"/>
        <v>51</v>
      </c>
      <c r="Y28" s="244">
        <f t="shared" si="1"/>
        <v>26</v>
      </c>
      <c r="Z28" s="244">
        <f t="shared" si="2"/>
        <v>10</v>
      </c>
      <c r="AA28" s="244">
        <f t="shared" si="3"/>
        <v>15</v>
      </c>
      <c r="AB28" s="244" t="str">
        <f t="shared" si="7"/>
        <v>Y</v>
      </c>
      <c r="AC28" s="244" t="str">
        <f t="shared" si="8"/>
        <v>Y</v>
      </c>
      <c r="AD28" s="244" t="str">
        <f t="shared" si="9"/>
        <v>Y</v>
      </c>
      <c r="AE28" s="280">
        <f t="shared" si="10"/>
        <v>52</v>
      </c>
      <c r="AF28" s="280">
        <f t="shared" si="11"/>
        <v>50</v>
      </c>
      <c r="AG28" s="280">
        <f t="shared" si="12"/>
        <v>50</v>
      </c>
    </row>
    <row r="29" spans="1:33" ht="15.75" x14ac:dyDescent="0.25">
      <c r="A29" s="245">
        <v>21</v>
      </c>
      <c r="B29" s="246" t="s">
        <v>236</v>
      </c>
      <c r="C29" s="166" t="str">
        <f>'[7]Expository Writing'!A42</f>
        <v>2023-IT-22</v>
      </c>
      <c r="D29" s="166" t="str">
        <f>'[7]Expository Writing'!B42</f>
        <v>Muhammad Sameer</v>
      </c>
      <c r="E29" s="168">
        <f>'[7]Expository Writing'!D42</f>
        <v>2</v>
      </c>
      <c r="F29" s="168"/>
      <c r="G29" s="229">
        <f t="shared" si="4"/>
        <v>2</v>
      </c>
      <c r="H29" s="249">
        <v>4</v>
      </c>
      <c r="I29" s="249">
        <v>8</v>
      </c>
      <c r="J29" s="249"/>
      <c r="K29" s="249"/>
      <c r="L29" s="229">
        <f>'[7]Expository Writing'!E42</f>
        <v>12</v>
      </c>
      <c r="M29" s="168">
        <f>'[7]Expository Writing'!F42</f>
        <v>6</v>
      </c>
      <c r="N29" s="249"/>
      <c r="O29" s="229">
        <f t="shared" si="5"/>
        <v>6</v>
      </c>
      <c r="P29" s="250">
        <v>8</v>
      </c>
      <c r="Q29" s="249">
        <v>20</v>
      </c>
      <c r="R29" s="249"/>
      <c r="S29" s="242"/>
      <c r="T29" s="229">
        <f>'[7]Expository Writing'!G42</f>
        <v>28</v>
      </c>
      <c r="U29" s="243">
        <f>'[7]Expository Writing'!H42</f>
        <v>8</v>
      </c>
      <c r="V29" s="241"/>
      <c r="W29" s="229">
        <f t="shared" si="6"/>
        <v>8</v>
      </c>
      <c r="X29" s="229">
        <f t="shared" si="0"/>
        <v>56</v>
      </c>
      <c r="Y29" s="244">
        <f t="shared" si="1"/>
        <v>30</v>
      </c>
      <c r="Z29" s="244">
        <f t="shared" si="2"/>
        <v>12</v>
      </c>
      <c r="AA29" s="244">
        <f t="shared" si="3"/>
        <v>14</v>
      </c>
      <c r="AB29" s="244" t="str">
        <f t="shared" si="7"/>
        <v>Y</v>
      </c>
      <c r="AC29" s="244" t="str">
        <f t="shared" si="8"/>
        <v>Y</v>
      </c>
      <c r="AD29" s="244" t="str">
        <f t="shared" si="9"/>
        <v>N</v>
      </c>
      <c r="AE29" s="280">
        <f t="shared" si="10"/>
        <v>60</v>
      </c>
      <c r="AF29" s="280">
        <f t="shared" si="11"/>
        <v>60</v>
      </c>
      <c r="AG29" s="280">
        <f t="shared" si="12"/>
        <v>46.666666666666664</v>
      </c>
    </row>
    <row r="30" spans="1:33" ht="15.75" x14ac:dyDescent="0.25">
      <c r="A30" s="245">
        <v>22</v>
      </c>
      <c r="B30" s="246" t="s">
        <v>237</v>
      </c>
      <c r="C30" s="166" t="str">
        <f>'[7]Expository Writing'!A43</f>
        <v>2023-IT-24</v>
      </c>
      <c r="D30" s="166" t="str">
        <f>'[7]Expository Writing'!B43</f>
        <v>Sher Shah Hussain</v>
      </c>
      <c r="E30" s="168">
        <f>'[7]Expository Writing'!D43</f>
        <v>5</v>
      </c>
      <c r="F30" s="168"/>
      <c r="G30" s="229">
        <f t="shared" si="4"/>
        <v>5</v>
      </c>
      <c r="H30" s="249">
        <v>9</v>
      </c>
      <c r="I30" s="249">
        <v>9</v>
      </c>
      <c r="J30" s="249"/>
      <c r="K30" s="249"/>
      <c r="L30" s="229">
        <f>'[7]Expository Writing'!E43</f>
        <v>18</v>
      </c>
      <c r="M30" s="168">
        <f>'[7]Expository Writing'!F43</f>
        <v>7</v>
      </c>
      <c r="N30" s="249"/>
      <c r="O30" s="229">
        <f t="shared" si="5"/>
        <v>7</v>
      </c>
      <c r="P30" s="250">
        <v>15</v>
      </c>
      <c r="Q30" s="249">
        <v>15</v>
      </c>
      <c r="R30" s="249"/>
      <c r="S30" s="242"/>
      <c r="T30" s="229">
        <f>'[7]Expository Writing'!G43</f>
        <v>30</v>
      </c>
      <c r="U30" s="243">
        <f>'[7]Expository Writing'!H43</f>
        <v>8</v>
      </c>
      <c r="V30" s="241"/>
      <c r="W30" s="229">
        <f t="shared" si="6"/>
        <v>8</v>
      </c>
      <c r="X30" s="229">
        <f t="shared" si="0"/>
        <v>68</v>
      </c>
      <c r="Y30" s="244">
        <f t="shared" si="1"/>
        <v>29</v>
      </c>
      <c r="Z30" s="244">
        <f t="shared" si="2"/>
        <v>17</v>
      </c>
      <c r="AA30" s="244">
        <f t="shared" si="3"/>
        <v>22</v>
      </c>
      <c r="AB30" s="244" t="str">
        <f t="shared" si="7"/>
        <v>Y</v>
      </c>
      <c r="AC30" s="244" t="str">
        <f t="shared" si="8"/>
        <v>Y</v>
      </c>
      <c r="AD30" s="244" t="str">
        <f t="shared" si="9"/>
        <v>Y</v>
      </c>
      <c r="AE30" s="280">
        <f t="shared" si="10"/>
        <v>57.999999999999993</v>
      </c>
      <c r="AF30" s="280">
        <f t="shared" si="11"/>
        <v>85</v>
      </c>
      <c r="AG30" s="280">
        <f t="shared" si="12"/>
        <v>73.333333333333329</v>
      </c>
    </row>
    <row r="31" spans="1:33" ht="15.75" x14ac:dyDescent="0.25">
      <c r="A31" s="247">
        <v>23</v>
      </c>
      <c r="B31" s="248" t="s">
        <v>238</v>
      </c>
      <c r="C31" s="166" t="str">
        <f>'[7]Expository Writing'!A44</f>
        <v>2023-IT-26</v>
      </c>
      <c r="D31" s="166" t="str">
        <f>'[7]Expository Writing'!B44</f>
        <v>Abdul Ahad</v>
      </c>
      <c r="E31" s="168">
        <f>'[7]Expository Writing'!D44</f>
        <v>0</v>
      </c>
      <c r="F31" s="168"/>
      <c r="G31" s="229">
        <f t="shared" si="4"/>
        <v>0</v>
      </c>
      <c r="H31" s="249">
        <v>0</v>
      </c>
      <c r="I31" s="249">
        <v>0</v>
      </c>
      <c r="J31" s="249"/>
      <c r="K31" s="249"/>
      <c r="L31" s="229">
        <f>'[7]Expository Writing'!E44</f>
        <v>0</v>
      </c>
      <c r="M31" s="168">
        <f>'[7]Expository Writing'!F44</f>
        <v>0</v>
      </c>
      <c r="N31" s="249"/>
      <c r="O31" s="229">
        <f t="shared" si="5"/>
        <v>0</v>
      </c>
      <c r="P31" s="250">
        <v>0</v>
      </c>
      <c r="Q31" s="249">
        <v>0</v>
      </c>
      <c r="R31" s="249"/>
      <c r="S31" s="242"/>
      <c r="T31" s="229">
        <f>'[7]Expository Writing'!G44</f>
        <v>0</v>
      </c>
      <c r="U31" s="243">
        <f>'[7]Expository Writing'!H44</f>
        <v>0</v>
      </c>
      <c r="V31" s="241"/>
      <c r="W31" s="229">
        <f t="shared" si="6"/>
        <v>0</v>
      </c>
      <c r="X31" s="229">
        <f t="shared" si="0"/>
        <v>0</v>
      </c>
      <c r="Y31" s="244">
        <f t="shared" si="1"/>
        <v>0</v>
      </c>
      <c r="Z31" s="244">
        <f t="shared" si="2"/>
        <v>0</v>
      </c>
      <c r="AA31" s="244">
        <f t="shared" si="3"/>
        <v>0</v>
      </c>
      <c r="AB31" s="244" t="str">
        <f t="shared" si="7"/>
        <v>N</v>
      </c>
      <c r="AC31" s="244" t="str">
        <f t="shared" si="8"/>
        <v>N</v>
      </c>
      <c r="AD31" s="244" t="str">
        <f t="shared" si="9"/>
        <v>N</v>
      </c>
      <c r="AE31" s="280">
        <f t="shared" si="10"/>
        <v>0</v>
      </c>
      <c r="AF31" s="280">
        <f t="shared" si="11"/>
        <v>0</v>
      </c>
      <c r="AG31" s="280">
        <f t="shared" si="12"/>
        <v>0</v>
      </c>
    </row>
    <row r="32" spans="1:33" ht="15.75" x14ac:dyDescent="0.25">
      <c r="A32" s="247">
        <v>24</v>
      </c>
      <c r="B32" s="248" t="s">
        <v>239</v>
      </c>
      <c r="C32" s="166" t="str">
        <f>'[7]Expository Writing'!A45</f>
        <v>2023-IT-28</v>
      </c>
      <c r="D32" s="166" t="str">
        <f>'[7]Expository Writing'!B45</f>
        <v>Ahmad Latif</v>
      </c>
      <c r="E32" s="168">
        <f>'[7]Expository Writing'!D45</f>
        <v>4</v>
      </c>
      <c r="F32" s="168"/>
      <c r="G32" s="229">
        <f t="shared" si="4"/>
        <v>4</v>
      </c>
      <c r="H32" s="249">
        <v>8</v>
      </c>
      <c r="I32" s="249">
        <v>12</v>
      </c>
      <c r="J32" s="249"/>
      <c r="K32" s="249"/>
      <c r="L32" s="229">
        <f>'[7]Expository Writing'!E45</f>
        <v>20</v>
      </c>
      <c r="M32" s="168">
        <f>'[7]Expository Writing'!F45</f>
        <v>4</v>
      </c>
      <c r="N32" s="249"/>
      <c r="O32" s="229">
        <f t="shared" si="5"/>
        <v>4</v>
      </c>
      <c r="P32" s="250">
        <v>10</v>
      </c>
      <c r="Q32" s="249">
        <v>10</v>
      </c>
      <c r="R32" s="249"/>
      <c r="S32" s="242"/>
      <c r="T32" s="229">
        <f>'[7]Expository Writing'!G45</f>
        <v>20</v>
      </c>
      <c r="U32" s="243">
        <f>'[7]Expository Writing'!H45</f>
        <v>6</v>
      </c>
      <c r="V32" s="241"/>
      <c r="W32" s="229">
        <f t="shared" si="6"/>
        <v>6</v>
      </c>
      <c r="X32" s="229">
        <f t="shared" si="0"/>
        <v>54</v>
      </c>
      <c r="Y32" s="244">
        <f t="shared" si="1"/>
        <v>26</v>
      </c>
      <c r="Z32" s="244">
        <f t="shared" si="2"/>
        <v>14</v>
      </c>
      <c r="AA32" s="244">
        <f t="shared" si="3"/>
        <v>14</v>
      </c>
      <c r="AB32" s="244" t="str">
        <f t="shared" si="7"/>
        <v>Y</v>
      </c>
      <c r="AC32" s="244" t="str">
        <f t="shared" si="8"/>
        <v>Y</v>
      </c>
      <c r="AD32" s="244" t="str">
        <f t="shared" si="9"/>
        <v>N</v>
      </c>
      <c r="AE32" s="280">
        <f t="shared" si="10"/>
        <v>52</v>
      </c>
      <c r="AF32" s="280">
        <f t="shared" si="11"/>
        <v>70</v>
      </c>
      <c r="AG32" s="280">
        <f t="shared" si="12"/>
        <v>46.666666666666664</v>
      </c>
    </row>
    <row r="33" spans="1:33" ht="15.75" x14ac:dyDescent="0.25">
      <c r="A33" s="245">
        <v>25</v>
      </c>
      <c r="B33" s="246" t="s">
        <v>240</v>
      </c>
      <c r="C33" s="166" t="str">
        <f>'[7]Expository Writing'!A46</f>
        <v>2023-IT-32</v>
      </c>
      <c r="D33" s="166" t="str">
        <f>'[7]Expository Writing'!B46</f>
        <v>Muhammad Faisal</v>
      </c>
      <c r="E33" s="168">
        <f>'[7]Expository Writing'!D46</f>
        <v>4</v>
      </c>
      <c r="F33" s="168"/>
      <c r="G33" s="229">
        <f t="shared" si="4"/>
        <v>4</v>
      </c>
      <c r="H33" s="249">
        <v>4</v>
      </c>
      <c r="I33" s="249">
        <v>4</v>
      </c>
      <c r="J33" s="249"/>
      <c r="K33" s="249"/>
      <c r="L33" s="229">
        <f>'[7]Expository Writing'!E46</f>
        <v>8</v>
      </c>
      <c r="M33" s="168">
        <f>'[7]Expository Writing'!F46</f>
        <v>5</v>
      </c>
      <c r="N33" s="249"/>
      <c r="O33" s="229">
        <f t="shared" si="5"/>
        <v>5</v>
      </c>
      <c r="P33" s="250">
        <v>10</v>
      </c>
      <c r="Q33" s="249">
        <v>15</v>
      </c>
      <c r="R33" s="249"/>
      <c r="S33" s="242"/>
      <c r="T33" s="229">
        <f>'[7]Expository Writing'!G46</f>
        <v>25</v>
      </c>
      <c r="U33" s="243">
        <f>'[7]Expository Writing'!H46</f>
        <v>5</v>
      </c>
      <c r="V33" s="241"/>
      <c r="W33" s="229">
        <f t="shared" si="6"/>
        <v>5</v>
      </c>
      <c r="X33" s="229">
        <f t="shared" si="0"/>
        <v>47</v>
      </c>
      <c r="Y33" s="244">
        <f t="shared" si="1"/>
        <v>23</v>
      </c>
      <c r="Z33" s="244">
        <f t="shared" si="2"/>
        <v>9</v>
      </c>
      <c r="AA33" s="244">
        <f t="shared" si="3"/>
        <v>15</v>
      </c>
      <c r="AB33" s="244" t="str">
        <f t="shared" si="7"/>
        <v>N</v>
      </c>
      <c r="AC33" s="244" t="str">
        <f t="shared" si="8"/>
        <v>N</v>
      </c>
      <c r="AD33" s="244" t="str">
        <f t="shared" si="9"/>
        <v>Y</v>
      </c>
      <c r="AE33" s="280">
        <f t="shared" si="10"/>
        <v>46</v>
      </c>
      <c r="AF33" s="280">
        <f t="shared" si="11"/>
        <v>45</v>
      </c>
      <c r="AG33" s="280">
        <f t="shared" si="12"/>
        <v>50</v>
      </c>
    </row>
    <row r="34" spans="1:33" ht="15.75" x14ac:dyDescent="0.25">
      <c r="A34" s="247">
        <v>27</v>
      </c>
      <c r="B34" s="248" t="s">
        <v>241</v>
      </c>
      <c r="C34" s="166" t="str">
        <f>'[7]Expository Writing'!A47</f>
        <v>2023-IT-34</v>
      </c>
      <c r="D34" s="166" t="str">
        <f>'[7]Expository Writing'!B47</f>
        <v>Jamshaid Abbas</v>
      </c>
      <c r="E34" s="168">
        <f>'[7]Expository Writing'!D47</f>
        <v>4</v>
      </c>
      <c r="F34" s="168"/>
      <c r="G34" s="229">
        <f t="shared" si="4"/>
        <v>4</v>
      </c>
      <c r="H34" s="249">
        <v>3</v>
      </c>
      <c r="I34" s="249">
        <v>4</v>
      </c>
      <c r="J34" s="249"/>
      <c r="K34" s="249"/>
      <c r="L34" s="229">
        <f>'[7]Expository Writing'!E47</f>
        <v>7</v>
      </c>
      <c r="M34" s="168">
        <f>'[7]Expository Writing'!F47</f>
        <v>5</v>
      </c>
      <c r="N34" s="249"/>
      <c r="O34" s="229">
        <f t="shared" si="5"/>
        <v>5</v>
      </c>
      <c r="P34" s="250">
        <v>10</v>
      </c>
      <c r="Q34" s="249">
        <v>15</v>
      </c>
      <c r="R34" s="249"/>
      <c r="S34" s="242"/>
      <c r="T34" s="229">
        <f>'[7]Expository Writing'!G47</f>
        <v>25</v>
      </c>
      <c r="U34" s="243">
        <f>'[7]Expository Writing'!H47</f>
        <v>7</v>
      </c>
      <c r="V34" s="241"/>
      <c r="W34" s="229">
        <f t="shared" si="6"/>
        <v>7</v>
      </c>
      <c r="X34" s="229">
        <f t="shared" si="0"/>
        <v>48</v>
      </c>
      <c r="Y34" s="244">
        <f t="shared" si="1"/>
        <v>23</v>
      </c>
      <c r="Z34" s="244">
        <f t="shared" si="2"/>
        <v>10</v>
      </c>
      <c r="AA34" s="244">
        <f t="shared" si="3"/>
        <v>15</v>
      </c>
      <c r="AB34" s="244" t="str">
        <f t="shared" si="7"/>
        <v>N</v>
      </c>
      <c r="AC34" s="244" t="str">
        <f t="shared" si="8"/>
        <v>Y</v>
      </c>
      <c r="AD34" s="244" t="str">
        <f t="shared" si="9"/>
        <v>Y</v>
      </c>
      <c r="AE34" s="280">
        <f t="shared" si="10"/>
        <v>46</v>
      </c>
      <c r="AF34" s="280">
        <f t="shared" si="11"/>
        <v>50</v>
      </c>
      <c r="AG34" s="280">
        <f t="shared" si="12"/>
        <v>50</v>
      </c>
    </row>
    <row r="35" spans="1:33" ht="15.75" x14ac:dyDescent="0.25">
      <c r="A35" s="245">
        <v>28</v>
      </c>
      <c r="B35" s="246" t="s">
        <v>242</v>
      </c>
      <c r="C35" s="166" t="str">
        <f>'[7]Expository Writing'!A48</f>
        <v>2023-IT-38</v>
      </c>
      <c r="D35" s="166" t="str">
        <f>'[7]Expository Writing'!B48</f>
        <v>Sherzaman Bukhari</v>
      </c>
      <c r="E35" s="168">
        <f>'[7]Expository Writing'!D48</f>
        <v>4</v>
      </c>
      <c r="F35" s="168"/>
      <c r="G35" s="229">
        <f t="shared" si="4"/>
        <v>4</v>
      </c>
      <c r="H35" s="249">
        <v>2</v>
      </c>
      <c r="I35" s="249">
        <v>4</v>
      </c>
      <c r="J35" s="249"/>
      <c r="K35" s="249"/>
      <c r="L35" s="229">
        <f>'[7]Expository Writing'!E48</f>
        <v>6</v>
      </c>
      <c r="M35" s="168">
        <f>'[7]Expository Writing'!F48</f>
        <v>5</v>
      </c>
      <c r="N35" s="249"/>
      <c r="O35" s="229">
        <f t="shared" si="5"/>
        <v>5</v>
      </c>
      <c r="P35" s="250">
        <v>3</v>
      </c>
      <c r="Q35" s="249">
        <v>10</v>
      </c>
      <c r="R35" s="249"/>
      <c r="S35" s="242"/>
      <c r="T35" s="229">
        <f>'[7]Expository Writing'!G48</f>
        <v>13</v>
      </c>
      <c r="U35" s="243">
        <f>'[7]Expository Writing'!H48</f>
        <v>6</v>
      </c>
      <c r="V35" s="241"/>
      <c r="W35" s="229">
        <f t="shared" si="6"/>
        <v>6</v>
      </c>
      <c r="X35" s="229">
        <f t="shared" si="0"/>
        <v>34</v>
      </c>
      <c r="Y35" s="244">
        <f t="shared" si="1"/>
        <v>18</v>
      </c>
      <c r="Z35" s="244">
        <f t="shared" si="2"/>
        <v>8</v>
      </c>
      <c r="AA35" s="244">
        <f t="shared" si="3"/>
        <v>8</v>
      </c>
      <c r="AB35" s="244" t="str">
        <f t="shared" si="7"/>
        <v>N</v>
      </c>
      <c r="AC35" s="244" t="str">
        <f t="shared" si="8"/>
        <v>N</v>
      </c>
      <c r="AD35" s="244" t="str">
        <f t="shared" si="9"/>
        <v>N</v>
      </c>
      <c r="AE35" s="280">
        <f t="shared" si="10"/>
        <v>36</v>
      </c>
      <c r="AF35" s="280">
        <f t="shared" si="11"/>
        <v>40</v>
      </c>
      <c r="AG35" s="280">
        <f t="shared" si="12"/>
        <v>26.666666666666668</v>
      </c>
    </row>
    <row r="36" spans="1:33" ht="15.75" x14ac:dyDescent="0.25">
      <c r="A36" s="245"/>
      <c r="B36" s="246"/>
      <c r="C36" s="166" t="str">
        <f>'[7]Expository Writing'!A49</f>
        <v>2023-IT-40</v>
      </c>
      <c r="D36" s="166" t="str">
        <f>'[7]Expository Writing'!B49</f>
        <v>Ahmad Raza Shareef</v>
      </c>
      <c r="E36" s="168">
        <f>'[7]Expository Writing'!D49</f>
        <v>4</v>
      </c>
      <c r="F36" s="168"/>
      <c r="G36" s="229">
        <f t="shared" si="4"/>
        <v>4</v>
      </c>
      <c r="H36" s="249">
        <v>2</v>
      </c>
      <c r="I36" s="249">
        <v>6</v>
      </c>
      <c r="J36" s="249"/>
      <c r="K36" s="249"/>
      <c r="L36" s="229">
        <f>'[7]Expository Writing'!E49</f>
        <v>8</v>
      </c>
      <c r="M36" s="168">
        <f>'[7]Expository Writing'!F49</f>
        <v>5</v>
      </c>
      <c r="N36" s="249"/>
      <c r="O36" s="229">
        <f t="shared" si="5"/>
        <v>5</v>
      </c>
      <c r="P36" s="250">
        <v>10</v>
      </c>
      <c r="Q36" s="249">
        <v>11</v>
      </c>
      <c r="R36" s="249"/>
      <c r="S36" s="242"/>
      <c r="T36" s="229">
        <f>'[7]Expository Writing'!G49</f>
        <v>21</v>
      </c>
      <c r="U36" s="243">
        <f>'[7]Expository Writing'!H49</f>
        <v>5</v>
      </c>
      <c r="V36" s="241"/>
      <c r="W36" s="229">
        <f t="shared" si="6"/>
        <v>5</v>
      </c>
      <c r="X36" s="229">
        <f t="shared" si="0"/>
        <v>43</v>
      </c>
      <c r="Y36" s="244">
        <f t="shared" si="1"/>
        <v>21</v>
      </c>
      <c r="Z36" s="244">
        <f t="shared" si="2"/>
        <v>7</v>
      </c>
      <c r="AA36" s="244">
        <f t="shared" si="3"/>
        <v>15</v>
      </c>
      <c r="AB36" s="244" t="str">
        <f t="shared" si="7"/>
        <v>N</v>
      </c>
      <c r="AC36" s="244" t="str">
        <f t="shared" si="8"/>
        <v>N</v>
      </c>
      <c r="AD36" s="244" t="str">
        <f t="shared" si="9"/>
        <v>Y</v>
      </c>
      <c r="AE36" s="280">
        <f t="shared" si="10"/>
        <v>42</v>
      </c>
      <c r="AF36" s="280">
        <f t="shared" si="11"/>
        <v>35</v>
      </c>
      <c r="AG36" s="280">
        <f t="shared" si="12"/>
        <v>50</v>
      </c>
    </row>
    <row r="37" spans="1:33" ht="15.75" x14ac:dyDescent="0.25">
      <c r="A37" s="245"/>
      <c r="B37" s="246"/>
      <c r="C37" s="166" t="str">
        <f>'[7]Expository Writing'!A50</f>
        <v>2023-IT-41</v>
      </c>
      <c r="D37" s="166" t="str">
        <f>'[7]Expository Writing'!B50</f>
        <v>Anas Noor</v>
      </c>
      <c r="E37" s="168">
        <f>'[7]Expository Writing'!D50</f>
        <v>0</v>
      </c>
      <c r="F37" s="168"/>
      <c r="G37" s="229">
        <f t="shared" si="4"/>
        <v>0</v>
      </c>
      <c r="H37" s="249">
        <v>0</v>
      </c>
      <c r="I37" s="249">
        <v>0</v>
      </c>
      <c r="J37" s="249"/>
      <c r="K37" s="249"/>
      <c r="L37" s="229">
        <f>'[7]Expository Writing'!E50</f>
        <v>0</v>
      </c>
      <c r="M37" s="168">
        <f>'[7]Expository Writing'!F50</f>
        <v>0</v>
      </c>
      <c r="N37" s="249"/>
      <c r="O37" s="229">
        <f t="shared" si="5"/>
        <v>0</v>
      </c>
      <c r="P37" s="250">
        <v>0</v>
      </c>
      <c r="Q37" s="249">
        <v>0</v>
      </c>
      <c r="R37" s="249"/>
      <c r="S37" s="242"/>
      <c r="T37" s="229">
        <f>'[7]Expository Writing'!G50</f>
        <v>0</v>
      </c>
      <c r="U37" s="243">
        <f>'[7]Expository Writing'!H50</f>
        <v>0</v>
      </c>
      <c r="V37" s="241"/>
      <c r="W37" s="229">
        <f t="shared" si="6"/>
        <v>0</v>
      </c>
      <c r="X37" s="229">
        <f t="shared" si="0"/>
        <v>0</v>
      </c>
      <c r="Y37" s="244">
        <f t="shared" si="1"/>
        <v>0</v>
      </c>
      <c r="Z37" s="244">
        <f t="shared" si="2"/>
        <v>0</v>
      </c>
      <c r="AA37" s="244">
        <f t="shared" si="3"/>
        <v>0</v>
      </c>
      <c r="AB37" s="244" t="str">
        <f t="shared" si="7"/>
        <v>N</v>
      </c>
      <c r="AC37" s="244" t="str">
        <f t="shared" si="8"/>
        <v>N</v>
      </c>
      <c r="AD37" s="244" t="str">
        <f t="shared" si="9"/>
        <v>N</v>
      </c>
      <c r="AE37" s="280">
        <f t="shared" si="10"/>
        <v>0</v>
      </c>
      <c r="AF37" s="280">
        <f t="shared" si="11"/>
        <v>0</v>
      </c>
      <c r="AG37" s="280">
        <f t="shared" si="12"/>
        <v>0</v>
      </c>
    </row>
    <row r="38" spans="1:33" ht="15.75" x14ac:dyDescent="0.25">
      <c r="A38" s="247"/>
      <c r="B38" s="248"/>
      <c r="C38" s="166" t="str">
        <f>'[7]Expository Writing'!A51</f>
        <v>2023-IT-42</v>
      </c>
      <c r="D38" s="166" t="str">
        <f>'[7]Expository Writing'!B51</f>
        <v>Muhammad Moosa Bhatti</v>
      </c>
      <c r="E38" s="168">
        <f>'[7]Expository Writing'!D51</f>
        <v>9</v>
      </c>
      <c r="F38" s="168"/>
      <c r="G38" s="229">
        <f t="shared" si="4"/>
        <v>9</v>
      </c>
      <c r="H38" s="249">
        <v>2</v>
      </c>
      <c r="I38" s="249">
        <v>6</v>
      </c>
      <c r="J38" s="249"/>
      <c r="K38" s="249"/>
      <c r="L38" s="229">
        <f>'[7]Expository Writing'!E51</f>
        <v>8</v>
      </c>
      <c r="M38" s="168">
        <f>'[7]Expository Writing'!F51</f>
        <v>6</v>
      </c>
      <c r="N38" s="249"/>
      <c r="O38" s="229">
        <f t="shared" si="5"/>
        <v>6</v>
      </c>
      <c r="P38" s="250">
        <v>9</v>
      </c>
      <c r="Q38" s="249">
        <v>20</v>
      </c>
      <c r="R38" s="249"/>
      <c r="S38" s="242"/>
      <c r="T38" s="229">
        <f>'[7]Expository Writing'!G51</f>
        <v>29</v>
      </c>
      <c r="U38" s="243">
        <f>'[7]Expository Writing'!H51</f>
        <v>8</v>
      </c>
      <c r="V38" s="241"/>
      <c r="W38" s="229">
        <f t="shared" si="6"/>
        <v>8</v>
      </c>
      <c r="X38" s="229">
        <f t="shared" si="0"/>
        <v>60</v>
      </c>
      <c r="Y38" s="244">
        <f t="shared" si="1"/>
        <v>35</v>
      </c>
      <c r="Z38" s="244">
        <f t="shared" si="2"/>
        <v>10</v>
      </c>
      <c r="AA38" s="244">
        <f t="shared" si="3"/>
        <v>15</v>
      </c>
      <c r="AB38" s="244" t="str">
        <f t="shared" si="7"/>
        <v>Y</v>
      </c>
      <c r="AC38" s="244" t="str">
        <f t="shared" si="8"/>
        <v>Y</v>
      </c>
      <c r="AD38" s="244" t="str">
        <f t="shared" si="9"/>
        <v>Y</v>
      </c>
      <c r="AE38" s="280">
        <f t="shared" si="10"/>
        <v>70</v>
      </c>
      <c r="AF38" s="280">
        <f t="shared" si="11"/>
        <v>50</v>
      </c>
      <c r="AG38" s="280">
        <f t="shared" si="12"/>
        <v>50</v>
      </c>
    </row>
    <row r="39" spans="1:33" ht="15.75" x14ac:dyDescent="0.25">
      <c r="A39" s="245"/>
      <c r="B39" s="246"/>
      <c r="C39" s="166" t="str">
        <f>'[7]Expository Writing'!A52</f>
        <v>2023-IT-44</v>
      </c>
      <c r="D39" s="166" t="str">
        <f>'[7]Expository Writing'!B52</f>
        <v>Muhammad Nouman Aslam</v>
      </c>
      <c r="E39" s="168">
        <f>'[7]Expository Writing'!D52</f>
        <v>7</v>
      </c>
      <c r="F39" s="168"/>
      <c r="G39" s="229">
        <f t="shared" si="4"/>
        <v>7</v>
      </c>
      <c r="H39" s="249">
        <v>3</v>
      </c>
      <c r="I39" s="249">
        <v>6</v>
      </c>
      <c r="J39" s="249"/>
      <c r="K39" s="249"/>
      <c r="L39" s="229">
        <f>'[7]Expository Writing'!E52</f>
        <v>9</v>
      </c>
      <c r="M39" s="168">
        <f>'[7]Expository Writing'!F52</f>
        <v>4</v>
      </c>
      <c r="N39" s="249"/>
      <c r="O39" s="229">
        <f t="shared" si="5"/>
        <v>4</v>
      </c>
      <c r="P39" s="250">
        <v>10</v>
      </c>
      <c r="Q39" s="249">
        <v>10</v>
      </c>
      <c r="R39" s="249"/>
      <c r="S39" s="242"/>
      <c r="T39" s="229">
        <f>'[7]Expository Writing'!G52</f>
        <v>20</v>
      </c>
      <c r="U39" s="243">
        <f>'[7]Expository Writing'!H52</f>
        <v>7</v>
      </c>
      <c r="V39" s="241"/>
      <c r="W39" s="229">
        <f t="shared" si="6"/>
        <v>7</v>
      </c>
      <c r="X39" s="229">
        <f t="shared" si="0"/>
        <v>47</v>
      </c>
      <c r="Y39" s="244">
        <f t="shared" si="1"/>
        <v>23</v>
      </c>
      <c r="Z39" s="244">
        <f t="shared" si="2"/>
        <v>10</v>
      </c>
      <c r="AA39" s="244">
        <f t="shared" si="3"/>
        <v>14</v>
      </c>
      <c r="AB39" s="244" t="str">
        <f t="shared" si="7"/>
        <v>N</v>
      </c>
      <c r="AC39" s="244" t="str">
        <f t="shared" si="8"/>
        <v>Y</v>
      </c>
      <c r="AD39" s="244" t="str">
        <f t="shared" si="9"/>
        <v>N</v>
      </c>
      <c r="AE39" s="280">
        <f t="shared" si="10"/>
        <v>46</v>
      </c>
      <c r="AF39" s="280">
        <f t="shared" si="11"/>
        <v>50</v>
      </c>
      <c r="AG39" s="280">
        <f t="shared" si="12"/>
        <v>46.666666666666664</v>
      </c>
    </row>
    <row r="40" spans="1:33" ht="15.75" x14ac:dyDescent="0.25">
      <c r="A40" s="245"/>
      <c r="B40" s="246"/>
      <c r="C40" s="166" t="str">
        <f>'[7]Expository Writing'!A53</f>
        <v>2023-IT-46</v>
      </c>
      <c r="D40" s="166" t="str">
        <f>'[7]Expository Writing'!B53</f>
        <v>Muhammad Haseeb Anjum</v>
      </c>
      <c r="E40" s="168">
        <f>'[7]Expository Writing'!D53</f>
        <v>8</v>
      </c>
      <c r="F40" s="168"/>
      <c r="G40" s="229">
        <f t="shared" si="4"/>
        <v>8</v>
      </c>
      <c r="H40" s="249">
        <v>6</v>
      </c>
      <c r="I40" s="249">
        <v>8</v>
      </c>
      <c r="J40" s="249"/>
      <c r="K40" s="249"/>
      <c r="L40" s="229">
        <f>'[7]Expository Writing'!E53</f>
        <v>14</v>
      </c>
      <c r="M40" s="168">
        <f>'[7]Expository Writing'!F53</f>
        <v>5</v>
      </c>
      <c r="N40" s="249"/>
      <c r="O40" s="229">
        <f t="shared" si="5"/>
        <v>5</v>
      </c>
      <c r="P40" s="250">
        <v>7</v>
      </c>
      <c r="Q40" s="249">
        <v>20</v>
      </c>
      <c r="R40" s="249"/>
      <c r="S40" s="242"/>
      <c r="T40" s="229">
        <f>'[7]Expository Writing'!G53</f>
        <v>27</v>
      </c>
      <c r="U40" s="243">
        <f>'[7]Expository Writing'!H53</f>
        <v>7</v>
      </c>
      <c r="V40" s="241"/>
      <c r="W40" s="229">
        <f t="shared" si="6"/>
        <v>7</v>
      </c>
      <c r="X40" s="229">
        <f t="shared" si="0"/>
        <v>61</v>
      </c>
      <c r="Y40" s="244">
        <f t="shared" si="1"/>
        <v>36</v>
      </c>
      <c r="Z40" s="244">
        <f t="shared" si="2"/>
        <v>13</v>
      </c>
      <c r="AA40" s="244">
        <f t="shared" si="3"/>
        <v>12</v>
      </c>
      <c r="AB40" s="244" t="str">
        <f t="shared" si="7"/>
        <v>Y</v>
      </c>
      <c r="AC40" s="244" t="str">
        <f t="shared" si="8"/>
        <v>Y</v>
      </c>
      <c r="AD40" s="244" t="str">
        <f t="shared" si="9"/>
        <v>N</v>
      </c>
      <c r="AE40" s="280">
        <f t="shared" si="10"/>
        <v>72</v>
      </c>
      <c r="AF40" s="280">
        <f t="shared" si="11"/>
        <v>65</v>
      </c>
      <c r="AG40" s="280">
        <f t="shared" si="12"/>
        <v>40</v>
      </c>
    </row>
    <row r="41" spans="1:33" ht="15.75" x14ac:dyDescent="0.25">
      <c r="A41" s="245"/>
      <c r="B41" s="246"/>
      <c r="C41" s="166" t="str">
        <f>'[7]Expository Writing'!A54</f>
        <v>2023-IT-48</v>
      </c>
      <c r="D41" s="166" t="str">
        <f>'[7]Expository Writing'!B54</f>
        <v>Muhammad Arslan Waheed</v>
      </c>
      <c r="E41" s="168">
        <f>'[7]Expository Writing'!D54</f>
        <v>5</v>
      </c>
      <c r="F41" s="168"/>
      <c r="G41" s="229">
        <f t="shared" si="4"/>
        <v>5</v>
      </c>
      <c r="H41" s="249">
        <v>6</v>
      </c>
      <c r="I41" s="249">
        <v>7</v>
      </c>
      <c r="J41" s="249"/>
      <c r="K41" s="249"/>
      <c r="L41" s="229">
        <f>'[7]Expository Writing'!E54</f>
        <v>13</v>
      </c>
      <c r="M41" s="168">
        <f>'[7]Expository Writing'!F54</f>
        <v>6</v>
      </c>
      <c r="N41" s="249"/>
      <c r="O41" s="229">
        <f t="shared" si="5"/>
        <v>6</v>
      </c>
      <c r="P41" s="250">
        <v>7</v>
      </c>
      <c r="Q41" s="249">
        <v>20</v>
      </c>
      <c r="R41" s="249"/>
      <c r="S41" s="242"/>
      <c r="T41" s="229">
        <f>'[7]Expository Writing'!G54</f>
        <v>27</v>
      </c>
      <c r="U41" s="243">
        <f>'[7]Expository Writing'!H54</f>
        <v>7</v>
      </c>
      <c r="V41" s="241"/>
      <c r="W41" s="229">
        <f t="shared" si="6"/>
        <v>7</v>
      </c>
      <c r="X41" s="229">
        <f t="shared" si="0"/>
        <v>58</v>
      </c>
      <c r="Y41" s="244">
        <f t="shared" si="1"/>
        <v>32</v>
      </c>
      <c r="Z41" s="244">
        <f t="shared" si="2"/>
        <v>13</v>
      </c>
      <c r="AA41" s="244">
        <f t="shared" si="3"/>
        <v>13</v>
      </c>
      <c r="AB41" s="244" t="str">
        <f t="shared" si="7"/>
        <v>Y</v>
      </c>
      <c r="AC41" s="244" t="str">
        <f t="shared" si="8"/>
        <v>Y</v>
      </c>
      <c r="AD41" s="244" t="str">
        <f t="shared" si="9"/>
        <v>N</v>
      </c>
      <c r="AE41" s="280">
        <f t="shared" si="10"/>
        <v>64</v>
      </c>
      <c r="AF41" s="280">
        <f t="shared" si="11"/>
        <v>65</v>
      </c>
      <c r="AG41" s="280">
        <f t="shared" si="12"/>
        <v>43.333333333333336</v>
      </c>
    </row>
    <row r="42" spans="1:33" ht="15.75" x14ac:dyDescent="0.25">
      <c r="A42" s="245"/>
      <c r="B42" s="246"/>
      <c r="C42" s="166" t="str">
        <f>'[7]Expository Writing'!A55</f>
        <v>2023-IT-50</v>
      </c>
      <c r="D42" s="166" t="str">
        <f>'[7]Expository Writing'!B55</f>
        <v>Hafiz Muhammad Hasnain Saif</v>
      </c>
      <c r="E42" s="168">
        <f>'[7]Expository Writing'!D55</f>
        <v>6</v>
      </c>
      <c r="F42" s="168"/>
      <c r="G42" s="229">
        <f t="shared" si="4"/>
        <v>6</v>
      </c>
      <c r="H42" s="249">
        <v>4</v>
      </c>
      <c r="I42" s="249">
        <v>6</v>
      </c>
      <c r="J42" s="249"/>
      <c r="K42" s="249"/>
      <c r="L42" s="229">
        <f>'[7]Expository Writing'!E55</f>
        <v>10</v>
      </c>
      <c r="M42" s="168">
        <f>'[7]Expository Writing'!F55</f>
        <v>5</v>
      </c>
      <c r="N42" s="249"/>
      <c r="O42" s="229">
        <f t="shared" si="5"/>
        <v>5</v>
      </c>
      <c r="P42" s="250">
        <v>8</v>
      </c>
      <c r="Q42" s="249">
        <v>20</v>
      </c>
      <c r="R42" s="249"/>
      <c r="S42" s="242"/>
      <c r="T42" s="229">
        <f>'[7]Expository Writing'!G55</f>
        <v>28</v>
      </c>
      <c r="U42" s="243">
        <f>'[7]Expository Writing'!H55</f>
        <v>8</v>
      </c>
      <c r="V42" s="241"/>
      <c r="W42" s="229">
        <f t="shared" si="6"/>
        <v>8</v>
      </c>
      <c r="X42" s="229">
        <f t="shared" si="0"/>
        <v>57</v>
      </c>
      <c r="Y42" s="244">
        <f t="shared" si="1"/>
        <v>32</v>
      </c>
      <c r="Z42" s="244">
        <f t="shared" si="2"/>
        <v>12</v>
      </c>
      <c r="AA42" s="244">
        <f t="shared" si="3"/>
        <v>13</v>
      </c>
      <c r="AB42" s="244" t="str">
        <f t="shared" si="7"/>
        <v>Y</v>
      </c>
      <c r="AC42" s="244" t="str">
        <f t="shared" si="8"/>
        <v>Y</v>
      </c>
      <c r="AD42" s="244" t="str">
        <f t="shared" si="9"/>
        <v>N</v>
      </c>
      <c r="AE42" s="280">
        <f t="shared" si="10"/>
        <v>64</v>
      </c>
      <c r="AF42" s="280">
        <f t="shared" si="11"/>
        <v>60</v>
      </c>
      <c r="AG42" s="280">
        <f t="shared" si="12"/>
        <v>43.333333333333336</v>
      </c>
    </row>
    <row r="43" spans="1:33" ht="15.75" x14ac:dyDescent="0.25">
      <c r="A43" s="245"/>
      <c r="B43" s="246"/>
      <c r="C43" s="166" t="str">
        <f>'[7]Expository Writing'!A56</f>
        <v>2023-IT-54</v>
      </c>
      <c r="D43" s="166" t="str">
        <f>'[7]Expository Writing'!B56</f>
        <v>Muhammad Zeeshan</v>
      </c>
      <c r="E43" s="168">
        <f>'[7]Expository Writing'!D56</f>
        <v>8</v>
      </c>
      <c r="F43" s="168"/>
      <c r="G43" s="229">
        <f t="shared" si="4"/>
        <v>8</v>
      </c>
      <c r="H43" s="249">
        <v>8</v>
      </c>
      <c r="I43" s="249">
        <v>12</v>
      </c>
      <c r="J43" s="249"/>
      <c r="K43" s="249"/>
      <c r="L43" s="229">
        <f>'[7]Expository Writing'!E56</f>
        <v>20</v>
      </c>
      <c r="M43" s="168">
        <f>'[7]Expository Writing'!F56</f>
        <v>6</v>
      </c>
      <c r="N43" s="249"/>
      <c r="O43" s="229">
        <f t="shared" si="5"/>
        <v>6</v>
      </c>
      <c r="P43" s="250">
        <v>10</v>
      </c>
      <c r="Q43" s="249">
        <v>19</v>
      </c>
      <c r="R43" s="249"/>
      <c r="S43" s="242"/>
      <c r="T43" s="229">
        <f>'[7]Expository Writing'!G56</f>
        <v>29</v>
      </c>
      <c r="U43" s="243">
        <f>'[7]Expository Writing'!H56</f>
        <v>8</v>
      </c>
      <c r="V43" s="241"/>
      <c r="W43" s="229">
        <f t="shared" si="6"/>
        <v>8</v>
      </c>
      <c r="X43" s="229">
        <f t="shared" si="0"/>
        <v>71</v>
      </c>
      <c r="Y43" s="244">
        <f t="shared" si="1"/>
        <v>39</v>
      </c>
      <c r="Z43" s="244">
        <f t="shared" si="2"/>
        <v>16</v>
      </c>
      <c r="AA43" s="244">
        <f t="shared" si="3"/>
        <v>16</v>
      </c>
      <c r="AB43" s="244" t="str">
        <f t="shared" si="7"/>
        <v>Y</v>
      </c>
      <c r="AC43" s="244" t="str">
        <f t="shared" si="8"/>
        <v>Y</v>
      </c>
      <c r="AD43" s="244" t="str">
        <f t="shared" si="9"/>
        <v>Y</v>
      </c>
      <c r="AE43" s="280">
        <f t="shared" si="10"/>
        <v>78</v>
      </c>
      <c r="AF43" s="280">
        <f t="shared" si="11"/>
        <v>80</v>
      </c>
      <c r="AG43" s="280">
        <f t="shared" si="12"/>
        <v>53.333333333333336</v>
      </c>
    </row>
    <row r="44" spans="1:33" ht="15.75" x14ac:dyDescent="0.25">
      <c r="A44" s="245"/>
      <c r="B44" s="246"/>
      <c r="C44" s="166" t="str">
        <f>'[7]Expository Writing'!A57</f>
        <v>2023-IT-56</v>
      </c>
      <c r="D44" s="166" t="str">
        <f>'[7]Expository Writing'!B57</f>
        <v>Muhammad Adeel</v>
      </c>
      <c r="E44" s="168">
        <f>'[7]Expository Writing'!D57</f>
        <v>2</v>
      </c>
      <c r="F44" s="168"/>
      <c r="G44" s="229">
        <f t="shared" si="4"/>
        <v>2</v>
      </c>
      <c r="H44" s="249">
        <v>4</v>
      </c>
      <c r="I44" s="249">
        <v>8</v>
      </c>
      <c r="J44" s="249"/>
      <c r="K44" s="249"/>
      <c r="L44" s="229">
        <f>'[7]Expository Writing'!E57</f>
        <v>12</v>
      </c>
      <c r="M44" s="168">
        <f>'[7]Expository Writing'!F57</f>
        <v>6</v>
      </c>
      <c r="N44" s="249"/>
      <c r="O44" s="229">
        <f t="shared" si="5"/>
        <v>6</v>
      </c>
      <c r="P44" s="250">
        <v>10</v>
      </c>
      <c r="Q44" s="249">
        <v>16</v>
      </c>
      <c r="R44" s="249"/>
      <c r="S44" s="242"/>
      <c r="T44" s="229">
        <f>'[7]Expository Writing'!G57</f>
        <v>26</v>
      </c>
      <c r="U44" s="243">
        <f>'[7]Expository Writing'!H57</f>
        <v>7</v>
      </c>
      <c r="V44" s="241"/>
      <c r="W44" s="229">
        <f t="shared" si="6"/>
        <v>7</v>
      </c>
      <c r="X44" s="229">
        <f t="shared" si="0"/>
        <v>53</v>
      </c>
      <c r="Y44" s="244">
        <f t="shared" si="1"/>
        <v>26</v>
      </c>
      <c r="Z44" s="244">
        <f t="shared" si="2"/>
        <v>11</v>
      </c>
      <c r="AA44" s="244">
        <f t="shared" si="3"/>
        <v>16</v>
      </c>
      <c r="AB44" s="244" t="str">
        <f t="shared" si="7"/>
        <v>Y</v>
      </c>
      <c r="AC44" s="244" t="str">
        <f t="shared" si="8"/>
        <v>Y</v>
      </c>
      <c r="AD44" s="244" t="str">
        <f t="shared" si="9"/>
        <v>Y</v>
      </c>
      <c r="AE44" s="280">
        <f t="shared" si="10"/>
        <v>52</v>
      </c>
      <c r="AF44" s="280">
        <f t="shared" si="11"/>
        <v>55.000000000000007</v>
      </c>
      <c r="AG44" s="280">
        <f t="shared" si="12"/>
        <v>53.333333333333336</v>
      </c>
    </row>
    <row r="45" spans="1:33" ht="15.75" x14ac:dyDescent="0.25">
      <c r="A45" s="245"/>
      <c r="B45" s="246"/>
      <c r="C45" s="166" t="str">
        <f>'[7]Expository Writing'!A58</f>
        <v>2023-IT-60</v>
      </c>
      <c r="D45" s="166" t="str">
        <f>'[7]Expository Writing'!B58</f>
        <v>Mughees Ahmad</v>
      </c>
      <c r="E45" s="168">
        <f>'[7]Expository Writing'!D58</f>
        <v>4</v>
      </c>
      <c r="F45" s="168"/>
      <c r="G45" s="229">
        <f t="shared" si="4"/>
        <v>4</v>
      </c>
      <c r="H45" s="249">
        <v>4</v>
      </c>
      <c r="I45" s="249">
        <v>6</v>
      </c>
      <c r="J45" s="249"/>
      <c r="K45" s="249"/>
      <c r="L45" s="229">
        <f>'[7]Expository Writing'!E58</f>
        <v>10</v>
      </c>
      <c r="M45" s="168">
        <f>'[7]Expository Writing'!F58</f>
        <v>6</v>
      </c>
      <c r="N45" s="249"/>
      <c r="O45" s="229">
        <f t="shared" si="5"/>
        <v>6</v>
      </c>
      <c r="P45" s="250">
        <v>6</v>
      </c>
      <c r="Q45" s="249">
        <v>18</v>
      </c>
      <c r="R45" s="249"/>
      <c r="S45" s="242"/>
      <c r="T45" s="229">
        <f>'[7]Expository Writing'!G58</f>
        <v>24</v>
      </c>
      <c r="U45" s="243">
        <f>'[7]Expository Writing'!H58</f>
        <v>6</v>
      </c>
      <c r="V45" s="241"/>
      <c r="W45" s="229">
        <f t="shared" si="6"/>
        <v>6</v>
      </c>
      <c r="X45" s="229">
        <f t="shared" si="0"/>
        <v>50</v>
      </c>
      <c r="Y45" s="244">
        <f t="shared" si="1"/>
        <v>28</v>
      </c>
      <c r="Z45" s="244">
        <f t="shared" si="2"/>
        <v>10</v>
      </c>
      <c r="AA45" s="244">
        <f t="shared" si="3"/>
        <v>12</v>
      </c>
      <c r="AB45" s="244" t="str">
        <f t="shared" si="7"/>
        <v>Y</v>
      </c>
      <c r="AC45" s="244" t="str">
        <f t="shared" si="8"/>
        <v>Y</v>
      </c>
      <c r="AD45" s="244" t="str">
        <f t="shared" si="9"/>
        <v>N</v>
      </c>
      <c r="AE45" s="280">
        <f t="shared" si="10"/>
        <v>56.000000000000007</v>
      </c>
      <c r="AF45" s="280">
        <f t="shared" si="11"/>
        <v>50</v>
      </c>
      <c r="AG45" s="280">
        <f t="shared" si="12"/>
        <v>40</v>
      </c>
    </row>
    <row r="46" spans="1:33" ht="15.75" x14ac:dyDescent="0.25">
      <c r="A46" s="245"/>
      <c r="B46" s="246"/>
      <c r="C46" s="166" t="str">
        <f>'[7]Expository Writing'!A59</f>
        <v>2023-IT-62</v>
      </c>
      <c r="D46" s="166" t="str">
        <f>'[7]Expository Writing'!B59</f>
        <v>Muhammad Azeem</v>
      </c>
      <c r="E46" s="168">
        <f>'[7]Expository Writing'!D59</f>
        <v>6</v>
      </c>
      <c r="F46" s="168"/>
      <c r="G46" s="229">
        <f t="shared" si="4"/>
        <v>6</v>
      </c>
      <c r="H46" s="249">
        <v>4</v>
      </c>
      <c r="I46" s="249">
        <v>8</v>
      </c>
      <c r="J46" s="249"/>
      <c r="K46" s="249"/>
      <c r="L46" s="229">
        <f>'[7]Expository Writing'!E59</f>
        <v>12</v>
      </c>
      <c r="M46" s="168">
        <f>'[7]Expository Writing'!F59</f>
        <v>6</v>
      </c>
      <c r="N46" s="249"/>
      <c r="O46" s="229">
        <f t="shared" si="5"/>
        <v>6</v>
      </c>
      <c r="P46" s="250">
        <v>8</v>
      </c>
      <c r="Q46" s="249">
        <v>18</v>
      </c>
      <c r="R46" s="249"/>
      <c r="S46" s="242"/>
      <c r="T46" s="229">
        <f>'[7]Expository Writing'!G59</f>
        <v>26</v>
      </c>
      <c r="U46" s="243">
        <f>'[7]Expository Writing'!H59</f>
        <v>6</v>
      </c>
      <c r="V46" s="241"/>
      <c r="W46" s="229">
        <f t="shared" si="6"/>
        <v>6</v>
      </c>
      <c r="X46" s="229">
        <f t="shared" si="0"/>
        <v>56</v>
      </c>
      <c r="Y46" s="244">
        <f t="shared" si="1"/>
        <v>32</v>
      </c>
      <c r="Z46" s="244">
        <f t="shared" si="2"/>
        <v>10</v>
      </c>
      <c r="AA46" s="244">
        <f t="shared" si="3"/>
        <v>14</v>
      </c>
      <c r="AB46" s="244" t="str">
        <f t="shared" si="7"/>
        <v>Y</v>
      </c>
      <c r="AC46" s="244" t="str">
        <f t="shared" si="8"/>
        <v>Y</v>
      </c>
      <c r="AD46" s="244" t="str">
        <f t="shared" si="9"/>
        <v>N</v>
      </c>
      <c r="AE46" s="280">
        <f t="shared" si="10"/>
        <v>64</v>
      </c>
      <c r="AF46" s="280">
        <f t="shared" si="11"/>
        <v>50</v>
      </c>
      <c r="AG46" s="280">
        <f t="shared" si="12"/>
        <v>46.666666666666664</v>
      </c>
    </row>
    <row r="47" spans="1:33" ht="15.75" x14ac:dyDescent="0.25">
      <c r="A47" s="245"/>
      <c r="B47" s="246"/>
      <c r="C47" s="166" t="str">
        <f>'[7]Expository Writing'!A60</f>
        <v>2023-IT-64</v>
      </c>
      <c r="D47" s="166" t="str">
        <f>'[7]Expository Writing'!B60</f>
        <v>Abdul Ahad</v>
      </c>
      <c r="E47" s="168">
        <f>'[7]Expository Writing'!D60</f>
        <v>0</v>
      </c>
      <c r="F47" s="168"/>
      <c r="G47" s="229">
        <f t="shared" si="4"/>
        <v>0</v>
      </c>
      <c r="H47" s="249">
        <v>0</v>
      </c>
      <c r="I47" s="249">
        <v>0</v>
      </c>
      <c r="J47" s="249"/>
      <c r="K47" s="249"/>
      <c r="L47" s="229">
        <f>'[7]Expository Writing'!E60</f>
        <v>0</v>
      </c>
      <c r="M47" s="168">
        <f>'[7]Expository Writing'!F60</f>
        <v>0</v>
      </c>
      <c r="N47" s="249"/>
      <c r="O47" s="229">
        <f t="shared" si="5"/>
        <v>0</v>
      </c>
      <c r="P47" s="250">
        <v>0</v>
      </c>
      <c r="Q47" s="249">
        <v>0</v>
      </c>
      <c r="R47" s="249"/>
      <c r="S47" s="242"/>
      <c r="T47" s="229">
        <f>'[7]Expository Writing'!G60</f>
        <v>0</v>
      </c>
      <c r="U47" s="243">
        <f>'[7]Expository Writing'!H60</f>
        <v>0</v>
      </c>
      <c r="V47" s="241"/>
      <c r="W47" s="229">
        <f t="shared" si="6"/>
        <v>0</v>
      </c>
      <c r="X47" s="229">
        <f t="shared" si="0"/>
        <v>0</v>
      </c>
      <c r="Y47" s="244">
        <f t="shared" si="1"/>
        <v>0</v>
      </c>
      <c r="Z47" s="244">
        <f t="shared" si="2"/>
        <v>0</v>
      </c>
      <c r="AA47" s="244">
        <f t="shared" si="3"/>
        <v>0</v>
      </c>
      <c r="AB47" s="244" t="str">
        <f t="shared" si="7"/>
        <v>N</v>
      </c>
      <c r="AC47" s="244" t="str">
        <f t="shared" si="8"/>
        <v>N</v>
      </c>
      <c r="AD47" s="244" t="str">
        <f t="shared" si="9"/>
        <v>N</v>
      </c>
      <c r="AE47" s="280">
        <f t="shared" si="10"/>
        <v>0</v>
      </c>
      <c r="AF47" s="280">
        <f t="shared" si="11"/>
        <v>0</v>
      </c>
      <c r="AG47" s="280">
        <f t="shared" si="12"/>
        <v>0</v>
      </c>
    </row>
    <row r="48" spans="1:33" ht="15.75" x14ac:dyDescent="0.25">
      <c r="A48" s="245"/>
      <c r="B48" s="246"/>
      <c r="C48" s="166" t="str">
        <f>'[7]Expository Writing'!A61</f>
        <v>2023-IT-66</v>
      </c>
      <c r="D48" s="166" t="str">
        <f>'[7]Expository Writing'!B61</f>
        <v>Muhammad Haris Javed</v>
      </c>
      <c r="E48" s="168">
        <f>'[7]Expository Writing'!D61</f>
        <v>5</v>
      </c>
      <c r="F48" s="168"/>
      <c r="G48" s="229">
        <f t="shared" si="4"/>
        <v>5</v>
      </c>
      <c r="H48" s="249">
        <v>9</v>
      </c>
      <c r="I48" s="249">
        <v>10</v>
      </c>
      <c r="J48" s="249"/>
      <c r="K48" s="249"/>
      <c r="L48" s="229">
        <f>'[7]Expository Writing'!E61</f>
        <v>19</v>
      </c>
      <c r="M48" s="168">
        <f>'[7]Expository Writing'!F61</f>
        <v>8</v>
      </c>
      <c r="N48" s="249"/>
      <c r="O48" s="229">
        <f t="shared" si="5"/>
        <v>8</v>
      </c>
      <c r="P48" s="250">
        <v>10</v>
      </c>
      <c r="Q48" s="249">
        <v>19</v>
      </c>
      <c r="R48" s="249"/>
      <c r="S48" s="242"/>
      <c r="T48" s="229">
        <f>'[7]Expository Writing'!G61</f>
        <v>29</v>
      </c>
      <c r="U48" s="243">
        <f>'[7]Expository Writing'!H61</f>
        <v>7</v>
      </c>
      <c r="V48" s="241"/>
      <c r="W48" s="229">
        <f t="shared" si="6"/>
        <v>7</v>
      </c>
      <c r="X48" s="229">
        <f t="shared" si="0"/>
        <v>68</v>
      </c>
      <c r="Y48" s="244">
        <f t="shared" si="1"/>
        <v>34</v>
      </c>
      <c r="Z48" s="244">
        <f t="shared" si="2"/>
        <v>16</v>
      </c>
      <c r="AA48" s="244">
        <f t="shared" si="3"/>
        <v>18</v>
      </c>
      <c r="AB48" s="244" t="str">
        <f t="shared" si="7"/>
        <v>Y</v>
      </c>
      <c r="AC48" s="244" t="str">
        <f t="shared" si="8"/>
        <v>Y</v>
      </c>
      <c r="AD48" s="244" t="str">
        <f t="shared" si="9"/>
        <v>Y</v>
      </c>
      <c r="AE48" s="280">
        <f t="shared" si="10"/>
        <v>68</v>
      </c>
      <c r="AF48" s="280">
        <f t="shared" si="11"/>
        <v>80</v>
      </c>
      <c r="AG48" s="280">
        <f t="shared" si="12"/>
        <v>60</v>
      </c>
    </row>
    <row r="49" spans="1:33" ht="15.75" x14ac:dyDescent="0.25">
      <c r="A49" s="245"/>
      <c r="B49" s="246"/>
      <c r="C49" s="166" t="str">
        <f>'[7]Expository Writing'!A62</f>
        <v>2023-IT-68</v>
      </c>
      <c r="D49" s="166" t="str">
        <f>'[7]Expository Writing'!B62</f>
        <v>Muhammad Mubashir</v>
      </c>
      <c r="E49" s="168">
        <f>'[7]Expository Writing'!D62</f>
        <v>6</v>
      </c>
      <c r="F49" s="168"/>
      <c r="G49" s="229">
        <f t="shared" si="4"/>
        <v>6</v>
      </c>
      <c r="H49" s="249">
        <v>4</v>
      </c>
      <c r="I49" s="249">
        <v>6</v>
      </c>
      <c r="J49" s="249"/>
      <c r="K49" s="249"/>
      <c r="L49" s="229">
        <f>'[7]Expository Writing'!E62</f>
        <v>10</v>
      </c>
      <c r="M49" s="168">
        <f>'[7]Expository Writing'!F62</f>
        <v>8</v>
      </c>
      <c r="N49" s="249"/>
      <c r="O49" s="229">
        <f t="shared" si="5"/>
        <v>8</v>
      </c>
      <c r="P49" s="250">
        <v>8</v>
      </c>
      <c r="Q49" s="249">
        <v>20</v>
      </c>
      <c r="R49" s="249"/>
      <c r="S49" s="242"/>
      <c r="T49" s="229">
        <f>'[7]Expository Writing'!G62</f>
        <v>28</v>
      </c>
      <c r="U49" s="243">
        <f>'[7]Expository Writing'!H62</f>
        <v>7</v>
      </c>
      <c r="V49" s="241"/>
      <c r="W49" s="229">
        <f t="shared" si="6"/>
        <v>7</v>
      </c>
      <c r="X49" s="229">
        <f t="shared" si="0"/>
        <v>59</v>
      </c>
      <c r="Y49" s="244">
        <f t="shared" si="1"/>
        <v>32</v>
      </c>
      <c r="Z49" s="244">
        <f t="shared" si="2"/>
        <v>11</v>
      </c>
      <c r="AA49" s="244">
        <f t="shared" si="3"/>
        <v>16</v>
      </c>
      <c r="AB49" s="244" t="str">
        <f t="shared" si="7"/>
        <v>Y</v>
      </c>
      <c r="AC49" s="244" t="str">
        <f t="shared" si="8"/>
        <v>Y</v>
      </c>
      <c r="AD49" s="244" t="str">
        <f t="shared" si="9"/>
        <v>Y</v>
      </c>
      <c r="AE49" s="280">
        <f t="shared" si="10"/>
        <v>64</v>
      </c>
      <c r="AF49" s="280">
        <f t="shared" si="11"/>
        <v>55.000000000000007</v>
      </c>
      <c r="AG49" s="280">
        <f t="shared" si="12"/>
        <v>53.333333333333336</v>
      </c>
    </row>
    <row r="50" spans="1:33" ht="15.75" x14ac:dyDescent="0.25">
      <c r="A50" s="245"/>
      <c r="B50" s="246"/>
      <c r="C50" s="166" t="str">
        <f>'[7]Expository Writing'!A63</f>
        <v>2023-IT-70</v>
      </c>
      <c r="D50" s="166" t="str">
        <f>'[7]Expository Writing'!B63</f>
        <v>Muhammad Usama</v>
      </c>
      <c r="E50" s="168">
        <f>'[7]Expository Writing'!D63</f>
        <v>0</v>
      </c>
      <c r="F50" s="168"/>
      <c r="G50" s="229">
        <f t="shared" si="4"/>
        <v>0</v>
      </c>
      <c r="H50" s="168">
        <v>0</v>
      </c>
      <c r="I50" s="168">
        <v>0</v>
      </c>
      <c r="J50" s="168"/>
      <c r="K50" s="168"/>
      <c r="L50" s="229">
        <f>'[7]Expository Writing'!E63</f>
        <v>0</v>
      </c>
      <c r="M50" s="168">
        <f>'[7]Expository Writing'!F63</f>
        <v>0</v>
      </c>
      <c r="N50" s="168"/>
      <c r="O50" s="229">
        <f t="shared" si="5"/>
        <v>0</v>
      </c>
      <c r="P50" s="168">
        <v>0</v>
      </c>
      <c r="Q50" s="168">
        <v>0</v>
      </c>
      <c r="R50" s="168"/>
      <c r="S50" s="168"/>
      <c r="T50" s="229">
        <f>'[7]Expository Writing'!G63</f>
        <v>0</v>
      </c>
      <c r="U50" s="243">
        <f>'[7]Expository Writing'!H63</f>
        <v>0</v>
      </c>
      <c r="V50" s="241"/>
      <c r="W50" s="229">
        <f t="shared" si="6"/>
        <v>0</v>
      </c>
      <c r="X50" s="229">
        <f t="shared" si="0"/>
        <v>0</v>
      </c>
      <c r="Y50" s="244">
        <f t="shared" si="1"/>
        <v>0</v>
      </c>
      <c r="Z50" s="244">
        <f t="shared" si="2"/>
        <v>0</v>
      </c>
      <c r="AA50" s="244">
        <f t="shared" si="3"/>
        <v>0</v>
      </c>
      <c r="AB50" s="244" t="str">
        <f t="shared" si="7"/>
        <v>N</v>
      </c>
      <c r="AC50" s="244" t="str">
        <f t="shared" si="8"/>
        <v>N</v>
      </c>
      <c r="AD50" s="244" t="str">
        <f t="shared" si="9"/>
        <v>N</v>
      </c>
      <c r="AE50" s="280">
        <f t="shared" si="10"/>
        <v>0</v>
      </c>
      <c r="AF50" s="280">
        <f t="shared" si="11"/>
        <v>0</v>
      </c>
      <c r="AG50" s="280">
        <f t="shared" si="12"/>
        <v>0</v>
      </c>
    </row>
    <row r="51" spans="1:33" ht="15.75" x14ac:dyDescent="0.25">
      <c r="A51" s="245"/>
      <c r="B51" s="246"/>
      <c r="C51" s="166" t="str">
        <f>'[7]Expository Writing'!A64</f>
        <v>2023-IT-72</v>
      </c>
      <c r="D51" s="166" t="str">
        <f>'[7]Expository Writing'!B64</f>
        <v>Muhammad Zohaib Akhtar</v>
      </c>
      <c r="E51" s="168">
        <f>'[7]Expository Writing'!D64</f>
        <v>7</v>
      </c>
      <c r="F51" s="168"/>
      <c r="G51" s="229">
        <f t="shared" si="4"/>
        <v>7</v>
      </c>
      <c r="H51" s="168">
        <v>6</v>
      </c>
      <c r="I51" s="168">
        <v>6</v>
      </c>
      <c r="J51" s="168"/>
      <c r="K51" s="168"/>
      <c r="L51" s="229">
        <f>'[7]Expository Writing'!E64</f>
        <v>12</v>
      </c>
      <c r="M51" s="168">
        <f>'[7]Expository Writing'!F64</f>
        <v>5</v>
      </c>
      <c r="N51" s="168"/>
      <c r="O51" s="229">
        <f t="shared" si="5"/>
        <v>5</v>
      </c>
      <c r="P51" s="168">
        <v>14</v>
      </c>
      <c r="Q51" s="168">
        <v>14</v>
      </c>
      <c r="R51" s="168"/>
      <c r="S51" s="168"/>
      <c r="T51" s="229">
        <f>'[7]Expository Writing'!G64</f>
        <v>28</v>
      </c>
      <c r="U51" s="243">
        <f>'[7]Expository Writing'!H64</f>
        <v>7</v>
      </c>
      <c r="V51" s="241"/>
      <c r="W51" s="229">
        <f t="shared" si="6"/>
        <v>7</v>
      </c>
      <c r="X51" s="229">
        <f t="shared" si="0"/>
        <v>59</v>
      </c>
      <c r="Y51" s="244">
        <f t="shared" si="1"/>
        <v>27</v>
      </c>
      <c r="Z51" s="244">
        <f t="shared" si="2"/>
        <v>13</v>
      </c>
      <c r="AA51" s="244">
        <f t="shared" si="3"/>
        <v>19</v>
      </c>
      <c r="AB51" s="244" t="str">
        <f t="shared" si="7"/>
        <v>Y</v>
      </c>
      <c r="AC51" s="244" t="str">
        <f t="shared" si="8"/>
        <v>Y</v>
      </c>
      <c r="AD51" s="244" t="str">
        <f t="shared" si="9"/>
        <v>Y</v>
      </c>
      <c r="AE51" s="280">
        <f t="shared" si="10"/>
        <v>54</v>
      </c>
      <c r="AF51" s="280">
        <f t="shared" si="11"/>
        <v>65</v>
      </c>
      <c r="AG51" s="280">
        <f t="shared" si="12"/>
        <v>63.333333333333329</v>
      </c>
    </row>
    <row r="52" spans="1:33" ht="15.75" x14ac:dyDescent="0.25">
      <c r="A52" s="245"/>
      <c r="B52" s="246"/>
      <c r="C52" s="166" t="str">
        <f>'[7]Expository Writing'!A65</f>
        <v>2023-IT-74</v>
      </c>
      <c r="D52" s="166" t="str">
        <f>'[7]Expository Writing'!B65</f>
        <v>Ashir Mudassir</v>
      </c>
      <c r="E52" s="168">
        <f>'[7]Expository Writing'!D65</f>
        <v>8</v>
      </c>
      <c r="F52" s="168"/>
      <c r="G52" s="229">
        <f t="shared" si="4"/>
        <v>8</v>
      </c>
      <c r="H52" s="168">
        <v>4</v>
      </c>
      <c r="I52" s="168">
        <v>10</v>
      </c>
      <c r="J52" s="168"/>
      <c r="K52" s="168"/>
      <c r="L52" s="229">
        <f>'[7]Expository Writing'!E65</f>
        <v>14</v>
      </c>
      <c r="M52" s="168">
        <f>'[7]Expository Writing'!F65</f>
        <v>5</v>
      </c>
      <c r="N52" s="168"/>
      <c r="O52" s="229">
        <f t="shared" si="5"/>
        <v>5</v>
      </c>
      <c r="P52" s="168">
        <v>13</v>
      </c>
      <c r="Q52" s="168">
        <v>13</v>
      </c>
      <c r="R52" s="168"/>
      <c r="S52" s="168"/>
      <c r="T52" s="229">
        <f>'[7]Expository Writing'!G65</f>
        <v>26</v>
      </c>
      <c r="U52" s="243">
        <f>'[7]Expository Writing'!H65</f>
        <v>7</v>
      </c>
      <c r="V52" s="241"/>
      <c r="W52" s="229">
        <f t="shared" si="6"/>
        <v>7</v>
      </c>
      <c r="X52" s="229">
        <f t="shared" si="0"/>
        <v>60</v>
      </c>
      <c r="Y52" s="244">
        <f t="shared" si="1"/>
        <v>31</v>
      </c>
      <c r="Z52" s="244">
        <f t="shared" si="2"/>
        <v>11</v>
      </c>
      <c r="AA52" s="244">
        <f t="shared" si="3"/>
        <v>18</v>
      </c>
      <c r="AB52" s="244" t="str">
        <f t="shared" si="7"/>
        <v>Y</v>
      </c>
      <c r="AC52" s="244" t="str">
        <f t="shared" si="8"/>
        <v>Y</v>
      </c>
      <c r="AD52" s="244" t="str">
        <f t="shared" si="9"/>
        <v>Y</v>
      </c>
      <c r="AE52" s="280">
        <f t="shared" si="10"/>
        <v>62</v>
      </c>
      <c r="AF52" s="280">
        <f t="shared" si="11"/>
        <v>55.000000000000007</v>
      </c>
      <c r="AG52" s="280">
        <f t="shared" si="12"/>
        <v>60</v>
      </c>
    </row>
    <row r="53" spans="1:33" ht="15.75" x14ac:dyDescent="0.25">
      <c r="A53" s="245"/>
      <c r="B53" s="246"/>
      <c r="C53" s="166" t="str">
        <f>'[7]Expository Writing'!A66</f>
        <v>2023-IT-76</v>
      </c>
      <c r="D53" s="166" t="str">
        <f>'[7]Expository Writing'!B66</f>
        <v>Rao Usama</v>
      </c>
      <c r="E53" s="168">
        <f>'[7]Expository Writing'!D66</f>
        <v>5</v>
      </c>
      <c r="F53" s="168"/>
      <c r="G53" s="229">
        <f t="shared" si="4"/>
        <v>5</v>
      </c>
      <c r="H53" s="168">
        <v>6</v>
      </c>
      <c r="I53" s="168">
        <v>6</v>
      </c>
      <c r="J53" s="168"/>
      <c r="K53" s="168"/>
      <c r="L53" s="229">
        <f>'[7]Expository Writing'!E66</f>
        <v>12</v>
      </c>
      <c r="M53" s="168">
        <f>'[7]Expository Writing'!F66</f>
        <v>5</v>
      </c>
      <c r="N53" s="168"/>
      <c r="O53" s="229">
        <f t="shared" si="5"/>
        <v>5</v>
      </c>
      <c r="P53" s="168">
        <v>13</v>
      </c>
      <c r="Q53" s="168">
        <v>10</v>
      </c>
      <c r="R53" s="168"/>
      <c r="S53" s="168"/>
      <c r="T53" s="229">
        <f>'[7]Expository Writing'!G66</f>
        <v>23</v>
      </c>
      <c r="U53" s="243">
        <f>'[7]Expository Writing'!H66</f>
        <v>6</v>
      </c>
      <c r="V53" s="241"/>
      <c r="W53" s="229">
        <f t="shared" si="6"/>
        <v>6</v>
      </c>
      <c r="X53" s="229">
        <f t="shared" si="0"/>
        <v>51</v>
      </c>
      <c r="Y53" s="244">
        <f t="shared" si="1"/>
        <v>21</v>
      </c>
      <c r="Z53" s="244">
        <f t="shared" si="2"/>
        <v>12</v>
      </c>
      <c r="AA53" s="244">
        <f t="shared" si="3"/>
        <v>18</v>
      </c>
      <c r="AB53" s="244" t="str">
        <f t="shared" si="7"/>
        <v>N</v>
      </c>
      <c r="AC53" s="244" t="str">
        <f t="shared" si="8"/>
        <v>Y</v>
      </c>
      <c r="AD53" s="244" t="str">
        <f t="shared" si="9"/>
        <v>Y</v>
      </c>
      <c r="AE53" s="280">
        <f t="shared" si="10"/>
        <v>42</v>
      </c>
      <c r="AF53" s="280">
        <f t="shared" si="11"/>
        <v>60</v>
      </c>
      <c r="AG53" s="280">
        <f t="shared" si="12"/>
        <v>60</v>
      </c>
    </row>
    <row r="54" spans="1:33" ht="15.75" x14ac:dyDescent="0.25">
      <c r="A54" s="245"/>
      <c r="B54" s="246"/>
      <c r="C54" s="166" t="str">
        <f>'[7]Expository Writing'!A67</f>
        <v>2023-IT-78</v>
      </c>
      <c r="D54" s="166" t="str">
        <f>'[7]Expository Writing'!B67</f>
        <v>Muhammad Zaman</v>
      </c>
      <c r="E54" s="168">
        <f>'[7]Expository Writing'!D67</f>
        <v>9</v>
      </c>
      <c r="F54" s="168"/>
      <c r="G54" s="229">
        <f t="shared" si="4"/>
        <v>9</v>
      </c>
      <c r="H54" s="168">
        <v>5</v>
      </c>
      <c r="I54" s="168">
        <v>6</v>
      </c>
      <c r="J54" s="168"/>
      <c r="K54" s="168"/>
      <c r="L54" s="229">
        <f>'[7]Expository Writing'!E67</f>
        <v>11</v>
      </c>
      <c r="M54" s="168">
        <f>'[7]Expository Writing'!F67</f>
        <v>5</v>
      </c>
      <c r="N54" s="168"/>
      <c r="O54" s="229">
        <f t="shared" si="5"/>
        <v>5</v>
      </c>
      <c r="P54" s="168">
        <v>13</v>
      </c>
      <c r="Q54" s="168">
        <v>13</v>
      </c>
      <c r="R54" s="168"/>
      <c r="S54" s="168"/>
      <c r="T54" s="229">
        <f>'[7]Expository Writing'!G67</f>
        <v>26</v>
      </c>
      <c r="U54" s="243">
        <f>'[7]Expository Writing'!H67</f>
        <v>6</v>
      </c>
      <c r="V54" s="241"/>
      <c r="W54" s="229">
        <f t="shared" si="6"/>
        <v>6</v>
      </c>
      <c r="X54" s="229">
        <f t="shared" si="0"/>
        <v>57</v>
      </c>
      <c r="Y54" s="244">
        <f t="shared" si="1"/>
        <v>28</v>
      </c>
      <c r="Z54" s="244">
        <f t="shared" si="2"/>
        <v>11</v>
      </c>
      <c r="AA54" s="244">
        <f t="shared" si="3"/>
        <v>18</v>
      </c>
      <c r="AB54" s="244" t="str">
        <f t="shared" si="7"/>
        <v>Y</v>
      </c>
      <c r="AC54" s="244" t="str">
        <f t="shared" si="8"/>
        <v>Y</v>
      </c>
      <c r="AD54" s="244" t="str">
        <f t="shared" si="9"/>
        <v>Y</v>
      </c>
      <c r="AE54" s="280">
        <f t="shared" si="10"/>
        <v>56.000000000000007</v>
      </c>
      <c r="AF54" s="280">
        <f t="shared" si="11"/>
        <v>55.000000000000007</v>
      </c>
      <c r="AG54" s="280">
        <f t="shared" si="12"/>
        <v>60</v>
      </c>
    </row>
    <row r="55" spans="1:33" ht="15.75" x14ac:dyDescent="0.25">
      <c r="A55" s="245"/>
      <c r="B55" s="246"/>
      <c r="C55" s="166" t="str">
        <f>'[7]Expository Writing'!A68</f>
        <v>2023-IT-79</v>
      </c>
      <c r="D55" s="166" t="str">
        <f>'[7]Expository Writing'!B68</f>
        <v>Iqra Moeen</v>
      </c>
      <c r="E55" s="168">
        <f>'[7]Expository Writing'!D68</f>
        <v>3</v>
      </c>
      <c r="F55" s="168"/>
      <c r="G55" s="229">
        <f t="shared" si="4"/>
        <v>3</v>
      </c>
      <c r="H55" s="168">
        <v>4</v>
      </c>
      <c r="I55" s="168">
        <v>4</v>
      </c>
      <c r="J55" s="168"/>
      <c r="K55" s="168"/>
      <c r="L55" s="229">
        <f>'[7]Expository Writing'!E68</f>
        <v>8</v>
      </c>
      <c r="M55" s="168">
        <f>'[7]Expository Writing'!F68</f>
        <v>4</v>
      </c>
      <c r="N55" s="168"/>
      <c r="O55" s="229">
        <f t="shared" si="5"/>
        <v>4</v>
      </c>
      <c r="P55" s="168">
        <v>14</v>
      </c>
      <c r="Q55" s="168">
        <v>14</v>
      </c>
      <c r="R55" s="168"/>
      <c r="S55" s="168"/>
      <c r="T55" s="229">
        <f>'[7]Expository Writing'!G68</f>
        <v>28</v>
      </c>
      <c r="U55" s="243">
        <f>'[7]Expository Writing'!H68</f>
        <v>7</v>
      </c>
      <c r="V55" s="241"/>
      <c r="W55" s="229">
        <f t="shared" si="6"/>
        <v>7</v>
      </c>
      <c r="X55" s="229">
        <f t="shared" si="0"/>
        <v>50</v>
      </c>
      <c r="Y55" s="244">
        <f t="shared" si="1"/>
        <v>21</v>
      </c>
      <c r="Z55" s="244">
        <f t="shared" si="2"/>
        <v>11</v>
      </c>
      <c r="AA55" s="244">
        <f t="shared" si="3"/>
        <v>18</v>
      </c>
      <c r="AB55" s="244" t="str">
        <f t="shared" si="7"/>
        <v>N</v>
      </c>
      <c r="AC55" s="244" t="str">
        <f t="shared" si="8"/>
        <v>Y</v>
      </c>
      <c r="AD55" s="244" t="str">
        <f t="shared" si="9"/>
        <v>Y</v>
      </c>
      <c r="AE55" s="280">
        <f t="shared" si="10"/>
        <v>42</v>
      </c>
      <c r="AF55" s="280">
        <f t="shared" si="11"/>
        <v>55.000000000000007</v>
      </c>
      <c r="AG55" s="280">
        <f t="shared" si="12"/>
        <v>60</v>
      </c>
    </row>
    <row r="56" spans="1:33" x14ac:dyDescent="0.25">
      <c r="A56" s="251"/>
      <c r="B56" s="252"/>
      <c r="C56" s="166" t="str">
        <f>'[7]Expository Writing'!A69</f>
        <v>2023-IT-80</v>
      </c>
      <c r="D56" s="166" t="str">
        <f>'[7]Expository Writing'!B69</f>
        <v>Ali Raza</v>
      </c>
      <c r="E56" s="168">
        <f>'[7]Expository Writing'!D69</f>
        <v>5</v>
      </c>
      <c r="F56" s="306"/>
      <c r="G56" s="229">
        <f t="shared" si="4"/>
        <v>5</v>
      </c>
      <c r="H56" s="168">
        <v>7</v>
      </c>
      <c r="I56" s="168">
        <v>10</v>
      </c>
      <c r="J56" s="168"/>
      <c r="K56" s="168"/>
      <c r="L56" s="229">
        <f>'[7]Expository Writing'!E69</f>
        <v>17</v>
      </c>
      <c r="M56" s="168">
        <f>'[7]Expository Writing'!F69</f>
        <v>4</v>
      </c>
      <c r="N56" s="168"/>
      <c r="O56" s="229">
        <f t="shared" si="5"/>
        <v>4</v>
      </c>
      <c r="P56" s="168">
        <v>10</v>
      </c>
      <c r="Q56" s="168">
        <v>16</v>
      </c>
      <c r="R56" s="168"/>
      <c r="S56" s="168"/>
      <c r="T56" s="229">
        <f>'[7]Expository Writing'!G69</f>
        <v>26</v>
      </c>
      <c r="U56" s="243">
        <f>'[7]Expository Writing'!H69</f>
        <v>6</v>
      </c>
      <c r="V56" s="242"/>
      <c r="W56" s="229">
        <f t="shared" si="6"/>
        <v>6</v>
      </c>
      <c r="X56" s="229">
        <f t="shared" si="0"/>
        <v>58</v>
      </c>
      <c r="Y56" s="244">
        <f t="shared" si="1"/>
        <v>31</v>
      </c>
      <c r="Z56" s="244">
        <f t="shared" si="2"/>
        <v>13</v>
      </c>
      <c r="AA56" s="244">
        <f t="shared" si="3"/>
        <v>14</v>
      </c>
      <c r="AB56" s="244" t="str">
        <f t="shared" si="7"/>
        <v>Y</v>
      </c>
      <c r="AC56" s="244" t="str">
        <f t="shared" si="8"/>
        <v>Y</v>
      </c>
      <c r="AD56" s="244" t="str">
        <f t="shared" si="9"/>
        <v>N</v>
      </c>
      <c r="AE56" s="280">
        <f t="shared" si="10"/>
        <v>62</v>
      </c>
      <c r="AF56" s="280">
        <f t="shared" si="11"/>
        <v>65</v>
      </c>
      <c r="AG56" s="280">
        <f t="shared" si="12"/>
        <v>46.666666666666664</v>
      </c>
    </row>
    <row r="57" spans="1:33" ht="15.75" x14ac:dyDescent="0.25">
      <c r="A57" s="251"/>
      <c r="B57" s="252"/>
      <c r="C57" s="529" t="s">
        <v>243</v>
      </c>
      <c r="D57" s="530"/>
      <c r="E57" s="531"/>
      <c r="F57" s="260" t="str">
        <f>Y11</f>
        <v>PLO1</v>
      </c>
      <c r="G57" s="261">
        <f>COUNTIF($AB$13:$AB$55,"Y")</f>
        <v>25</v>
      </c>
      <c r="H57" s="261">
        <f>COUNTIF($AB$13:$AB$55,"N")</f>
        <v>18</v>
      </c>
      <c r="J57" s="253"/>
      <c r="K57" s="253"/>
      <c r="L57" s="253"/>
      <c r="M57" s="253"/>
      <c r="N57" s="253"/>
      <c r="O57" s="253"/>
      <c r="P57" s="256"/>
      <c r="Q57" s="253"/>
      <c r="R57" s="253"/>
      <c r="S57" s="257"/>
      <c r="T57" s="257"/>
      <c r="U57" s="257"/>
      <c r="V57" s="257"/>
      <c r="W57" s="257"/>
      <c r="X57" s="258"/>
      <c r="Y57" s="258"/>
      <c r="Z57" s="258"/>
      <c r="AA57" s="258"/>
      <c r="AB57" s="259"/>
      <c r="AC57" s="259"/>
      <c r="AD57" s="259"/>
      <c r="AE57" s="280">
        <f t="shared" si="10"/>
        <v>0</v>
      </c>
      <c r="AF57" s="280">
        <f t="shared" si="11"/>
        <v>0</v>
      </c>
      <c r="AG57" s="280">
        <f t="shared" si="12"/>
        <v>0</v>
      </c>
    </row>
    <row r="58" spans="1:33" x14ac:dyDescent="0.25">
      <c r="A58" s="251"/>
      <c r="B58" s="252"/>
      <c r="C58" s="532"/>
      <c r="D58" s="533"/>
      <c r="E58" s="534"/>
      <c r="F58" s="260" t="str">
        <f>Z11</f>
        <v>PLO2</v>
      </c>
      <c r="G58" s="261">
        <f>COUNTIF($AC$13:$AC$55,"Y")</f>
        <v>29</v>
      </c>
      <c r="H58" s="261">
        <f>COUNTIF($AC$13:$AC$55,"N")</f>
        <v>14</v>
      </c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80">
        <f t="shared" si="10"/>
        <v>0</v>
      </c>
      <c r="AF58" s="280">
        <f t="shared" si="11"/>
        <v>0</v>
      </c>
      <c r="AG58" s="280">
        <f t="shared" si="12"/>
        <v>0</v>
      </c>
    </row>
    <row r="59" spans="1:33" x14ac:dyDescent="0.25">
      <c r="A59" s="251"/>
      <c r="B59" s="252"/>
      <c r="C59" s="535"/>
      <c r="D59" s="536"/>
      <c r="E59" s="537"/>
      <c r="F59" s="260" t="str">
        <f>AA11</f>
        <v>PLO3</v>
      </c>
      <c r="G59" s="261">
        <f>COUNTIF($AD$13:$AD$55,"Y")</f>
        <v>18</v>
      </c>
      <c r="H59" s="261">
        <f>COUNTIF($AD$13:$AD$55,"N")</f>
        <v>25</v>
      </c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80">
        <f t="shared" si="10"/>
        <v>0</v>
      </c>
      <c r="AF59" s="280">
        <f t="shared" si="11"/>
        <v>0</v>
      </c>
      <c r="AG59" s="280">
        <f t="shared" si="12"/>
        <v>0</v>
      </c>
    </row>
    <row r="60" spans="1:33" x14ac:dyDescent="0.25">
      <c r="A60" s="262">
        <v>9</v>
      </c>
      <c r="B60" s="263" t="s">
        <v>244</v>
      </c>
      <c r="C60" s="222"/>
      <c r="D60" s="264"/>
      <c r="E60" s="264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80">
        <f t="shared" si="10"/>
        <v>0</v>
      </c>
      <c r="AF60" s="280">
        <f t="shared" si="11"/>
        <v>0</v>
      </c>
      <c r="AG60" s="280">
        <f t="shared" si="12"/>
        <v>0</v>
      </c>
    </row>
    <row r="61" spans="1:33" ht="33.950000000000003" customHeight="1" x14ac:dyDescent="0.25">
      <c r="A61" s="262">
        <v>10</v>
      </c>
      <c r="B61" s="263" t="s">
        <v>245</v>
      </c>
      <c r="C61" s="222"/>
      <c r="D61" s="264"/>
      <c r="E61" s="264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80">
        <f t="shared" si="10"/>
        <v>0</v>
      </c>
      <c r="AF61" s="280">
        <f t="shared" si="11"/>
        <v>0</v>
      </c>
      <c r="AG61" s="280">
        <f t="shared" si="12"/>
        <v>0</v>
      </c>
    </row>
    <row r="62" spans="1:33" x14ac:dyDescent="0.25">
      <c r="A62" s="262">
        <v>11</v>
      </c>
      <c r="B62" s="263" t="s">
        <v>246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80">
        <f t="shared" si="10"/>
        <v>0</v>
      </c>
      <c r="AF62" s="280">
        <f t="shared" si="11"/>
        <v>0</v>
      </c>
      <c r="AG62" s="280">
        <f t="shared" si="12"/>
        <v>0</v>
      </c>
    </row>
    <row r="63" spans="1:33" ht="31.5" customHeight="1" x14ac:dyDescent="0.25">
      <c r="A63" s="262">
        <v>12</v>
      </c>
      <c r="B63" s="263" t="s">
        <v>247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80">
        <f t="shared" si="10"/>
        <v>0</v>
      </c>
      <c r="AF63" s="280">
        <f t="shared" si="11"/>
        <v>0</v>
      </c>
      <c r="AG63" s="280">
        <f t="shared" si="12"/>
        <v>0</v>
      </c>
    </row>
    <row r="64" spans="1:33" x14ac:dyDescent="0.25">
      <c r="A64" s="262">
        <v>13</v>
      </c>
      <c r="B64" s="263" t="s">
        <v>248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80">
        <f t="shared" si="10"/>
        <v>0</v>
      </c>
      <c r="AF64" s="280">
        <f t="shared" si="11"/>
        <v>0</v>
      </c>
      <c r="AG64" s="280">
        <f t="shared" si="12"/>
        <v>0</v>
      </c>
    </row>
    <row r="65" spans="1:33" x14ac:dyDescent="0.25">
      <c r="A65" s="262">
        <v>14</v>
      </c>
      <c r="B65" s="263" t="s">
        <v>249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80">
        <f t="shared" si="10"/>
        <v>0</v>
      </c>
      <c r="AF65" s="280">
        <f t="shared" si="11"/>
        <v>0</v>
      </c>
      <c r="AG65" s="280">
        <f t="shared" si="12"/>
        <v>0</v>
      </c>
    </row>
    <row r="66" spans="1:33" x14ac:dyDescent="0.25">
      <c r="A66" s="262">
        <v>15</v>
      </c>
      <c r="B66" s="263" t="s">
        <v>250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80">
        <f t="shared" si="10"/>
        <v>0</v>
      </c>
      <c r="AF66" s="280">
        <f t="shared" si="11"/>
        <v>0</v>
      </c>
      <c r="AG66" s="280">
        <f t="shared" si="12"/>
        <v>0</v>
      </c>
    </row>
    <row r="67" spans="1:33" ht="32.1" customHeight="1" x14ac:dyDescent="0.25">
      <c r="A67" s="262">
        <v>16</v>
      </c>
      <c r="B67" s="263" t="s">
        <v>251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80">
        <f t="shared" si="10"/>
        <v>0</v>
      </c>
      <c r="AF67" s="280">
        <f t="shared" si="11"/>
        <v>0</v>
      </c>
      <c r="AG67" s="280">
        <f t="shared" si="12"/>
        <v>0</v>
      </c>
    </row>
    <row r="68" spans="1:33" x14ac:dyDescent="0.25">
      <c r="A68" s="262">
        <v>17</v>
      </c>
      <c r="B68" s="263" t="s">
        <v>252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80">
        <f t="shared" si="10"/>
        <v>0</v>
      </c>
      <c r="AF68" s="280">
        <f t="shared" si="11"/>
        <v>0</v>
      </c>
      <c r="AG68" s="280">
        <f t="shared" si="12"/>
        <v>0</v>
      </c>
    </row>
    <row r="69" spans="1:33" x14ac:dyDescent="0.25">
      <c r="A69" s="262">
        <v>18</v>
      </c>
      <c r="B69" s="263" t="s">
        <v>253</v>
      </c>
      <c r="C69" s="222"/>
      <c r="AE69" s="280">
        <f t="shared" si="10"/>
        <v>0</v>
      </c>
      <c r="AF69" s="280">
        <f t="shared" si="11"/>
        <v>0</v>
      </c>
      <c r="AG69" s="280">
        <f t="shared" si="12"/>
        <v>0</v>
      </c>
    </row>
    <row r="70" spans="1:33" x14ac:dyDescent="0.25">
      <c r="A70" s="262">
        <v>19</v>
      </c>
      <c r="B70" s="263" t="s">
        <v>254</v>
      </c>
      <c r="C70" s="222"/>
      <c r="AE70" s="280">
        <f t="shared" si="10"/>
        <v>0</v>
      </c>
      <c r="AF70" s="280">
        <f t="shared" si="11"/>
        <v>0</v>
      </c>
      <c r="AG70" s="280">
        <f t="shared" si="12"/>
        <v>0</v>
      </c>
    </row>
    <row r="71" spans="1:33" x14ac:dyDescent="0.25">
      <c r="A71" s="262">
        <v>20</v>
      </c>
      <c r="B71" s="263" t="s">
        <v>255</v>
      </c>
      <c r="C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80">
        <f t="shared" si="10"/>
        <v>0</v>
      </c>
      <c r="AF71" s="280">
        <f t="shared" si="11"/>
        <v>0</v>
      </c>
      <c r="AG71" s="280">
        <f t="shared" si="12"/>
        <v>0</v>
      </c>
    </row>
    <row r="72" spans="1:33" x14ac:dyDescent="0.25">
      <c r="A72" s="262">
        <v>21</v>
      </c>
      <c r="B72" s="263" t="s">
        <v>256</v>
      </c>
      <c r="C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80">
        <f t="shared" si="10"/>
        <v>0</v>
      </c>
      <c r="AF72" s="280">
        <f t="shared" si="11"/>
        <v>0</v>
      </c>
      <c r="AG72" s="280">
        <f t="shared" si="12"/>
        <v>0</v>
      </c>
    </row>
    <row r="73" spans="1:33" x14ac:dyDescent="0.25">
      <c r="A73" s="262">
        <v>22</v>
      </c>
      <c r="B73" s="263" t="s">
        <v>257</v>
      </c>
      <c r="C73" s="222"/>
      <c r="D73" s="265"/>
      <c r="E73" s="265"/>
      <c r="F73" s="538" t="s">
        <v>30</v>
      </c>
      <c r="G73" s="539"/>
      <c r="H73" s="539"/>
      <c r="I73" s="539"/>
      <c r="J73" s="539"/>
      <c r="K73" s="539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538" t="s">
        <v>31</v>
      </c>
      <c r="W73" s="538"/>
      <c r="X73" s="538"/>
      <c r="Y73" s="538"/>
      <c r="Z73" s="538"/>
      <c r="AA73" s="538"/>
      <c r="AB73" s="538"/>
      <c r="AC73" s="265"/>
      <c r="AD73" s="265"/>
      <c r="AE73" s="280">
        <f t="shared" si="10"/>
        <v>0</v>
      </c>
      <c r="AF73" s="280">
        <f t="shared" si="11"/>
        <v>0</v>
      </c>
      <c r="AG73" s="280">
        <f t="shared" si="12"/>
        <v>0</v>
      </c>
    </row>
    <row r="74" spans="1:33" x14ac:dyDescent="0.25">
      <c r="A74" s="262">
        <v>23</v>
      </c>
      <c r="B74" s="263" t="s">
        <v>258</v>
      </c>
      <c r="C74" s="222"/>
      <c r="D74" s="222"/>
      <c r="E74" s="222"/>
      <c r="F74" s="539" t="str">
        <f>J5</f>
        <v>Name: M. Amir Khan</v>
      </c>
      <c r="G74" s="539"/>
      <c r="H74" s="539"/>
      <c r="I74" s="539"/>
      <c r="J74" s="539"/>
      <c r="K74" s="539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539" t="s">
        <v>259</v>
      </c>
      <c r="W74" s="539"/>
      <c r="X74" s="539"/>
      <c r="Y74" s="539"/>
      <c r="Z74" s="539"/>
      <c r="AA74" s="539"/>
      <c r="AB74" s="539"/>
      <c r="AC74" s="222"/>
      <c r="AD74" s="222"/>
      <c r="AE74" s="280">
        <f t="shared" si="10"/>
        <v>0</v>
      </c>
      <c r="AF74" s="280">
        <f t="shared" si="11"/>
        <v>0</v>
      </c>
      <c r="AG74" s="280">
        <f t="shared" si="12"/>
        <v>0</v>
      </c>
    </row>
    <row r="75" spans="1:33" x14ac:dyDescent="0.25">
      <c r="A75" s="262">
        <v>24</v>
      </c>
      <c r="B75" s="263" t="s">
        <v>260</v>
      </c>
      <c r="C75" s="222"/>
      <c r="D75" s="264"/>
      <c r="E75" s="264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80">
        <f t="shared" si="10"/>
        <v>0</v>
      </c>
      <c r="AF75" s="280">
        <f t="shared" si="11"/>
        <v>0</v>
      </c>
      <c r="AG75" s="280">
        <f t="shared" si="12"/>
        <v>0</v>
      </c>
    </row>
    <row r="76" spans="1:33" x14ac:dyDescent="0.25">
      <c r="A76" s="262">
        <v>25</v>
      </c>
      <c r="B76" s="263" t="s">
        <v>261</v>
      </c>
      <c r="C76" s="222"/>
      <c r="D76" s="264"/>
      <c r="E76" s="264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80">
        <f t="shared" si="10"/>
        <v>0</v>
      </c>
      <c r="AF76" s="280">
        <f t="shared" si="11"/>
        <v>0</v>
      </c>
      <c r="AG76" s="280">
        <f t="shared" si="12"/>
        <v>0</v>
      </c>
    </row>
    <row r="77" spans="1:33" ht="15.75" thickBot="1" x14ac:dyDescent="0.3">
      <c r="A77" s="266">
        <v>26</v>
      </c>
      <c r="B77" s="267" t="s">
        <v>262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80">
        <f t="shared" si="10"/>
        <v>0</v>
      </c>
      <c r="AF77" s="280">
        <f t="shared" si="11"/>
        <v>0</v>
      </c>
      <c r="AG77" s="280">
        <f t="shared" si="12"/>
        <v>0</v>
      </c>
    </row>
    <row r="78" spans="1:33" x14ac:dyDescent="0.25">
      <c r="D78" s="264"/>
      <c r="E78" s="264"/>
    </row>
    <row r="79" spans="1:33" x14ac:dyDescent="0.25">
      <c r="D79" s="264"/>
      <c r="E79" s="264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</sheetData>
  <protectedRanges>
    <protectedRange sqref="H10:K49 P10:S49 E10:F49 M10:N49 U10:V49" name="questions maping clo plo"/>
    <protectedRange sqref="C3:L6" name="Course Information"/>
    <protectedRange sqref="Y11:AA11 AE11:AG11" name="plo assesment"/>
    <protectedRange sqref="H50:K55 P50:S55 F50:F55 E50:E56 N50:N55 M50:M56 V50:V55 U50:U56" name="questions maping clo plo_1"/>
  </protectedRanges>
  <mergeCells count="38">
    <mergeCell ref="F73:K73"/>
    <mergeCell ref="V73:AB73"/>
    <mergeCell ref="F74:K74"/>
    <mergeCell ref="V74:AB74"/>
    <mergeCell ref="AE10:AG10"/>
    <mergeCell ref="L11:L12"/>
    <mergeCell ref="O11:O12"/>
    <mergeCell ref="T11:T12"/>
    <mergeCell ref="W11:W12"/>
    <mergeCell ref="C57:E59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AB9:AD9"/>
    <mergeCell ref="C10:D10"/>
    <mergeCell ref="X10:X12"/>
    <mergeCell ref="C11:D11"/>
    <mergeCell ref="G11:G12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2744-94F6-42B9-A25F-39CED14A58CA}">
  <sheetPr>
    <pageSetUpPr fitToPage="1"/>
  </sheetPr>
  <dimension ref="A1:AG88"/>
  <sheetViews>
    <sheetView topLeftCell="E1" zoomScale="80" zoomScaleNormal="80" workbookViewId="0">
      <selection activeCell="C50" sqref="C50:AD56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s">
        <v>182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'[8]Islamic Studies'!B5</f>
        <v>Title (Code):  Islamic Studies (ISL-126)</v>
      </c>
      <c r="E5" s="485"/>
      <c r="F5" s="485"/>
      <c r="G5" s="486"/>
      <c r="H5" s="473" t="s">
        <v>189</v>
      </c>
      <c r="I5" s="474"/>
      <c r="J5" s="489" t="str">
        <f>'[8]Islamic Studies'!H5</f>
        <v>Name: Abdul Nasir Zamir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190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TRANSPOSE(_xlfn._xlws.FILTER('[8]CLO &amp; PLO'!K1:K10,'Islamic Studies 2'!E7='[8]CLO &amp; PLO'!A1))</f>
        <v>40</v>
      </c>
      <c r="F8" s="226">
        <v>30</v>
      </c>
      <c r="G8" s="226">
        <v>30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_xlfn._xlws.FILTER('[8]CLO &amp; PLO'!X1:X10,'[8]CLO &amp; PLO'!N1='Islamic Studies 2'!P7))</f>
        <v>100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193</v>
      </c>
      <c r="F11" s="235"/>
      <c r="G11" s="525" t="s">
        <v>9</v>
      </c>
      <c r="H11" s="236" t="s">
        <v>193</v>
      </c>
      <c r="I11" s="235" t="s">
        <v>194</v>
      </c>
      <c r="J11" s="236"/>
      <c r="K11" s="236"/>
      <c r="L11" s="525" t="s">
        <v>9</v>
      </c>
      <c r="M11" s="235" t="s">
        <v>195</v>
      </c>
      <c r="N11" s="235"/>
      <c r="O11" s="525" t="s">
        <v>9</v>
      </c>
      <c r="P11" s="235" t="s">
        <v>193</v>
      </c>
      <c r="Q11" s="235" t="s">
        <v>195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174</v>
      </c>
      <c r="AB11" s="237" t="str">
        <f>Y11</f>
        <v>PLO1</v>
      </c>
      <c r="AC11" s="237" t="str">
        <f>Z11</f>
        <v>PLO2</v>
      </c>
      <c r="AD11" s="237" t="str">
        <f>AA11</f>
        <v>PLO3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177</v>
      </c>
      <c r="F12" s="235"/>
      <c r="G12" s="527"/>
      <c r="H12" s="235" t="s">
        <v>177</v>
      </c>
      <c r="I12" s="235" t="s">
        <v>177</v>
      </c>
      <c r="J12" s="236"/>
      <c r="K12" s="236"/>
      <c r="L12" s="527"/>
      <c r="M12" s="235" t="s">
        <v>177</v>
      </c>
      <c r="N12" s="235"/>
      <c r="O12" s="527"/>
      <c r="P12" s="235" t="s">
        <v>177</v>
      </c>
      <c r="Q12" s="235" t="s">
        <v>177</v>
      </c>
      <c r="R12" s="235"/>
      <c r="S12" s="235"/>
      <c r="T12" s="527"/>
      <c r="U12" s="237" t="s">
        <v>177</v>
      </c>
      <c r="V12" s="237"/>
      <c r="W12" s="527"/>
      <c r="X12" s="527"/>
      <c r="Y12" s="237" cm="1">
        <f t="array" ref="Y12">IFERROR(_xlfn._xlws.FILTER(_xlfn.ANCHORARRAY(P8),Y11=$P$7:$Y$7),0)</f>
        <v>100</v>
      </c>
      <c r="Z12" s="237" cm="1">
        <f t="array" ref="Z12">IFERROR(_xlfn._xlws.FILTER(_xlfn.ANCHORARRAY(P8),Z11=$P$7:$Y$7),0)</f>
        <v>0</v>
      </c>
      <c r="AA12" s="237" cm="1">
        <f t="array" ref="AA12">IFERROR(_xlfn._xlws.FILTER(_xlfn.ANCHORARRAY(P8),AA11=$P$7:$Y$7),0)</f>
        <v>0</v>
      </c>
      <c r="AB12" s="237" cm="1">
        <f t="array" ref="AB12">IFERROR(_xlfn._xlws.FILTER(_xlfn.ANCHORARRAY(P8),AB11=$P$7:$Y$7),0)</f>
        <v>100</v>
      </c>
      <c r="AC12" s="237" cm="1">
        <f t="array" ref="AC12">IFERROR(_xlfn._xlws.FILTER(_xlfn.ANCHORARRAY(P8),AC11=$P$7:$Y$7),0)</f>
        <v>0</v>
      </c>
      <c r="AD12" s="237" cm="1">
        <f t="array" ref="AD12">IFERROR(_xlfn._xlws.FILTER(_xlfn.ANCHORARRAY(P8),AD11=$P$7:$Y$7),0)</f>
        <v>0</v>
      </c>
    </row>
    <row r="13" spans="1:33" ht="15.75" x14ac:dyDescent="0.25">
      <c r="A13" s="239">
        <v>1</v>
      </c>
      <c r="B13" s="240" t="s">
        <v>220</v>
      </c>
      <c r="C13" s="166" t="str">
        <f>'[8]Islamic Studies'!A26</f>
        <v>2023-IT-01</v>
      </c>
      <c r="D13" s="166" t="str">
        <f>'[8]Islamic Studies'!B26</f>
        <v>Rahma Noor</v>
      </c>
      <c r="E13" s="168">
        <f>'[8]Islamic Studies'!D26</f>
        <v>8</v>
      </c>
      <c r="F13" s="168"/>
      <c r="G13" s="229">
        <f>E13</f>
        <v>8</v>
      </c>
      <c r="H13" s="168">
        <v>8</v>
      </c>
      <c r="I13" s="168">
        <v>14</v>
      </c>
      <c r="J13" s="168"/>
      <c r="K13" s="168"/>
      <c r="L13" s="229">
        <f>'[8]Islamic Studies'!E26</f>
        <v>22</v>
      </c>
      <c r="M13" s="168">
        <f>'[8]Islamic Studies'!F26</f>
        <v>10</v>
      </c>
      <c r="N13" s="168"/>
      <c r="O13" s="229">
        <f>M13</f>
        <v>10</v>
      </c>
      <c r="P13" s="241">
        <v>15</v>
      </c>
      <c r="Q13" s="168">
        <v>15</v>
      </c>
      <c r="R13" s="168"/>
      <c r="S13" s="242"/>
      <c r="T13" s="229">
        <f>'[8]Islamic Studies'!G26</f>
        <v>30</v>
      </c>
      <c r="U13" s="243">
        <f>'[8]Islamic Studies'!H26</f>
        <v>9</v>
      </c>
      <c r="V13" s="241"/>
      <c r="W13" s="229">
        <f>U13</f>
        <v>9</v>
      </c>
      <c r="X13" s="229">
        <f t="shared" ref="X13:X49" si="0">SUM(G13+L13+O13+T13+W13)</f>
        <v>79</v>
      </c>
      <c r="Y13" s="244">
        <f t="shared" ref="Y13:Y56" si="1">SUMIF($E$12:$V$12,$Y$11,E13:V13)</f>
        <v>79</v>
      </c>
      <c r="Z13" s="244">
        <f t="shared" ref="Z13:Z56" si="2">SUMIF($E$12:$V$12,$Z$11,E13:V13)</f>
        <v>0</v>
      </c>
      <c r="AA13" s="244">
        <f t="shared" ref="AA13:AA56" si="3">SUMIF($E$12:$V$12,$AA$11,E13:V13)</f>
        <v>0</v>
      </c>
      <c r="AB13" s="244" t="str">
        <f>IFERROR(IF(Y13/$Y$12*100&gt;=50,"Y","N"),0)</f>
        <v>Y</v>
      </c>
      <c r="AC13" s="244">
        <f>IFERROR(IF(Z13/$Z$12*100&gt;=50,"Y","N"),0)</f>
        <v>0</v>
      </c>
      <c r="AD13" s="244">
        <f>IFERROR(IF(AA13/$AA$12*100&gt;=50,"Y","N"),0)</f>
        <v>0</v>
      </c>
    </row>
    <row r="14" spans="1:33" ht="15.75" x14ac:dyDescent="0.25">
      <c r="A14" s="245">
        <v>2</v>
      </c>
      <c r="B14" s="246" t="s">
        <v>221</v>
      </c>
      <c r="C14" s="166" t="str">
        <f>'[8]Islamic Studies'!A27</f>
        <v>2023-IT-02</v>
      </c>
      <c r="D14" s="166" t="str">
        <f>'[8]Islamic Studies'!B27</f>
        <v>Alishba Manzoor</v>
      </c>
      <c r="E14" s="168">
        <f>'[8]Islamic Studies'!D27</f>
        <v>7</v>
      </c>
      <c r="F14" s="168"/>
      <c r="G14" s="229">
        <f t="shared" ref="G14:G56" si="4">E14</f>
        <v>7</v>
      </c>
      <c r="H14" s="168">
        <v>10</v>
      </c>
      <c r="I14" s="168">
        <v>12</v>
      </c>
      <c r="J14" s="168"/>
      <c r="K14" s="168"/>
      <c r="L14" s="229">
        <f>'[8]Islamic Studies'!E27</f>
        <v>22</v>
      </c>
      <c r="M14" s="168">
        <f>'[8]Islamic Studies'!F27</f>
        <v>9</v>
      </c>
      <c r="N14" s="168"/>
      <c r="O14" s="229">
        <f t="shared" ref="O14:O56" si="5">M14</f>
        <v>9</v>
      </c>
      <c r="P14" s="241">
        <v>14</v>
      </c>
      <c r="Q14" s="168">
        <v>16</v>
      </c>
      <c r="R14" s="168"/>
      <c r="S14" s="242"/>
      <c r="T14" s="229">
        <f>'[8]Islamic Studies'!G27</f>
        <v>30</v>
      </c>
      <c r="U14" s="243">
        <f>'[8]Islamic Studies'!H27</f>
        <v>8</v>
      </c>
      <c r="V14" s="241"/>
      <c r="W14" s="229">
        <f t="shared" ref="W14:W56" si="6">U14</f>
        <v>8</v>
      </c>
      <c r="X14" s="229">
        <f t="shared" si="0"/>
        <v>76</v>
      </c>
      <c r="Y14" s="244">
        <f t="shared" si="1"/>
        <v>76</v>
      </c>
      <c r="Z14" s="244">
        <f t="shared" si="2"/>
        <v>0</v>
      </c>
      <c r="AA14" s="244">
        <f t="shared" si="3"/>
        <v>0</v>
      </c>
      <c r="AB14" s="244" t="str">
        <f t="shared" ref="AB14:AB56" si="7">IFERROR(IF(Y14/$Y$12*100&gt;=50,"Y","N"),0)</f>
        <v>Y</v>
      </c>
      <c r="AC14" s="244">
        <f t="shared" ref="AC14:AC56" si="8">IFERROR(IF(Z14/$Z$12*100&gt;=50,"Y","N"),0)</f>
        <v>0</v>
      </c>
      <c r="AD14" s="244">
        <f t="shared" ref="AD14:AD56" si="9">IFERROR(IF(AA14/$AA$12*100&gt;=50,"Y","N"),0)</f>
        <v>0</v>
      </c>
      <c r="AE14" s="222"/>
      <c r="AF14" s="222"/>
      <c r="AG14" s="222"/>
    </row>
    <row r="15" spans="1:33" ht="15.75" x14ac:dyDescent="0.25">
      <c r="A15" s="247">
        <v>3</v>
      </c>
      <c r="B15" s="248" t="s">
        <v>222</v>
      </c>
      <c r="C15" s="166" t="str">
        <f>'[8]Islamic Studies'!A28</f>
        <v>2023-IT-03</v>
      </c>
      <c r="D15" s="166" t="str">
        <f>'[8]Islamic Studies'!B28</f>
        <v>Maheen Fatima</v>
      </c>
      <c r="E15" s="168">
        <f>'[8]Islamic Studies'!D28</f>
        <v>8</v>
      </c>
      <c r="F15" s="168"/>
      <c r="G15" s="229">
        <f t="shared" si="4"/>
        <v>8</v>
      </c>
      <c r="H15" s="168">
        <v>9</v>
      </c>
      <c r="I15" s="168">
        <v>11</v>
      </c>
      <c r="J15" s="168"/>
      <c r="K15" s="168"/>
      <c r="L15" s="229">
        <f>'[8]Islamic Studies'!E28</f>
        <v>21</v>
      </c>
      <c r="M15" s="168">
        <f>'[8]Islamic Studies'!F28</f>
        <v>9</v>
      </c>
      <c r="N15" s="168"/>
      <c r="O15" s="229">
        <f t="shared" si="5"/>
        <v>9</v>
      </c>
      <c r="P15" s="241">
        <v>14</v>
      </c>
      <c r="Q15" s="168">
        <v>10</v>
      </c>
      <c r="R15" s="168"/>
      <c r="S15" s="242"/>
      <c r="T15" s="229">
        <f>'[8]Islamic Studies'!G28</f>
        <v>24</v>
      </c>
      <c r="U15" s="243">
        <f>'[8]Islamic Studies'!H28</f>
        <v>7</v>
      </c>
      <c r="V15" s="241"/>
      <c r="W15" s="229">
        <f t="shared" si="6"/>
        <v>7</v>
      </c>
      <c r="X15" s="229">
        <f t="shared" si="0"/>
        <v>69</v>
      </c>
      <c r="Y15" s="244">
        <f t="shared" si="1"/>
        <v>68</v>
      </c>
      <c r="Z15" s="244">
        <f t="shared" si="2"/>
        <v>0</v>
      </c>
      <c r="AA15" s="244">
        <f t="shared" si="3"/>
        <v>0</v>
      </c>
      <c r="AB15" s="244" t="str">
        <f t="shared" si="7"/>
        <v>Y</v>
      </c>
      <c r="AC15" s="244">
        <f t="shared" si="8"/>
        <v>0</v>
      </c>
      <c r="AD15" s="244">
        <f t="shared" si="9"/>
        <v>0</v>
      </c>
      <c r="AE15" s="222"/>
      <c r="AF15" s="222"/>
      <c r="AG15" s="222"/>
    </row>
    <row r="16" spans="1:33" ht="15.75" x14ac:dyDescent="0.25">
      <c r="A16" s="245">
        <v>4</v>
      </c>
      <c r="B16" s="246" t="s">
        <v>223</v>
      </c>
      <c r="C16" s="166" t="str">
        <f>'[8]Islamic Studies'!A29</f>
        <v>2023-IT-04</v>
      </c>
      <c r="D16" s="166" t="str">
        <f>'[8]Islamic Studies'!B29</f>
        <v>Aneela</v>
      </c>
      <c r="E16" s="168">
        <f>'[8]Islamic Studies'!D29</f>
        <v>10</v>
      </c>
      <c r="F16" s="168"/>
      <c r="G16" s="229">
        <f t="shared" si="4"/>
        <v>10</v>
      </c>
      <c r="H16" s="168">
        <v>8</v>
      </c>
      <c r="I16" s="168">
        <v>12</v>
      </c>
      <c r="J16" s="168"/>
      <c r="K16" s="168"/>
      <c r="L16" s="229">
        <f>'[8]Islamic Studies'!E29</f>
        <v>20</v>
      </c>
      <c r="M16" s="168">
        <f>'[8]Islamic Studies'!F29</f>
        <v>10</v>
      </c>
      <c r="N16" s="168"/>
      <c r="O16" s="229">
        <f t="shared" si="5"/>
        <v>10</v>
      </c>
      <c r="P16" s="241">
        <v>13</v>
      </c>
      <c r="Q16" s="168">
        <v>17</v>
      </c>
      <c r="R16" s="168"/>
      <c r="S16" s="242"/>
      <c r="T16" s="229">
        <f>'[8]Islamic Studies'!G29</f>
        <v>30</v>
      </c>
      <c r="U16" s="243">
        <f>'[8]Islamic Studies'!H29</f>
        <v>8</v>
      </c>
      <c r="V16" s="241"/>
      <c r="W16" s="229">
        <f t="shared" si="6"/>
        <v>8</v>
      </c>
      <c r="X16" s="229">
        <f t="shared" si="0"/>
        <v>78</v>
      </c>
      <c r="Y16" s="244">
        <f t="shared" si="1"/>
        <v>78</v>
      </c>
      <c r="Z16" s="244">
        <f t="shared" si="2"/>
        <v>0</v>
      </c>
      <c r="AA16" s="244">
        <f t="shared" si="3"/>
        <v>0</v>
      </c>
      <c r="AB16" s="244" t="str">
        <f t="shared" si="7"/>
        <v>Y</v>
      </c>
      <c r="AC16" s="244">
        <f t="shared" si="8"/>
        <v>0</v>
      </c>
      <c r="AD16" s="244">
        <f t="shared" si="9"/>
        <v>0</v>
      </c>
      <c r="AE16" s="222"/>
      <c r="AF16" s="222"/>
      <c r="AG16" s="222"/>
    </row>
    <row r="17" spans="1:33" ht="15.75" x14ac:dyDescent="0.25">
      <c r="A17" s="245">
        <v>5</v>
      </c>
      <c r="B17" s="246" t="s">
        <v>224</v>
      </c>
      <c r="C17" s="166" t="str">
        <f>'[8]Islamic Studies'!A30</f>
        <v>2023-IT-05</v>
      </c>
      <c r="D17" s="166" t="str">
        <f>'[8]Islamic Studies'!B30</f>
        <v>Alishba Saleem</v>
      </c>
      <c r="E17" s="168">
        <f>'[8]Islamic Studies'!D30</f>
        <v>8</v>
      </c>
      <c r="F17" s="168"/>
      <c r="G17" s="229">
        <f t="shared" si="4"/>
        <v>8</v>
      </c>
      <c r="H17" s="249">
        <v>8</v>
      </c>
      <c r="I17" s="249">
        <v>12</v>
      </c>
      <c r="J17" s="249"/>
      <c r="K17" s="249"/>
      <c r="L17" s="229">
        <f>'[8]Islamic Studies'!E30</f>
        <v>20</v>
      </c>
      <c r="M17" s="168">
        <f>'[8]Islamic Studies'!F30</f>
        <v>8</v>
      </c>
      <c r="N17" s="249"/>
      <c r="O17" s="229">
        <f t="shared" si="5"/>
        <v>8</v>
      </c>
      <c r="P17" s="250">
        <v>8</v>
      </c>
      <c r="Q17" s="249">
        <v>20</v>
      </c>
      <c r="R17" s="249"/>
      <c r="S17" s="242"/>
      <c r="T17" s="229">
        <f>'[8]Islamic Studies'!G30</f>
        <v>28</v>
      </c>
      <c r="U17" s="243">
        <f>'[8]Islamic Studies'!H30</f>
        <v>8</v>
      </c>
      <c r="V17" s="241"/>
      <c r="W17" s="229">
        <f t="shared" si="6"/>
        <v>8</v>
      </c>
      <c r="X17" s="229">
        <f t="shared" si="0"/>
        <v>72</v>
      </c>
      <c r="Y17" s="244">
        <f t="shared" si="1"/>
        <v>72</v>
      </c>
      <c r="Z17" s="244">
        <f t="shared" si="2"/>
        <v>0</v>
      </c>
      <c r="AA17" s="244">
        <f t="shared" si="3"/>
        <v>0</v>
      </c>
      <c r="AB17" s="244" t="str">
        <f t="shared" si="7"/>
        <v>Y</v>
      </c>
      <c r="AC17" s="244">
        <f t="shared" si="8"/>
        <v>0</v>
      </c>
      <c r="AD17" s="244">
        <f t="shared" si="9"/>
        <v>0</v>
      </c>
      <c r="AE17" s="222"/>
      <c r="AF17" s="222"/>
      <c r="AG17" s="222"/>
    </row>
    <row r="18" spans="1:33" ht="15.75" x14ac:dyDescent="0.25">
      <c r="A18" s="245">
        <v>6</v>
      </c>
      <c r="B18" s="246" t="s">
        <v>225</v>
      </c>
      <c r="C18" s="166" t="str">
        <f>'[8]Islamic Studies'!A31</f>
        <v>2023-IT-06</v>
      </c>
      <c r="D18" s="166" t="str">
        <f>'[8]Islamic Studies'!B31</f>
        <v>Mehak Asghar</v>
      </c>
      <c r="E18" s="168">
        <f>'[8]Islamic Studies'!D31</f>
        <v>8</v>
      </c>
      <c r="F18" s="168"/>
      <c r="G18" s="229">
        <f t="shared" si="4"/>
        <v>8</v>
      </c>
      <c r="H18" s="249">
        <v>9</v>
      </c>
      <c r="I18" s="249">
        <v>11</v>
      </c>
      <c r="J18" s="249"/>
      <c r="K18" s="249"/>
      <c r="L18" s="229">
        <f>'[8]Islamic Studies'!E31</f>
        <v>21</v>
      </c>
      <c r="M18" s="168">
        <f>'[8]Islamic Studies'!F31</f>
        <v>10</v>
      </c>
      <c r="N18" s="249"/>
      <c r="O18" s="229">
        <f t="shared" si="5"/>
        <v>10</v>
      </c>
      <c r="P18" s="250">
        <v>12</v>
      </c>
      <c r="Q18" s="249">
        <v>20</v>
      </c>
      <c r="R18" s="249"/>
      <c r="S18" s="242"/>
      <c r="T18" s="229">
        <f>'[8]Islamic Studies'!G31</f>
        <v>32</v>
      </c>
      <c r="U18" s="243">
        <f>'[8]Islamic Studies'!H31</f>
        <v>10</v>
      </c>
      <c r="V18" s="241"/>
      <c r="W18" s="229">
        <f t="shared" si="6"/>
        <v>10</v>
      </c>
      <c r="X18" s="229">
        <f t="shared" si="0"/>
        <v>81</v>
      </c>
      <c r="Y18" s="244">
        <f t="shared" si="1"/>
        <v>80</v>
      </c>
      <c r="Z18" s="244">
        <f t="shared" si="2"/>
        <v>0</v>
      </c>
      <c r="AA18" s="244">
        <f t="shared" si="3"/>
        <v>0</v>
      </c>
      <c r="AB18" s="244" t="str">
        <f t="shared" si="7"/>
        <v>Y</v>
      </c>
      <c r="AC18" s="244">
        <f t="shared" si="8"/>
        <v>0</v>
      </c>
      <c r="AD18" s="244">
        <f t="shared" si="9"/>
        <v>0</v>
      </c>
      <c r="AE18" s="222"/>
      <c r="AF18" s="222"/>
      <c r="AG18" s="222"/>
    </row>
    <row r="19" spans="1:33" ht="15.75" x14ac:dyDescent="0.25">
      <c r="A19" s="245">
        <v>7</v>
      </c>
      <c r="B19" s="246" t="s">
        <v>226</v>
      </c>
      <c r="C19" s="166" t="str">
        <f>'[8]Islamic Studies'!A32</f>
        <v>2023-IT-07</v>
      </c>
      <c r="D19" s="166" t="str">
        <f>'[8]Islamic Studies'!B32</f>
        <v>Humaira Afzal</v>
      </c>
      <c r="E19" s="168">
        <f>'[8]Islamic Studies'!D32</f>
        <v>9</v>
      </c>
      <c r="F19" s="168"/>
      <c r="G19" s="229">
        <f t="shared" si="4"/>
        <v>9</v>
      </c>
      <c r="H19" s="249">
        <v>10</v>
      </c>
      <c r="I19" s="249">
        <v>12</v>
      </c>
      <c r="J19" s="249"/>
      <c r="K19" s="249"/>
      <c r="L19" s="229">
        <f>'[8]Islamic Studies'!E32</f>
        <v>22</v>
      </c>
      <c r="M19" s="168">
        <f>'[8]Islamic Studies'!F32</f>
        <v>9</v>
      </c>
      <c r="N19" s="249"/>
      <c r="O19" s="229">
        <f t="shared" si="5"/>
        <v>9</v>
      </c>
      <c r="P19" s="250">
        <v>14</v>
      </c>
      <c r="Q19" s="249">
        <v>18</v>
      </c>
      <c r="R19" s="249"/>
      <c r="S19" s="242"/>
      <c r="T19" s="229">
        <f>'[8]Islamic Studies'!G32</f>
        <v>32</v>
      </c>
      <c r="U19" s="243">
        <f>'[8]Islamic Studies'!H32</f>
        <v>8</v>
      </c>
      <c r="V19" s="241"/>
      <c r="W19" s="229">
        <f t="shared" si="6"/>
        <v>8</v>
      </c>
      <c r="X19" s="229">
        <f t="shared" si="0"/>
        <v>80</v>
      </c>
      <c r="Y19" s="244">
        <f t="shared" si="1"/>
        <v>80</v>
      </c>
      <c r="Z19" s="244">
        <f t="shared" si="2"/>
        <v>0</v>
      </c>
      <c r="AA19" s="244">
        <f t="shared" si="3"/>
        <v>0</v>
      </c>
      <c r="AB19" s="244" t="str">
        <f t="shared" si="7"/>
        <v>Y</v>
      </c>
      <c r="AC19" s="244">
        <f t="shared" si="8"/>
        <v>0</v>
      </c>
      <c r="AD19" s="244">
        <f t="shared" si="9"/>
        <v>0</v>
      </c>
      <c r="AE19" s="222"/>
      <c r="AF19" s="222"/>
      <c r="AG19" s="222"/>
    </row>
    <row r="20" spans="1:33" ht="15.75" x14ac:dyDescent="0.25">
      <c r="A20" s="245">
        <v>10</v>
      </c>
      <c r="B20" s="246" t="s">
        <v>227</v>
      </c>
      <c r="C20" s="166" t="str">
        <f>'[8]Islamic Studies'!A33</f>
        <v>2023-IT-08</v>
      </c>
      <c r="D20" s="166" t="str">
        <f>'[8]Islamic Studies'!B33</f>
        <v>Saleena Khan</v>
      </c>
      <c r="E20" s="168">
        <f>'[8]Islamic Studies'!D33</f>
        <v>0</v>
      </c>
      <c r="F20" s="168"/>
      <c r="G20" s="229">
        <f t="shared" si="4"/>
        <v>0</v>
      </c>
      <c r="H20" s="249">
        <v>0</v>
      </c>
      <c r="I20" s="249">
        <v>0</v>
      </c>
      <c r="J20" s="249"/>
      <c r="K20" s="249"/>
      <c r="L20" s="229">
        <f>'[8]Islamic Studies'!E33</f>
        <v>0</v>
      </c>
      <c r="M20" s="168">
        <f>'[8]Islamic Studies'!F33</f>
        <v>0</v>
      </c>
      <c r="N20" s="249"/>
      <c r="O20" s="229">
        <f t="shared" si="5"/>
        <v>0</v>
      </c>
      <c r="P20" s="250">
        <v>0</v>
      </c>
      <c r="Q20" s="249">
        <v>0</v>
      </c>
      <c r="R20" s="249"/>
      <c r="S20" s="242"/>
      <c r="T20" s="229">
        <f>'[8]Islamic Studies'!G33</f>
        <v>0</v>
      </c>
      <c r="U20" s="243">
        <f>'[8]Islamic Studies'!H33</f>
        <v>0</v>
      </c>
      <c r="V20" s="241"/>
      <c r="W20" s="229">
        <f t="shared" si="6"/>
        <v>0</v>
      </c>
      <c r="X20" s="229">
        <f t="shared" si="0"/>
        <v>0</v>
      </c>
      <c r="Y20" s="244">
        <f t="shared" si="1"/>
        <v>0</v>
      </c>
      <c r="Z20" s="244">
        <f t="shared" si="2"/>
        <v>0</v>
      </c>
      <c r="AA20" s="244">
        <f t="shared" si="3"/>
        <v>0</v>
      </c>
      <c r="AB20" s="244" t="str">
        <f t="shared" si="7"/>
        <v>N</v>
      </c>
      <c r="AC20" s="244">
        <f t="shared" si="8"/>
        <v>0</v>
      </c>
      <c r="AD20" s="244">
        <f t="shared" si="9"/>
        <v>0</v>
      </c>
      <c r="AE20" s="222"/>
      <c r="AF20" s="222"/>
      <c r="AG20" s="222"/>
    </row>
    <row r="21" spans="1:33" ht="15.75" x14ac:dyDescent="0.25">
      <c r="A21" s="245">
        <v>11</v>
      </c>
      <c r="B21" s="246" t="s">
        <v>228</v>
      </c>
      <c r="C21" s="166" t="str">
        <f>'[8]Islamic Studies'!A34</f>
        <v>2023-IT-10</v>
      </c>
      <c r="D21" s="166" t="str">
        <f>'[8]Islamic Studies'!B34</f>
        <v>Asad Ullah</v>
      </c>
      <c r="E21" s="168">
        <f>'[8]Islamic Studies'!D34</f>
        <v>7</v>
      </c>
      <c r="F21" s="168"/>
      <c r="G21" s="229">
        <f t="shared" si="4"/>
        <v>7</v>
      </c>
      <c r="H21" s="249">
        <v>7</v>
      </c>
      <c r="I21" s="249">
        <v>8</v>
      </c>
      <c r="J21" s="249"/>
      <c r="K21" s="249"/>
      <c r="L21" s="229">
        <f>'[8]Islamic Studies'!E34</f>
        <v>15</v>
      </c>
      <c r="M21" s="168">
        <f>'[8]Islamic Studies'!F34</f>
        <v>7</v>
      </c>
      <c r="N21" s="249"/>
      <c r="O21" s="229">
        <f t="shared" si="5"/>
        <v>7</v>
      </c>
      <c r="P21" s="250">
        <v>10</v>
      </c>
      <c r="Q21" s="249">
        <v>14</v>
      </c>
      <c r="R21" s="249"/>
      <c r="S21" s="242"/>
      <c r="T21" s="229">
        <f>'[8]Islamic Studies'!G34</f>
        <v>24</v>
      </c>
      <c r="U21" s="243">
        <f>'[8]Islamic Studies'!H34</f>
        <v>9</v>
      </c>
      <c r="V21" s="241"/>
      <c r="W21" s="229">
        <f t="shared" si="6"/>
        <v>9</v>
      </c>
      <c r="X21" s="229">
        <f t="shared" si="0"/>
        <v>62</v>
      </c>
      <c r="Y21" s="244">
        <f t="shared" si="1"/>
        <v>62</v>
      </c>
      <c r="Z21" s="244">
        <f t="shared" si="2"/>
        <v>0</v>
      </c>
      <c r="AA21" s="244">
        <f t="shared" si="3"/>
        <v>0</v>
      </c>
      <c r="AB21" s="244" t="str">
        <f t="shared" si="7"/>
        <v>Y</v>
      </c>
      <c r="AC21" s="244">
        <f t="shared" si="8"/>
        <v>0</v>
      </c>
      <c r="AD21" s="244">
        <f t="shared" si="9"/>
        <v>0</v>
      </c>
      <c r="AE21" s="222"/>
      <c r="AF21" s="222"/>
      <c r="AG21" s="222"/>
    </row>
    <row r="22" spans="1:33" ht="15.75" x14ac:dyDescent="0.25">
      <c r="A22" s="245">
        <v>12</v>
      </c>
      <c r="B22" s="246" t="s">
        <v>229</v>
      </c>
      <c r="C22" s="166" t="str">
        <f>'[8]Islamic Studies'!A35</f>
        <v>2023-IT-11</v>
      </c>
      <c r="D22" s="166" t="str">
        <f>'[8]Islamic Studies'!B35</f>
        <v>Rana Talha dawood</v>
      </c>
      <c r="E22" s="168">
        <f>'[8]Islamic Studies'!D35</f>
        <v>7</v>
      </c>
      <c r="F22" s="168"/>
      <c r="G22" s="229">
        <f t="shared" si="4"/>
        <v>7</v>
      </c>
      <c r="H22" s="249">
        <v>7</v>
      </c>
      <c r="I22" s="249">
        <v>8</v>
      </c>
      <c r="J22" s="249"/>
      <c r="K22" s="249"/>
      <c r="L22" s="229">
        <f>'[8]Islamic Studies'!E35</f>
        <v>15</v>
      </c>
      <c r="M22" s="168">
        <f>'[8]Islamic Studies'!F35</f>
        <v>7</v>
      </c>
      <c r="N22" s="249"/>
      <c r="O22" s="229">
        <f t="shared" si="5"/>
        <v>7</v>
      </c>
      <c r="P22" s="250">
        <v>8</v>
      </c>
      <c r="Q22" s="249">
        <v>18</v>
      </c>
      <c r="R22" s="249"/>
      <c r="S22" s="242"/>
      <c r="T22" s="229">
        <f>'[8]Islamic Studies'!G35</f>
        <v>26</v>
      </c>
      <c r="U22" s="243">
        <f>'[8]Islamic Studies'!H35</f>
        <v>8</v>
      </c>
      <c r="V22" s="241"/>
      <c r="W22" s="229">
        <f t="shared" si="6"/>
        <v>8</v>
      </c>
      <c r="X22" s="229">
        <f t="shared" si="0"/>
        <v>63</v>
      </c>
      <c r="Y22" s="244">
        <f t="shared" si="1"/>
        <v>63</v>
      </c>
      <c r="Z22" s="244">
        <f t="shared" si="2"/>
        <v>0</v>
      </c>
      <c r="AA22" s="244">
        <f t="shared" si="3"/>
        <v>0</v>
      </c>
      <c r="AB22" s="244" t="str">
        <f t="shared" si="7"/>
        <v>Y</v>
      </c>
      <c r="AC22" s="244">
        <f t="shared" si="8"/>
        <v>0</v>
      </c>
      <c r="AD22" s="244">
        <f t="shared" si="9"/>
        <v>0</v>
      </c>
      <c r="AE22" s="222"/>
      <c r="AF22" s="222"/>
      <c r="AG22" s="222"/>
    </row>
    <row r="23" spans="1:33" ht="15.75" x14ac:dyDescent="0.25">
      <c r="A23" s="245">
        <v>13</v>
      </c>
      <c r="B23" s="246" t="s">
        <v>230</v>
      </c>
      <c r="C23" s="166" t="str">
        <f>'[8]Islamic Studies'!A36</f>
        <v>2023-IT-12</v>
      </c>
      <c r="D23" s="166" t="str">
        <f>'[8]Islamic Studies'!B36</f>
        <v>Ali Ahmad</v>
      </c>
      <c r="E23" s="168">
        <f>'[8]Islamic Studies'!D36</f>
        <v>8</v>
      </c>
      <c r="F23" s="168"/>
      <c r="G23" s="229">
        <f t="shared" si="4"/>
        <v>8</v>
      </c>
      <c r="H23" s="249">
        <v>10</v>
      </c>
      <c r="I23" s="249">
        <v>11</v>
      </c>
      <c r="J23" s="249"/>
      <c r="K23" s="249"/>
      <c r="L23" s="229">
        <f>'[8]Islamic Studies'!E36</f>
        <v>21</v>
      </c>
      <c r="M23" s="168">
        <f>'[8]Islamic Studies'!F36</f>
        <v>7</v>
      </c>
      <c r="N23" s="249"/>
      <c r="O23" s="229">
        <f t="shared" si="5"/>
        <v>7</v>
      </c>
      <c r="P23" s="250">
        <v>14</v>
      </c>
      <c r="Q23" s="249">
        <v>18</v>
      </c>
      <c r="R23" s="249"/>
      <c r="S23" s="242"/>
      <c r="T23" s="229">
        <f>'[8]Islamic Studies'!G36</f>
        <v>32</v>
      </c>
      <c r="U23" s="243">
        <f>'[8]Islamic Studies'!H36</f>
        <v>7</v>
      </c>
      <c r="V23" s="241"/>
      <c r="W23" s="229">
        <f t="shared" si="6"/>
        <v>7</v>
      </c>
      <c r="X23" s="229">
        <f t="shared" si="0"/>
        <v>75</v>
      </c>
      <c r="Y23" s="244">
        <f t="shared" si="1"/>
        <v>75</v>
      </c>
      <c r="Z23" s="244">
        <f t="shared" si="2"/>
        <v>0</v>
      </c>
      <c r="AA23" s="244">
        <f t="shared" si="3"/>
        <v>0</v>
      </c>
      <c r="AB23" s="244" t="str">
        <f t="shared" si="7"/>
        <v>Y</v>
      </c>
      <c r="AC23" s="244">
        <f t="shared" si="8"/>
        <v>0</v>
      </c>
      <c r="AD23" s="244">
        <f t="shared" si="9"/>
        <v>0</v>
      </c>
      <c r="AE23" s="222"/>
      <c r="AF23" s="222"/>
      <c r="AG23" s="222"/>
    </row>
    <row r="24" spans="1:33" ht="15.75" x14ac:dyDescent="0.25">
      <c r="A24" s="245">
        <v>14</v>
      </c>
      <c r="B24" s="246" t="s">
        <v>231</v>
      </c>
      <c r="C24" s="166" t="str">
        <f>'[8]Islamic Studies'!A37</f>
        <v>2023-IT-13</v>
      </c>
      <c r="D24" s="166" t="str">
        <f>'[8]Islamic Studies'!B37</f>
        <v>Muhammad Daud</v>
      </c>
      <c r="E24" s="168">
        <f>'[8]Islamic Studies'!D37</f>
        <v>7</v>
      </c>
      <c r="F24" s="168"/>
      <c r="G24" s="229">
        <f t="shared" si="4"/>
        <v>7</v>
      </c>
      <c r="H24" s="249">
        <v>8</v>
      </c>
      <c r="I24" s="249">
        <v>10</v>
      </c>
      <c r="J24" s="249"/>
      <c r="K24" s="249"/>
      <c r="L24" s="229">
        <f>'[8]Islamic Studies'!E37</f>
        <v>18</v>
      </c>
      <c r="M24" s="168">
        <f>'[8]Islamic Studies'!F37</f>
        <v>9</v>
      </c>
      <c r="N24" s="249"/>
      <c r="O24" s="229">
        <f t="shared" si="5"/>
        <v>9</v>
      </c>
      <c r="P24" s="250">
        <v>10</v>
      </c>
      <c r="Q24" s="249">
        <v>14</v>
      </c>
      <c r="R24" s="249"/>
      <c r="S24" s="242"/>
      <c r="T24" s="229">
        <f>'[8]Islamic Studies'!G37</f>
        <v>24</v>
      </c>
      <c r="U24" s="243">
        <f>'[8]Islamic Studies'!H37</f>
        <v>8</v>
      </c>
      <c r="V24" s="241"/>
      <c r="W24" s="229">
        <f t="shared" si="6"/>
        <v>8</v>
      </c>
      <c r="X24" s="229">
        <f t="shared" si="0"/>
        <v>66</v>
      </c>
      <c r="Y24" s="244">
        <f t="shared" si="1"/>
        <v>66</v>
      </c>
      <c r="Z24" s="244">
        <f t="shared" si="2"/>
        <v>0</v>
      </c>
      <c r="AA24" s="244">
        <f t="shared" si="3"/>
        <v>0</v>
      </c>
      <c r="AB24" s="244" t="str">
        <f t="shared" si="7"/>
        <v>Y</v>
      </c>
      <c r="AC24" s="244">
        <f t="shared" si="8"/>
        <v>0</v>
      </c>
      <c r="AD24" s="244">
        <f t="shared" si="9"/>
        <v>0</v>
      </c>
      <c r="AE24" s="222"/>
      <c r="AF24" s="222"/>
      <c r="AG24" s="222"/>
    </row>
    <row r="25" spans="1:33" ht="15.75" x14ac:dyDescent="0.25">
      <c r="A25" s="245">
        <v>16</v>
      </c>
      <c r="B25" s="246" t="s">
        <v>232</v>
      </c>
      <c r="C25" s="166" t="str">
        <f>'[8]Islamic Studies'!A38</f>
        <v>2023-IT-14</v>
      </c>
      <c r="D25" s="166" t="str">
        <f>'[8]Islamic Studies'!B38</f>
        <v>Mursil Mateen</v>
      </c>
      <c r="E25" s="168">
        <f>'[8]Islamic Studies'!D38</f>
        <v>8</v>
      </c>
      <c r="F25" s="168"/>
      <c r="G25" s="229">
        <f t="shared" si="4"/>
        <v>8</v>
      </c>
      <c r="H25" s="249">
        <v>8</v>
      </c>
      <c r="I25" s="249">
        <v>14</v>
      </c>
      <c r="J25" s="249"/>
      <c r="K25" s="249"/>
      <c r="L25" s="229">
        <f>'[8]Islamic Studies'!E38</f>
        <v>22</v>
      </c>
      <c r="M25" s="168">
        <f>'[8]Islamic Studies'!F38</f>
        <v>9</v>
      </c>
      <c r="N25" s="249"/>
      <c r="O25" s="229">
        <f t="shared" si="5"/>
        <v>9</v>
      </c>
      <c r="P25" s="250">
        <v>12</v>
      </c>
      <c r="Q25" s="249">
        <v>19</v>
      </c>
      <c r="R25" s="249"/>
      <c r="S25" s="242"/>
      <c r="T25" s="229">
        <f>'[8]Islamic Studies'!G38</f>
        <v>31</v>
      </c>
      <c r="U25" s="243">
        <f>'[8]Islamic Studies'!H38</f>
        <v>8</v>
      </c>
      <c r="V25" s="241"/>
      <c r="W25" s="229">
        <f t="shared" si="6"/>
        <v>8</v>
      </c>
      <c r="X25" s="229">
        <f t="shared" si="0"/>
        <v>78</v>
      </c>
      <c r="Y25" s="244">
        <f t="shared" si="1"/>
        <v>78</v>
      </c>
      <c r="Z25" s="244">
        <f t="shared" si="2"/>
        <v>0</v>
      </c>
      <c r="AA25" s="244">
        <f t="shared" si="3"/>
        <v>0</v>
      </c>
      <c r="AB25" s="244" t="str">
        <f t="shared" si="7"/>
        <v>Y</v>
      </c>
      <c r="AC25" s="244">
        <f t="shared" si="8"/>
        <v>0</v>
      </c>
      <c r="AD25" s="244">
        <f t="shared" si="9"/>
        <v>0</v>
      </c>
      <c r="AE25" s="222"/>
      <c r="AF25" s="222"/>
      <c r="AG25" s="222"/>
    </row>
    <row r="26" spans="1:33" ht="15.75" x14ac:dyDescent="0.25">
      <c r="A26" s="245">
        <v>17</v>
      </c>
      <c r="B26" s="246" t="s">
        <v>233</v>
      </c>
      <c r="C26" s="166" t="str">
        <f>'[8]Islamic Studies'!A39</f>
        <v>2023-IT-16</v>
      </c>
      <c r="D26" s="166" t="str">
        <f>'[8]Islamic Studies'!B39</f>
        <v>Muhammad Usman</v>
      </c>
      <c r="E26" s="168">
        <f>'[8]Islamic Studies'!D39</f>
        <v>0</v>
      </c>
      <c r="F26" s="168"/>
      <c r="G26" s="229">
        <f t="shared" si="4"/>
        <v>0</v>
      </c>
      <c r="H26" s="249">
        <v>0</v>
      </c>
      <c r="I26" s="249">
        <v>0</v>
      </c>
      <c r="J26" s="249"/>
      <c r="K26" s="249"/>
      <c r="L26" s="229">
        <f>'[8]Islamic Studies'!E39</f>
        <v>0</v>
      </c>
      <c r="M26" s="168">
        <f>'[8]Islamic Studies'!F39</f>
        <v>0</v>
      </c>
      <c r="N26" s="249"/>
      <c r="O26" s="229">
        <f t="shared" si="5"/>
        <v>0</v>
      </c>
      <c r="P26" s="250">
        <v>0</v>
      </c>
      <c r="Q26" s="249">
        <v>0</v>
      </c>
      <c r="R26" s="249"/>
      <c r="S26" s="242"/>
      <c r="T26" s="229">
        <f>'[8]Islamic Studies'!G39</f>
        <v>0</v>
      </c>
      <c r="U26" s="243">
        <f>'[8]Islamic Studies'!H39</f>
        <v>0</v>
      </c>
      <c r="V26" s="241"/>
      <c r="W26" s="229">
        <f t="shared" si="6"/>
        <v>0</v>
      </c>
      <c r="X26" s="229">
        <f t="shared" si="0"/>
        <v>0</v>
      </c>
      <c r="Y26" s="244">
        <f t="shared" si="1"/>
        <v>0</v>
      </c>
      <c r="Z26" s="244">
        <f t="shared" si="2"/>
        <v>0</v>
      </c>
      <c r="AA26" s="244">
        <f t="shared" si="3"/>
        <v>0</v>
      </c>
      <c r="AB26" s="244" t="str">
        <f t="shared" si="7"/>
        <v>N</v>
      </c>
      <c r="AC26" s="244">
        <f t="shared" si="8"/>
        <v>0</v>
      </c>
      <c r="AD26" s="244">
        <f t="shared" si="9"/>
        <v>0</v>
      </c>
      <c r="AE26" s="222"/>
      <c r="AF26" s="222"/>
      <c r="AG26" s="222"/>
    </row>
    <row r="27" spans="1:33" ht="15.75" x14ac:dyDescent="0.25">
      <c r="A27" s="247">
        <v>18</v>
      </c>
      <c r="B27" s="248" t="s">
        <v>234</v>
      </c>
      <c r="C27" s="166" t="str">
        <f>'[8]Islamic Studies'!A40</f>
        <v>2023-IT-18</v>
      </c>
      <c r="D27" s="166" t="str">
        <f>'[8]Islamic Studies'!B40</f>
        <v>Adeel Maqbool</v>
      </c>
      <c r="E27" s="168">
        <f>'[8]Islamic Studies'!D40</f>
        <v>7</v>
      </c>
      <c r="F27" s="168"/>
      <c r="G27" s="229">
        <f t="shared" si="4"/>
        <v>7</v>
      </c>
      <c r="H27" s="249">
        <v>9</v>
      </c>
      <c r="I27" s="249">
        <v>10</v>
      </c>
      <c r="J27" s="249"/>
      <c r="K27" s="249"/>
      <c r="L27" s="229">
        <f>'[8]Islamic Studies'!E40</f>
        <v>19</v>
      </c>
      <c r="M27" s="168">
        <f>'[8]Islamic Studies'!F40</f>
        <v>9</v>
      </c>
      <c r="N27" s="249"/>
      <c r="O27" s="229">
        <f t="shared" si="5"/>
        <v>9</v>
      </c>
      <c r="P27" s="250">
        <v>10</v>
      </c>
      <c r="Q27" s="249">
        <v>17</v>
      </c>
      <c r="R27" s="249"/>
      <c r="S27" s="242"/>
      <c r="T27" s="229">
        <f>'[8]Islamic Studies'!G40</f>
        <v>27</v>
      </c>
      <c r="U27" s="243">
        <f>'[8]Islamic Studies'!H40</f>
        <v>8</v>
      </c>
      <c r="V27" s="241"/>
      <c r="W27" s="229">
        <f t="shared" si="6"/>
        <v>8</v>
      </c>
      <c r="X27" s="229">
        <f t="shared" si="0"/>
        <v>70</v>
      </c>
      <c r="Y27" s="244">
        <f t="shared" si="1"/>
        <v>70</v>
      </c>
      <c r="Z27" s="244">
        <f t="shared" si="2"/>
        <v>0</v>
      </c>
      <c r="AA27" s="244">
        <f t="shared" si="3"/>
        <v>0</v>
      </c>
      <c r="AB27" s="244" t="str">
        <f t="shared" si="7"/>
        <v>Y</v>
      </c>
      <c r="AC27" s="244">
        <f t="shared" si="8"/>
        <v>0</v>
      </c>
      <c r="AD27" s="244">
        <f t="shared" si="9"/>
        <v>0</v>
      </c>
      <c r="AE27" s="222"/>
      <c r="AF27" s="222"/>
      <c r="AG27" s="222"/>
    </row>
    <row r="28" spans="1:33" ht="15.75" x14ac:dyDescent="0.25">
      <c r="A28" s="247">
        <v>19</v>
      </c>
      <c r="B28" s="248" t="s">
        <v>235</v>
      </c>
      <c r="C28" s="166" t="str">
        <f>'[8]Islamic Studies'!A41</f>
        <v>2023-IT-20</v>
      </c>
      <c r="D28" s="166" t="str">
        <f>'[8]Islamic Studies'!B41</f>
        <v>Husnain Saleem</v>
      </c>
      <c r="E28" s="168">
        <f>'[8]Islamic Studies'!D41</f>
        <v>10</v>
      </c>
      <c r="F28" s="168"/>
      <c r="G28" s="229">
        <f t="shared" si="4"/>
        <v>10</v>
      </c>
      <c r="H28" s="249">
        <v>8</v>
      </c>
      <c r="I28" s="249">
        <v>14</v>
      </c>
      <c r="J28" s="249"/>
      <c r="K28" s="249"/>
      <c r="L28" s="229">
        <f>'[8]Islamic Studies'!E41</f>
        <v>22</v>
      </c>
      <c r="M28" s="168">
        <f>'[8]Islamic Studies'!F41</f>
        <v>9</v>
      </c>
      <c r="N28" s="249"/>
      <c r="O28" s="229">
        <f t="shared" si="5"/>
        <v>9</v>
      </c>
      <c r="P28" s="250">
        <v>15</v>
      </c>
      <c r="Q28" s="249">
        <v>17</v>
      </c>
      <c r="R28" s="249"/>
      <c r="S28" s="242"/>
      <c r="T28" s="229">
        <f>'[8]Islamic Studies'!G41</f>
        <v>32</v>
      </c>
      <c r="U28" s="243">
        <f>'[8]Islamic Studies'!H41</f>
        <v>8</v>
      </c>
      <c r="V28" s="241"/>
      <c r="W28" s="229">
        <f t="shared" si="6"/>
        <v>8</v>
      </c>
      <c r="X28" s="229">
        <f t="shared" si="0"/>
        <v>81</v>
      </c>
      <c r="Y28" s="244">
        <f t="shared" si="1"/>
        <v>81</v>
      </c>
      <c r="Z28" s="244">
        <f t="shared" si="2"/>
        <v>0</v>
      </c>
      <c r="AA28" s="244">
        <f t="shared" si="3"/>
        <v>0</v>
      </c>
      <c r="AB28" s="244" t="str">
        <f t="shared" si="7"/>
        <v>Y</v>
      </c>
      <c r="AC28" s="244">
        <f t="shared" si="8"/>
        <v>0</v>
      </c>
      <c r="AD28" s="244">
        <f t="shared" si="9"/>
        <v>0</v>
      </c>
      <c r="AE28" s="222"/>
      <c r="AF28" s="222"/>
      <c r="AG28" s="222"/>
    </row>
    <row r="29" spans="1:33" ht="15.75" x14ac:dyDescent="0.25">
      <c r="A29" s="245">
        <v>21</v>
      </c>
      <c r="B29" s="246" t="s">
        <v>236</v>
      </c>
      <c r="C29" s="166" t="str">
        <f>'[8]Islamic Studies'!A42</f>
        <v>2023-IT-22</v>
      </c>
      <c r="D29" s="166" t="str">
        <f>'[8]Islamic Studies'!B42</f>
        <v>Muhammad Sameer</v>
      </c>
      <c r="E29" s="168">
        <f>'[8]Islamic Studies'!D42</f>
        <v>8</v>
      </c>
      <c r="F29" s="168"/>
      <c r="G29" s="229">
        <f t="shared" si="4"/>
        <v>8</v>
      </c>
      <c r="H29" s="249">
        <v>8</v>
      </c>
      <c r="I29" s="249">
        <v>12</v>
      </c>
      <c r="J29" s="249"/>
      <c r="K29" s="249"/>
      <c r="L29" s="229">
        <f>'[8]Islamic Studies'!E42</f>
        <v>20</v>
      </c>
      <c r="M29" s="168">
        <f>'[8]Islamic Studies'!F42</f>
        <v>9</v>
      </c>
      <c r="N29" s="249"/>
      <c r="O29" s="229">
        <f t="shared" si="5"/>
        <v>9</v>
      </c>
      <c r="P29" s="250">
        <v>15</v>
      </c>
      <c r="Q29" s="249">
        <v>13</v>
      </c>
      <c r="R29" s="249"/>
      <c r="S29" s="242"/>
      <c r="T29" s="229">
        <f>'[8]Islamic Studies'!G42</f>
        <v>28</v>
      </c>
      <c r="U29" s="243">
        <f>'[8]Islamic Studies'!H42</f>
        <v>7</v>
      </c>
      <c r="V29" s="241"/>
      <c r="W29" s="229">
        <f t="shared" si="6"/>
        <v>7</v>
      </c>
      <c r="X29" s="229">
        <f t="shared" si="0"/>
        <v>72</v>
      </c>
      <c r="Y29" s="244">
        <f t="shared" si="1"/>
        <v>72</v>
      </c>
      <c r="Z29" s="244">
        <f t="shared" si="2"/>
        <v>0</v>
      </c>
      <c r="AA29" s="244">
        <f t="shared" si="3"/>
        <v>0</v>
      </c>
      <c r="AB29" s="244" t="str">
        <f t="shared" si="7"/>
        <v>Y</v>
      </c>
      <c r="AC29" s="244">
        <f t="shared" si="8"/>
        <v>0</v>
      </c>
      <c r="AD29" s="244">
        <f t="shared" si="9"/>
        <v>0</v>
      </c>
      <c r="AE29" s="222"/>
      <c r="AF29" s="222"/>
      <c r="AG29" s="222"/>
    </row>
    <row r="30" spans="1:33" ht="15.75" x14ac:dyDescent="0.25">
      <c r="A30" s="245">
        <v>22</v>
      </c>
      <c r="B30" s="246" t="s">
        <v>237</v>
      </c>
      <c r="C30" s="166" t="str">
        <f>'[8]Islamic Studies'!A43</f>
        <v>2023-IT-24</v>
      </c>
      <c r="D30" s="166" t="str">
        <f>'[8]Islamic Studies'!B43</f>
        <v>Sher Shah Hussain</v>
      </c>
      <c r="E30" s="168">
        <f>'[8]Islamic Studies'!D43</f>
        <v>10</v>
      </c>
      <c r="F30" s="168"/>
      <c r="G30" s="229">
        <f t="shared" si="4"/>
        <v>10</v>
      </c>
      <c r="H30" s="249">
        <v>9</v>
      </c>
      <c r="I30" s="249">
        <v>12</v>
      </c>
      <c r="J30" s="249"/>
      <c r="K30" s="249"/>
      <c r="L30" s="229">
        <f>'[8]Islamic Studies'!E43</f>
        <v>21</v>
      </c>
      <c r="M30" s="168">
        <f>'[8]Islamic Studies'!F43</f>
        <v>10</v>
      </c>
      <c r="N30" s="249"/>
      <c r="O30" s="229">
        <f t="shared" si="5"/>
        <v>10</v>
      </c>
      <c r="P30" s="250">
        <v>15</v>
      </c>
      <c r="Q30" s="249">
        <v>15</v>
      </c>
      <c r="R30" s="249"/>
      <c r="S30" s="242"/>
      <c r="T30" s="229">
        <f>'[8]Islamic Studies'!G43</f>
        <v>30</v>
      </c>
      <c r="U30" s="243">
        <f>'[8]Islamic Studies'!H43</f>
        <v>8</v>
      </c>
      <c r="V30" s="241"/>
      <c r="W30" s="229">
        <f t="shared" si="6"/>
        <v>8</v>
      </c>
      <c r="X30" s="229">
        <f t="shared" si="0"/>
        <v>79</v>
      </c>
      <c r="Y30" s="244">
        <f t="shared" si="1"/>
        <v>79</v>
      </c>
      <c r="Z30" s="244">
        <f t="shared" si="2"/>
        <v>0</v>
      </c>
      <c r="AA30" s="244">
        <f t="shared" si="3"/>
        <v>0</v>
      </c>
      <c r="AB30" s="244" t="str">
        <f t="shared" si="7"/>
        <v>Y</v>
      </c>
      <c r="AC30" s="244">
        <f t="shared" si="8"/>
        <v>0</v>
      </c>
      <c r="AD30" s="244">
        <f t="shared" si="9"/>
        <v>0</v>
      </c>
      <c r="AE30" s="222"/>
      <c r="AF30" s="222"/>
      <c r="AG30" s="222"/>
    </row>
    <row r="31" spans="1:33" ht="15.75" x14ac:dyDescent="0.25">
      <c r="A31" s="247">
        <v>23</v>
      </c>
      <c r="B31" s="248" t="s">
        <v>238</v>
      </c>
      <c r="C31" s="166" t="str">
        <f>'[8]Islamic Studies'!A44</f>
        <v>2023-IT-26</v>
      </c>
      <c r="D31" s="166" t="str">
        <f>'[8]Islamic Studies'!B44</f>
        <v>Abdul Ahad</v>
      </c>
      <c r="E31" s="168">
        <f>'[8]Islamic Studies'!D44</f>
        <v>0</v>
      </c>
      <c r="F31" s="168"/>
      <c r="G31" s="229">
        <f t="shared" si="4"/>
        <v>0</v>
      </c>
      <c r="H31" s="249">
        <v>0</v>
      </c>
      <c r="I31" s="249">
        <v>0</v>
      </c>
      <c r="J31" s="249"/>
      <c r="K31" s="249"/>
      <c r="L31" s="229">
        <f>'[8]Islamic Studies'!E44</f>
        <v>0</v>
      </c>
      <c r="M31" s="168">
        <f>'[8]Islamic Studies'!F44</f>
        <v>0</v>
      </c>
      <c r="N31" s="249"/>
      <c r="O31" s="229">
        <f t="shared" si="5"/>
        <v>0</v>
      </c>
      <c r="P31" s="250">
        <v>0</v>
      </c>
      <c r="Q31" s="249">
        <v>0</v>
      </c>
      <c r="R31" s="249"/>
      <c r="S31" s="242"/>
      <c r="T31" s="229">
        <f>'[8]Islamic Studies'!G44</f>
        <v>0</v>
      </c>
      <c r="U31" s="243">
        <f>'[8]Islamic Studies'!H44</f>
        <v>0</v>
      </c>
      <c r="V31" s="241"/>
      <c r="W31" s="229">
        <f t="shared" si="6"/>
        <v>0</v>
      </c>
      <c r="X31" s="229">
        <f t="shared" si="0"/>
        <v>0</v>
      </c>
      <c r="Y31" s="244">
        <f t="shared" si="1"/>
        <v>0</v>
      </c>
      <c r="Z31" s="244">
        <f t="shared" si="2"/>
        <v>0</v>
      </c>
      <c r="AA31" s="244">
        <f t="shared" si="3"/>
        <v>0</v>
      </c>
      <c r="AB31" s="244" t="str">
        <f t="shared" si="7"/>
        <v>N</v>
      </c>
      <c r="AC31" s="244">
        <f t="shared" si="8"/>
        <v>0</v>
      </c>
      <c r="AD31" s="244">
        <f t="shared" si="9"/>
        <v>0</v>
      </c>
      <c r="AE31" s="222"/>
      <c r="AF31" s="222"/>
      <c r="AG31" s="222"/>
    </row>
    <row r="32" spans="1:33" ht="15.75" x14ac:dyDescent="0.25">
      <c r="A32" s="247">
        <v>24</v>
      </c>
      <c r="B32" s="248" t="s">
        <v>239</v>
      </c>
      <c r="C32" s="166" t="str">
        <f>'[8]Islamic Studies'!A45</f>
        <v>2023-IT-28</v>
      </c>
      <c r="D32" s="166" t="str">
        <f>'[8]Islamic Studies'!B45</f>
        <v>Ahmad Latif</v>
      </c>
      <c r="E32" s="168">
        <f>'[8]Islamic Studies'!D45</f>
        <v>8</v>
      </c>
      <c r="F32" s="168"/>
      <c r="G32" s="229">
        <f t="shared" si="4"/>
        <v>8</v>
      </c>
      <c r="H32" s="249">
        <v>7</v>
      </c>
      <c r="I32" s="249">
        <v>8</v>
      </c>
      <c r="J32" s="249"/>
      <c r="K32" s="249"/>
      <c r="L32" s="229">
        <f>'[8]Islamic Studies'!E45</f>
        <v>15</v>
      </c>
      <c r="M32" s="168">
        <f>'[8]Islamic Studies'!F45</f>
        <v>8</v>
      </c>
      <c r="N32" s="249"/>
      <c r="O32" s="229">
        <f t="shared" si="5"/>
        <v>8</v>
      </c>
      <c r="P32" s="250">
        <v>10</v>
      </c>
      <c r="Q32" s="249">
        <v>14</v>
      </c>
      <c r="R32" s="249"/>
      <c r="S32" s="242"/>
      <c r="T32" s="229">
        <f>'[8]Islamic Studies'!G45</f>
        <v>24</v>
      </c>
      <c r="U32" s="243">
        <f>'[8]Islamic Studies'!H45</f>
        <v>9</v>
      </c>
      <c r="V32" s="241"/>
      <c r="W32" s="229">
        <f t="shared" si="6"/>
        <v>9</v>
      </c>
      <c r="X32" s="229">
        <f t="shared" si="0"/>
        <v>64</v>
      </c>
      <c r="Y32" s="244">
        <f t="shared" si="1"/>
        <v>64</v>
      </c>
      <c r="Z32" s="244">
        <f t="shared" si="2"/>
        <v>0</v>
      </c>
      <c r="AA32" s="244">
        <f t="shared" si="3"/>
        <v>0</v>
      </c>
      <c r="AB32" s="244" t="str">
        <f t="shared" si="7"/>
        <v>Y</v>
      </c>
      <c r="AC32" s="244">
        <f t="shared" si="8"/>
        <v>0</v>
      </c>
      <c r="AD32" s="244">
        <f t="shared" si="9"/>
        <v>0</v>
      </c>
      <c r="AE32" s="222"/>
      <c r="AF32" s="222"/>
      <c r="AG32" s="222"/>
    </row>
    <row r="33" spans="1:33" ht="15.75" x14ac:dyDescent="0.25">
      <c r="A33" s="245">
        <v>25</v>
      </c>
      <c r="B33" s="246" t="s">
        <v>240</v>
      </c>
      <c r="C33" s="166" t="str">
        <f>'[8]Islamic Studies'!A46</f>
        <v>2023-IT-32</v>
      </c>
      <c r="D33" s="166" t="str">
        <f>'[8]Islamic Studies'!B46</f>
        <v>Muhammad Faisal</v>
      </c>
      <c r="E33" s="168">
        <f>'[8]Islamic Studies'!D46</f>
        <v>8</v>
      </c>
      <c r="F33" s="168"/>
      <c r="G33" s="229">
        <f t="shared" si="4"/>
        <v>8</v>
      </c>
      <c r="H33" s="249">
        <v>10</v>
      </c>
      <c r="I33" s="249">
        <v>13</v>
      </c>
      <c r="J33" s="249"/>
      <c r="K33" s="249"/>
      <c r="L33" s="229">
        <f>'[8]Islamic Studies'!E46</f>
        <v>23</v>
      </c>
      <c r="M33" s="168">
        <f>'[8]Islamic Studies'!F46</f>
        <v>9</v>
      </c>
      <c r="N33" s="249"/>
      <c r="O33" s="229">
        <f t="shared" si="5"/>
        <v>9</v>
      </c>
      <c r="P33" s="250">
        <v>10</v>
      </c>
      <c r="Q33" s="249">
        <v>19</v>
      </c>
      <c r="R33" s="249"/>
      <c r="S33" s="242"/>
      <c r="T33" s="229">
        <f>'[8]Islamic Studies'!G46</f>
        <v>29</v>
      </c>
      <c r="U33" s="243">
        <f>'[8]Islamic Studies'!H46</f>
        <v>9</v>
      </c>
      <c r="V33" s="241"/>
      <c r="W33" s="229">
        <f t="shared" si="6"/>
        <v>9</v>
      </c>
      <c r="X33" s="229">
        <f t="shared" si="0"/>
        <v>78</v>
      </c>
      <c r="Y33" s="244">
        <f t="shared" si="1"/>
        <v>78</v>
      </c>
      <c r="Z33" s="244">
        <f t="shared" si="2"/>
        <v>0</v>
      </c>
      <c r="AA33" s="244">
        <f t="shared" si="3"/>
        <v>0</v>
      </c>
      <c r="AB33" s="244" t="str">
        <f t="shared" si="7"/>
        <v>Y</v>
      </c>
      <c r="AC33" s="244">
        <f t="shared" si="8"/>
        <v>0</v>
      </c>
      <c r="AD33" s="244">
        <f t="shared" si="9"/>
        <v>0</v>
      </c>
      <c r="AE33" s="222"/>
      <c r="AF33" s="222"/>
      <c r="AG33" s="222"/>
    </row>
    <row r="34" spans="1:33" ht="15.75" x14ac:dyDescent="0.25">
      <c r="A34" s="247">
        <v>27</v>
      </c>
      <c r="B34" s="248" t="s">
        <v>241</v>
      </c>
      <c r="C34" s="166" t="str">
        <f>'[8]Islamic Studies'!A47</f>
        <v>2023-IT-34</v>
      </c>
      <c r="D34" s="166" t="str">
        <f>'[8]Islamic Studies'!B47</f>
        <v>Jamshaid Abbas</v>
      </c>
      <c r="E34" s="168">
        <f>'[8]Islamic Studies'!D47</f>
        <v>10</v>
      </c>
      <c r="F34" s="168"/>
      <c r="G34" s="229">
        <f t="shared" si="4"/>
        <v>10</v>
      </c>
      <c r="H34" s="249">
        <v>8</v>
      </c>
      <c r="I34" s="249">
        <v>13</v>
      </c>
      <c r="J34" s="249"/>
      <c r="K34" s="249"/>
      <c r="L34" s="229">
        <f>'[8]Islamic Studies'!E47</f>
        <v>21</v>
      </c>
      <c r="M34" s="168">
        <f>'[8]Islamic Studies'!F47</f>
        <v>9</v>
      </c>
      <c r="N34" s="249"/>
      <c r="O34" s="229">
        <f t="shared" si="5"/>
        <v>9</v>
      </c>
      <c r="P34" s="250">
        <v>15</v>
      </c>
      <c r="Q34" s="249">
        <v>16</v>
      </c>
      <c r="R34" s="249"/>
      <c r="S34" s="242"/>
      <c r="T34" s="229">
        <f>'[8]Islamic Studies'!G47</f>
        <v>31</v>
      </c>
      <c r="U34" s="243">
        <f>'[8]Islamic Studies'!H47</f>
        <v>8</v>
      </c>
      <c r="V34" s="241"/>
      <c r="W34" s="229">
        <f t="shared" si="6"/>
        <v>8</v>
      </c>
      <c r="X34" s="229">
        <f t="shared" si="0"/>
        <v>79</v>
      </c>
      <c r="Y34" s="244">
        <f t="shared" si="1"/>
        <v>79</v>
      </c>
      <c r="Z34" s="244">
        <f t="shared" si="2"/>
        <v>0</v>
      </c>
      <c r="AA34" s="244">
        <f t="shared" si="3"/>
        <v>0</v>
      </c>
      <c r="AB34" s="244" t="str">
        <f t="shared" si="7"/>
        <v>Y</v>
      </c>
      <c r="AC34" s="244">
        <f t="shared" si="8"/>
        <v>0</v>
      </c>
      <c r="AD34" s="244">
        <f t="shared" si="9"/>
        <v>0</v>
      </c>
      <c r="AE34" s="222"/>
      <c r="AF34" s="222"/>
      <c r="AG34" s="222"/>
    </row>
    <row r="35" spans="1:33" ht="15.75" x14ac:dyDescent="0.25">
      <c r="A35" s="245">
        <v>28</v>
      </c>
      <c r="B35" s="246" t="s">
        <v>242</v>
      </c>
      <c r="C35" s="166" t="str">
        <f>'[8]Islamic Studies'!A48</f>
        <v>2023-IT-38</v>
      </c>
      <c r="D35" s="166" t="str">
        <f>'[8]Islamic Studies'!B48</f>
        <v>Sherzaman Bukhari</v>
      </c>
      <c r="E35" s="168">
        <f>'[8]Islamic Studies'!D48</f>
        <v>8</v>
      </c>
      <c r="F35" s="168"/>
      <c r="G35" s="229">
        <f t="shared" si="4"/>
        <v>8</v>
      </c>
      <c r="H35" s="249">
        <v>7</v>
      </c>
      <c r="I35" s="249">
        <v>9</v>
      </c>
      <c r="J35" s="249"/>
      <c r="K35" s="249"/>
      <c r="L35" s="229">
        <f>'[8]Islamic Studies'!E48</f>
        <v>16</v>
      </c>
      <c r="M35" s="168">
        <f>'[8]Islamic Studies'!F48</f>
        <v>8</v>
      </c>
      <c r="N35" s="249"/>
      <c r="O35" s="229">
        <f t="shared" si="5"/>
        <v>8</v>
      </c>
      <c r="P35" s="250">
        <v>10</v>
      </c>
      <c r="Q35" s="249">
        <v>15</v>
      </c>
      <c r="R35" s="249"/>
      <c r="S35" s="242"/>
      <c r="T35" s="229">
        <f>'[8]Islamic Studies'!G48</f>
        <v>25</v>
      </c>
      <c r="U35" s="243">
        <f>'[8]Islamic Studies'!H48</f>
        <v>8</v>
      </c>
      <c r="V35" s="241"/>
      <c r="W35" s="229">
        <f t="shared" si="6"/>
        <v>8</v>
      </c>
      <c r="X35" s="229">
        <f t="shared" si="0"/>
        <v>65</v>
      </c>
      <c r="Y35" s="244">
        <f t="shared" si="1"/>
        <v>65</v>
      </c>
      <c r="Z35" s="244">
        <f t="shared" si="2"/>
        <v>0</v>
      </c>
      <c r="AA35" s="244">
        <f t="shared" si="3"/>
        <v>0</v>
      </c>
      <c r="AB35" s="244" t="str">
        <f t="shared" si="7"/>
        <v>Y</v>
      </c>
      <c r="AC35" s="244">
        <f t="shared" si="8"/>
        <v>0</v>
      </c>
      <c r="AD35" s="244">
        <f t="shared" si="9"/>
        <v>0</v>
      </c>
      <c r="AE35" s="222"/>
      <c r="AF35" s="222"/>
      <c r="AG35" s="222"/>
    </row>
    <row r="36" spans="1:33" ht="15.75" x14ac:dyDescent="0.25">
      <c r="A36" s="245"/>
      <c r="B36" s="246"/>
      <c r="C36" s="166" t="str">
        <f>'[8]Islamic Studies'!A49</f>
        <v>2023-IT-40</v>
      </c>
      <c r="D36" s="166" t="str">
        <f>'[8]Islamic Studies'!B49</f>
        <v>Ahmad Raza Shareef</v>
      </c>
      <c r="E36" s="168">
        <f>'[8]Islamic Studies'!D49</f>
        <v>7</v>
      </c>
      <c r="F36" s="168"/>
      <c r="G36" s="229">
        <f t="shared" si="4"/>
        <v>7</v>
      </c>
      <c r="H36" s="249">
        <v>8</v>
      </c>
      <c r="I36" s="249">
        <v>14</v>
      </c>
      <c r="J36" s="249"/>
      <c r="K36" s="249"/>
      <c r="L36" s="229">
        <f>'[8]Islamic Studies'!E49</f>
        <v>22</v>
      </c>
      <c r="M36" s="168">
        <f>'[8]Islamic Studies'!F49</f>
        <v>9</v>
      </c>
      <c r="N36" s="249"/>
      <c r="O36" s="229">
        <f t="shared" si="5"/>
        <v>9</v>
      </c>
      <c r="P36" s="250">
        <v>8</v>
      </c>
      <c r="Q36" s="249">
        <v>20</v>
      </c>
      <c r="R36" s="249"/>
      <c r="S36" s="242"/>
      <c r="T36" s="229">
        <f>'[8]Islamic Studies'!G49</f>
        <v>28</v>
      </c>
      <c r="U36" s="243">
        <f>'[8]Islamic Studies'!H49</f>
        <v>7</v>
      </c>
      <c r="V36" s="241"/>
      <c r="W36" s="229">
        <f t="shared" si="6"/>
        <v>7</v>
      </c>
      <c r="X36" s="229">
        <f t="shared" si="0"/>
        <v>73</v>
      </c>
      <c r="Y36" s="244">
        <f t="shared" si="1"/>
        <v>73</v>
      </c>
      <c r="Z36" s="244">
        <f t="shared" si="2"/>
        <v>0</v>
      </c>
      <c r="AA36" s="244">
        <f t="shared" si="3"/>
        <v>0</v>
      </c>
      <c r="AB36" s="244" t="str">
        <f t="shared" si="7"/>
        <v>Y</v>
      </c>
      <c r="AC36" s="244">
        <f t="shared" si="8"/>
        <v>0</v>
      </c>
      <c r="AD36" s="244">
        <f t="shared" si="9"/>
        <v>0</v>
      </c>
      <c r="AE36" s="222"/>
      <c r="AF36" s="222"/>
      <c r="AG36" s="222"/>
    </row>
    <row r="37" spans="1:33" ht="15.75" x14ac:dyDescent="0.25">
      <c r="A37" s="245"/>
      <c r="B37" s="246"/>
      <c r="C37" s="166" t="str">
        <f>'[8]Islamic Studies'!A50</f>
        <v>2023-IT-41</v>
      </c>
      <c r="D37" s="166" t="str">
        <f>'[8]Islamic Studies'!B50</f>
        <v>Anas Noor</v>
      </c>
      <c r="E37" s="168">
        <f>'[8]Islamic Studies'!D50</f>
        <v>0</v>
      </c>
      <c r="F37" s="168"/>
      <c r="G37" s="229">
        <f t="shared" si="4"/>
        <v>0</v>
      </c>
      <c r="H37" s="249">
        <v>9</v>
      </c>
      <c r="I37" s="249">
        <v>12</v>
      </c>
      <c r="J37" s="249"/>
      <c r="K37" s="249"/>
      <c r="L37" s="229">
        <f>'[8]Islamic Studies'!E50</f>
        <v>21</v>
      </c>
      <c r="M37" s="168">
        <f>'[8]Islamic Studies'!F50</f>
        <v>0</v>
      </c>
      <c r="N37" s="249"/>
      <c r="O37" s="229">
        <f t="shared" si="5"/>
        <v>0</v>
      </c>
      <c r="P37" s="250">
        <v>0</v>
      </c>
      <c r="Q37" s="249">
        <v>0</v>
      </c>
      <c r="R37" s="249"/>
      <c r="S37" s="242"/>
      <c r="T37" s="229">
        <f>'[8]Islamic Studies'!G50</f>
        <v>0</v>
      </c>
      <c r="U37" s="243">
        <f>'[8]Islamic Studies'!H50</f>
        <v>0</v>
      </c>
      <c r="V37" s="241"/>
      <c r="W37" s="229">
        <f t="shared" si="6"/>
        <v>0</v>
      </c>
      <c r="X37" s="229">
        <f t="shared" si="0"/>
        <v>21</v>
      </c>
      <c r="Y37" s="244">
        <f t="shared" si="1"/>
        <v>21</v>
      </c>
      <c r="Z37" s="244">
        <f t="shared" si="2"/>
        <v>0</v>
      </c>
      <c r="AA37" s="244">
        <f t="shared" si="3"/>
        <v>0</v>
      </c>
      <c r="AB37" s="244" t="str">
        <f t="shared" si="7"/>
        <v>N</v>
      </c>
      <c r="AC37" s="244">
        <f t="shared" si="8"/>
        <v>0</v>
      </c>
      <c r="AD37" s="244">
        <f t="shared" si="9"/>
        <v>0</v>
      </c>
      <c r="AE37" s="222"/>
      <c r="AF37" s="222"/>
      <c r="AG37" s="222"/>
    </row>
    <row r="38" spans="1:33" ht="15.75" x14ac:dyDescent="0.25">
      <c r="A38" s="247"/>
      <c r="B38" s="248"/>
      <c r="C38" s="166" t="str">
        <f>'[8]Islamic Studies'!A51</f>
        <v>2023-IT-42</v>
      </c>
      <c r="D38" s="166" t="str">
        <f>'[8]Islamic Studies'!B51</f>
        <v>Muhammad Moosa Bhatti</v>
      </c>
      <c r="E38" s="168">
        <f>'[8]Islamic Studies'!D51</f>
        <v>8</v>
      </c>
      <c r="F38" s="168"/>
      <c r="G38" s="229">
        <f t="shared" si="4"/>
        <v>8</v>
      </c>
      <c r="H38" s="249">
        <v>8</v>
      </c>
      <c r="I38" s="249">
        <v>12</v>
      </c>
      <c r="J38" s="249"/>
      <c r="K38" s="249"/>
      <c r="L38" s="229">
        <f>'[8]Islamic Studies'!E51</f>
        <v>20</v>
      </c>
      <c r="M38" s="168">
        <f>'[8]Islamic Studies'!F51</f>
        <v>9</v>
      </c>
      <c r="N38" s="249"/>
      <c r="O38" s="229">
        <f t="shared" si="5"/>
        <v>9</v>
      </c>
      <c r="P38" s="250">
        <v>10</v>
      </c>
      <c r="Q38" s="249">
        <v>19</v>
      </c>
      <c r="R38" s="249"/>
      <c r="S38" s="242"/>
      <c r="T38" s="229">
        <f>'[8]Islamic Studies'!G51</f>
        <v>29</v>
      </c>
      <c r="U38" s="243">
        <f>'[8]Islamic Studies'!H51</f>
        <v>7</v>
      </c>
      <c r="V38" s="241"/>
      <c r="W38" s="229">
        <f t="shared" si="6"/>
        <v>7</v>
      </c>
      <c r="X38" s="229">
        <f t="shared" si="0"/>
        <v>73</v>
      </c>
      <c r="Y38" s="244">
        <f t="shared" si="1"/>
        <v>73</v>
      </c>
      <c r="Z38" s="244">
        <f t="shared" si="2"/>
        <v>0</v>
      </c>
      <c r="AA38" s="244">
        <f t="shared" si="3"/>
        <v>0</v>
      </c>
      <c r="AB38" s="244" t="str">
        <f t="shared" si="7"/>
        <v>Y</v>
      </c>
      <c r="AC38" s="244">
        <f t="shared" si="8"/>
        <v>0</v>
      </c>
      <c r="AD38" s="244">
        <f t="shared" si="9"/>
        <v>0</v>
      </c>
      <c r="AE38" s="222"/>
      <c r="AF38" s="222"/>
      <c r="AG38" s="222"/>
    </row>
    <row r="39" spans="1:33" ht="15.75" x14ac:dyDescent="0.25">
      <c r="A39" s="245"/>
      <c r="B39" s="246"/>
      <c r="C39" s="166" t="str">
        <f>'[8]Islamic Studies'!A52</f>
        <v>2023-IT-44</v>
      </c>
      <c r="D39" s="166" t="str">
        <f>'[8]Islamic Studies'!B52</f>
        <v>Muhammad Nouman Aslam</v>
      </c>
      <c r="E39" s="168">
        <f>'[8]Islamic Studies'!D52</f>
        <v>7</v>
      </c>
      <c r="F39" s="168"/>
      <c r="G39" s="229">
        <f t="shared" si="4"/>
        <v>7</v>
      </c>
      <c r="H39" s="249">
        <v>10</v>
      </c>
      <c r="I39" s="249">
        <v>14</v>
      </c>
      <c r="J39" s="249"/>
      <c r="K39" s="249"/>
      <c r="L39" s="229">
        <f>'[8]Islamic Studies'!E52</f>
        <v>24</v>
      </c>
      <c r="M39" s="168">
        <f>'[8]Islamic Studies'!F52</f>
        <v>10</v>
      </c>
      <c r="N39" s="249"/>
      <c r="O39" s="229">
        <f t="shared" si="5"/>
        <v>10</v>
      </c>
      <c r="P39" s="250">
        <v>10</v>
      </c>
      <c r="Q39" s="249">
        <v>19</v>
      </c>
      <c r="R39" s="249"/>
      <c r="S39" s="242"/>
      <c r="T39" s="229">
        <f>'[8]Islamic Studies'!G52</f>
        <v>29</v>
      </c>
      <c r="U39" s="243">
        <f>'[8]Islamic Studies'!H52</f>
        <v>7</v>
      </c>
      <c r="V39" s="241"/>
      <c r="W39" s="229">
        <f t="shared" si="6"/>
        <v>7</v>
      </c>
      <c r="X39" s="229">
        <f t="shared" si="0"/>
        <v>77</v>
      </c>
      <c r="Y39" s="244">
        <f t="shared" si="1"/>
        <v>77</v>
      </c>
      <c r="Z39" s="244">
        <f t="shared" si="2"/>
        <v>0</v>
      </c>
      <c r="AA39" s="244">
        <f t="shared" si="3"/>
        <v>0</v>
      </c>
      <c r="AB39" s="244" t="str">
        <f t="shared" si="7"/>
        <v>Y</v>
      </c>
      <c r="AC39" s="244">
        <f t="shared" si="8"/>
        <v>0</v>
      </c>
      <c r="AD39" s="244">
        <f t="shared" si="9"/>
        <v>0</v>
      </c>
      <c r="AE39" s="222"/>
      <c r="AF39" s="222"/>
      <c r="AG39" s="222"/>
    </row>
    <row r="40" spans="1:33" ht="15.75" x14ac:dyDescent="0.25">
      <c r="A40" s="245"/>
      <c r="B40" s="246"/>
      <c r="C40" s="166" t="str">
        <f>'[8]Islamic Studies'!A53</f>
        <v>2023-IT-46</v>
      </c>
      <c r="D40" s="166" t="str">
        <f>'[8]Islamic Studies'!B53</f>
        <v>Muhammad Haseeb Anjum</v>
      </c>
      <c r="E40" s="168">
        <f>'[8]Islamic Studies'!D53</f>
        <v>8</v>
      </c>
      <c r="F40" s="168"/>
      <c r="G40" s="229">
        <f t="shared" si="4"/>
        <v>8</v>
      </c>
      <c r="H40" s="249">
        <v>10</v>
      </c>
      <c r="I40" s="249">
        <v>13</v>
      </c>
      <c r="J40" s="249"/>
      <c r="K40" s="249"/>
      <c r="L40" s="229">
        <f>'[8]Islamic Studies'!E53</f>
        <v>23</v>
      </c>
      <c r="M40" s="168">
        <f>'[8]Islamic Studies'!F53</f>
        <v>8</v>
      </c>
      <c r="N40" s="249"/>
      <c r="O40" s="229">
        <f t="shared" si="5"/>
        <v>8</v>
      </c>
      <c r="P40" s="250">
        <v>10</v>
      </c>
      <c r="Q40" s="249">
        <v>19</v>
      </c>
      <c r="R40" s="249"/>
      <c r="S40" s="242"/>
      <c r="T40" s="229">
        <f>'[8]Islamic Studies'!G53</f>
        <v>29</v>
      </c>
      <c r="U40" s="243">
        <f>'[8]Islamic Studies'!H53</f>
        <v>8</v>
      </c>
      <c r="V40" s="241"/>
      <c r="W40" s="229">
        <f t="shared" si="6"/>
        <v>8</v>
      </c>
      <c r="X40" s="229">
        <f t="shared" si="0"/>
        <v>76</v>
      </c>
      <c r="Y40" s="244">
        <f t="shared" si="1"/>
        <v>76</v>
      </c>
      <c r="Z40" s="244">
        <f t="shared" si="2"/>
        <v>0</v>
      </c>
      <c r="AA40" s="244">
        <f t="shared" si="3"/>
        <v>0</v>
      </c>
      <c r="AB40" s="244" t="str">
        <f t="shared" si="7"/>
        <v>Y</v>
      </c>
      <c r="AC40" s="244">
        <f t="shared" si="8"/>
        <v>0</v>
      </c>
      <c r="AD40" s="244">
        <f t="shared" si="9"/>
        <v>0</v>
      </c>
      <c r="AE40" s="222"/>
      <c r="AF40" s="222"/>
      <c r="AG40" s="222"/>
    </row>
    <row r="41" spans="1:33" ht="15.75" x14ac:dyDescent="0.25">
      <c r="A41" s="245"/>
      <c r="B41" s="246"/>
      <c r="C41" s="166" t="str">
        <f>'[8]Islamic Studies'!A54</f>
        <v>2023-IT-48</v>
      </c>
      <c r="D41" s="166" t="str">
        <f>'[8]Islamic Studies'!B54</f>
        <v>Muhammad Arslan Waheed</v>
      </c>
      <c r="E41" s="168">
        <f>'[8]Islamic Studies'!D54</f>
        <v>7</v>
      </c>
      <c r="F41" s="168"/>
      <c r="G41" s="229">
        <f t="shared" si="4"/>
        <v>7</v>
      </c>
      <c r="H41" s="249">
        <v>0</v>
      </c>
      <c r="I41" s="249">
        <v>0</v>
      </c>
      <c r="J41" s="249"/>
      <c r="K41" s="249"/>
      <c r="L41" s="229">
        <f>'[8]Islamic Studies'!E54</f>
        <v>0</v>
      </c>
      <c r="M41" s="168">
        <f>'[8]Islamic Studies'!F54</f>
        <v>8</v>
      </c>
      <c r="N41" s="249"/>
      <c r="O41" s="229">
        <f t="shared" si="5"/>
        <v>8</v>
      </c>
      <c r="P41" s="250">
        <v>12</v>
      </c>
      <c r="Q41" s="249">
        <v>16</v>
      </c>
      <c r="R41" s="249"/>
      <c r="S41" s="242"/>
      <c r="T41" s="229">
        <f>'[8]Islamic Studies'!G54</f>
        <v>28</v>
      </c>
      <c r="U41" s="243">
        <f>'[8]Islamic Studies'!H54</f>
        <v>7</v>
      </c>
      <c r="V41" s="241"/>
      <c r="W41" s="229">
        <f t="shared" si="6"/>
        <v>7</v>
      </c>
      <c r="X41" s="229">
        <f t="shared" si="0"/>
        <v>50</v>
      </c>
      <c r="Y41" s="244">
        <f t="shared" si="1"/>
        <v>50</v>
      </c>
      <c r="Z41" s="244">
        <f t="shared" si="2"/>
        <v>0</v>
      </c>
      <c r="AA41" s="244">
        <f t="shared" si="3"/>
        <v>0</v>
      </c>
      <c r="AB41" s="244" t="str">
        <f t="shared" si="7"/>
        <v>Y</v>
      </c>
      <c r="AC41" s="244">
        <f t="shared" si="8"/>
        <v>0</v>
      </c>
      <c r="AD41" s="244">
        <f t="shared" si="9"/>
        <v>0</v>
      </c>
      <c r="AE41" s="222"/>
      <c r="AF41" s="222"/>
      <c r="AG41" s="222"/>
    </row>
    <row r="42" spans="1:33" ht="15.75" x14ac:dyDescent="0.25">
      <c r="A42" s="245"/>
      <c r="B42" s="246"/>
      <c r="C42" s="166" t="str">
        <f>'[8]Islamic Studies'!A55</f>
        <v>2023-IT-50</v>
      </c>
      <c r="D42" s="166" t="str">
        <f>'[8]Islamic Studies'!B55</f>
        <v>Hafiz Muhammad Hasnain Saif</v>
      </c>
      <c r="E42" s="168">
        <f>'[8]Islamic Studies'!D55</f>
        <v>8</v>
      </c>
      <c r="F42" s="168"/>
      <c r="G42" s="229">
        <f t="shared" si="4"/>
        <v>8</v>
      </c>
      <c r="H42" s="249">
        <v>8</v>
      </c>
      <c r="I42" s="249">
        <v>12</v>
      </c>
      <c r="J42" s="249"/>
      <c r="K42" s="249"/>
      <c r="L42" s="229">
        <f>'[8]Islamic Studies'!E55</f>
        <v>20</v>
      </c>
      <c r="M42" s="168">
        <f>'[8]Islamic Studies'!F55</f>
        <v>10</v>
      </c>
      <c r="N42" s="249"/>
      <c r="O42" s="229">
        <f t="shared" si="5"/>
        <v>10</v>
      </c>
      <c r="P42" s="250">
        <v>1</v>
      </c>
      <c r="Q42" s="249">
        <v>2</v>
      </c>
      <c r="R42" s="249"/>
      <c r="S42" s="242"/>
      <c r="T42" s="229">
        <f>'[8]Islamic Studies'!G55</f>
        <v>3</v>
      </c>
      <c r="U42" s="243">
        <f>'[8]Islamic Studies'!H55</f>
        <v>8</v>
      </c>
      <c r="V42" s="241"/>
      <c r="W42" s="229">
        <f t="shared" si="6"/>
        <v>8</v>
      </c>
      <c r="X42" s="229">
        <f t="shared" si="0"/>
        <v>49</v>
      </c>
      <c r="Y42" s="244">
        <f t="shared" si="1"/>
        <v>49</v>
      </c>
      <c r="Z42" s="244">
        <f t="shared" si="2"/>
        <v>0</v>
      </c>
      <c r="AA42" s="244">
        <f t="shared" si="3"/>
        <v>0</v>
      </c>
      <c r="AB42" s="244" t="str">
        <f t="shared" si="7"/>
        <v>N</v>
      </c>
      <c r="AC42" s="244">
        <f t="shared" si="8"/>
        <v>0</v>
      </c>
      <c r="AD42" s="244">
        <f t="shared" si="9"/>
        <v>0</v>
      </c>
      <c r="AE42" s="222"/>
      <c r="AF42" s="222"/>
      <c r="AG42" s="222"/>
    </row>
    <row r="43" spans="1:33" ht="15.75" x14ac:dyDescent="0.25">
      <c r="A43" s="245"/>
      <c r="B43" s="246"/>
      <c r="C43" s="166" t="str">
        <f>'[8]Islamic Studies'!A56</f>
        <v>2023-IT-54</v>
      </c>
      <c r="D43" s="166" t="str">
        <f>'[8]Islamic Studies'!B56</f>
        <v>Muhammad Zeeshan</v>
      </c>
      <c r="E43" s="168">
        <f>'[8]Islamic Studies'!D56</f>
        <v>7</v>
      </c>
      <c r="F43" s="168"/>
      <c r="G43" s="229">
        <f t="shared" si="4"/>
        <v>7</v>
      </c>
      <c r="H43" s="249">
        <v>9</v>
      </c>
      <c r="I43" s="249">
        <v>10</v>
      </c>
      <c r="J43" s="249"/>
      <c r="K43" s="249"/>
      <c r="L43" s="229">
        <f>'[8]Islamic Studies'!E56</f>
        <v>19</v>
      </c>
      <c r="M43" s="168">
        <f>'[8]Islamic Studies'!F56</f>
        <v>10</v>
      </c>
      <c r="N43" s="249"/>
      <c r="O43" s="229">
        <f t="shared" si="5"/>
        <v>10</v>
      </c>
      <c r="P43" s="250">
        <v>15</v>
      </c>
      <c r="Q43" s="249">
        <v>17</v>
      </c>
      <c r="R43" s="249"/>
      <c r="S43" s="242"/>
      <c r="T43" s="229">
        <f>'[8]Islamic Studies'!G56</f>
        <v>32</v>
      </c>
      <c r="U43" s="243">
        <f>'[8]Islamic Studies'!H56</f>
        <v>10</v>
      </c>
      <c r="V43" s="241"/>
      <c r="W43" s="229">
        <f t="shared" si="6"/>
        <v>10</v>
      </c>
      <c r="X43" s="229">
        <f t="shared" si="0"/>
        <v>78</v>
      </c>
      <c r="Y43" s="244">
        <f t="shared" si="1"/>
        <v>78</v>
      </c>
      <c r="Z43" s="244">
        <f t="shared" si="2"/>
        <v>0</v>
      </c>
      <c r="AA43" s="244">
        <f t="shared" si="3"/>
        <v>0</v>
      </c>
      <c r="AB43" s="244" t="str">
        <f t="shared" si="7"/>
        <v>Y</v>
      </c>
      <c r="AC43" s="244">
        <f t="shared" si="8"/>
        <v>0</v>
      </c>
      <c r="AD43" s="244">
        <f t="shared" si="9"/>
        <v>0</v>
      </c>
      <c r="AE43" s="222"/>
      <c r="AF43" s="222"/>
      <c r="AG43" s="222"/>
    </row>
    <row r="44" spans="1:33" ht="15.75" x14ac:dyDescent="0.25">
      <c r="A44" s="245"/>
      <c r="B44" s="246"/>
      <c r="C44" s="166" t="str">
        <f>'[8]Islamic Studies'!A57</f>
        <v>2023-IT-56</v>
      </c>
      <c r="D44" s="166" t="str">
        <f>'[8]Islamic Studies'!B57</f>
        <v>Muhammad Adeel</v>
      </c>
      <c r="E44" s="168">
        <f>'[8]Islamic Studies'!D57</f>
        <v>9</v>
      </c>
      <c r="F44" s="168"/>
      <c r="G44" s="229">
        <f t="shared" si="4"/>
        <v>9</v>
      </c>
      <c r="H44" s="249">
        <v>8</v>
      </c>
      <c r="I44" s="249">
        <v>12</v>
      </c>
      <c r="J44" s="249"/>
      <c r="K44" s="249"/>
      <c r="L44" s="229">
        <f>'[8]Islamic Studies'!E57</f>
        <v>20</v>
      </c>
      <c r="M44" s="168">
        <f>'[8]Islamic Studies'!F57</f>
        <v>9</v>
      </c>
      <c r="N44" s="249"/>
      <c r="O44" s="229">
        <f t="shared" si="5"/>
        <v>9</v>
      </c>
      <c r="P44" s="250">
        <v>16</v>
      </c>
      <c r="Q44" s="249">
        <v>15</v>
      </c>
      <c r="R44" s="249"/>
      <c r="S44" s="242"/>
      <c r="T44" s="229">
        <f>'[8]Islamic Studies'!G57</f>
        <v>31</v>
      </c>
      <c r="U44" s="243">
        <f>'[8]Islamic Studies'!H57</f>
        <v>9</v>
      </c>
      <c r="V44" s="241"/>
      <c r="W44" s="229">
        <f t="shared" si="6"/>
        <v>9</v>
      </c>
      <c r="X44" s="229">
        <f t="shared" si="0"/>
        <v>78</v>
      </c>
      <c r="Y44" s="244">
        <f t="shared" si="1"/>
        <v>78</v>
      </c>
      <c r="Z44" s="244">
        <f t="shared" si="2"/>
        <v>0</v>
      </c>
      <c r="AA44" s="244">
        <f t="shared" si="3"/>
        <v>0</v>
      </c>
      <c r="AB44" s="244" t="str">
        <f t="shared" si="7"/>
        <v>Y</v>
      </c>
      <c r="AC44" s="244">
        <f t="shared" si="8"/>
        <v>0</v>
      </c>
      <c r="AD44" s="244">
        <f t="shared" si="9"/>
        <v>0</v>
      </c>
      <c r="AE44" s="222"/>
      <c r="AF44" s="222"/>
      <c r="AG44" s="222"/>
    </row>
    <row r="45" spans="1:33" ht="15.75" x14ac:dyDescent="0.25">
      <c r="A45" s="245"/>
      <c r="B45" s="246"/>
      <c r="C45" s="166" t="str">
        <f>'[8]Islamic Studies'!A58</f>
        <v>2023-IT-60</v>
      </c>
      <c r="D45" s="166" t="str">
        <f>'[8]Islamic Studies'!B58</f>
        <v>Mughees Ahmad</v>
      </c>
      <c r="E45" s="168">
        <f>'[8]Islamic Studies'!D58</f>
        <v>8</v>
      </c>
      <c r="F45" s="168"/>
      <c r="G45" s="229">
        <f t="shared" si="4"/>
        <v>8</v>
      </c>
      <c r="H45" s="249">
        <v>9</v>
      </c>
      <c r="I45" s="249">
        <v>10</v>
      </c>
      <c r="J45" s="249"/>
      <c r="K45" s="249"/>
      <c r="L45" s="229">
        <f>'[8]Islamic Studies'!E58</f>
        <v>19</v>
      </c>
      <c r="M45" s="168">
        <f>'[8]Islamic Studies'!F58</f>
        <v>9</v>
      </c>
      <c r="N45" s="249"/>
      <c r="O45" s="229">
        <f t="shared" si="5"/>
        <v>9</v>
      </c>
      <c r="P45" s="250">
        <v>16</v>
      </c>
      <c r="Q45" s="249">
        <v>10</v>
      </c>
      <c r="R45" s="249"/>
      <c r="S45" s="242"/>
      <c r="T45" s="229">
        <f>'[8]Islamic Studies'!G58</f>
        <v>26</v>
      </c>
      <c r="U45" s="243">
        <f>'[8]Islamic Studies'!H58</f>
        <v>8</v>
      </c>
      <c r="V45" s="241"/>
      <c r="W45" s="229">
        <f t="shared" si="6"/>
        <v>8</v>
      </c>
      <c r="X45" s="229">
        <f t="shared" si="0"/>
        <v>70</v>
      </c>
      <c r="Y45" s="244">
        <f t="shared" si="1"/>
        <v>70</v>
      </c>
      <c r="Z45" s="244">
        <f t="shared" si="2"/>
        <v>0</v>
      </c>
      <c r="AA45" s="244">
        <f t="shared" si="3"/>
        <v>0</v>
      </c>
      <c r="AB45" s="244" t="str">
        <f t="shared" si="7"/>
        <v>Y</v>
      </c>
      <c r="AC45" s="244">
        <f t="shared" si="8"/>
        <v>0</v>
      </c>
      <c r="AD45" s="244">
        <f t="shared" si="9"/>
        <v>0</v>
      </c>
      <c r="AE45" s="222"/>
      <c r="AF45" s="222"/>
      <c r="AG45" s="222"/>
    </row>
    <row r="46" spans="1:33" ht="15.75" x14ac:dyDescent="0.25">
      <c r="A46" s="245"/>
      <c r="B46" s="246"/>
      <c r="C46" s="166" t="str">
        <f>'[8]Islamic Studies'!A59</f>
        <v>2023-IT-62</v>
      </c>
      <c r="D46" s="166" t="str">
        <f>'[8]Islamic Studies'!B59</f>
        <v>Muhammad Azeem</v>
      </c>
      <c r="E46" s="168">
        <f>'[8]Islamic Studies'!D59</f>
        <v>7</v>
      </c>
      <c r="F46" s="168"/>
      <c r="G46" s="229">
        <f t="shared" si="4"/>
        <v>7</v>
      </c>
      <c r="H46" s="249">
        <v>6</v>
      </c>
      <c r="I46" s="249">
        <v>8</v>
      </c>
      <c r="J46" s="249"/>
      <c r="K46" s="249"/>
      <c r="L46" s="229">
        <f>'[8]Islamic Studies'!E59</f>
        <v>14</v>
      </c>
      <c r="M46" s="168">
        <f>'[8]Islamic Studies'!F59</f>
        <v>8</v>
      </c>
      <c r="N46" s="249"/>
      <c r="O46" s="229">
        <f t="shared" si="5"/>
        <v>8</v>
      </c>
      <c r="P46" s="250">
        <v>12</v>
      </c>
      <c r="Q46" s="249">
        <v>12</v>
      </c>
      <c r="R46" s="249"/>
      <c r="S46" s="242"/>
      <c r="T46" s="229">
        <f>'[8]Islamic Studies'!G59</f>
        <v>24</v>
      </c>
      <c r="U46" s="243">
        <f>'[8]Islamic Studies'!H59</f>
        <v>8</v>
      </c>
      <c r="V46" s="241"/>
      <c r="W46" s="229">
        <f t="shared" si="6"/>
        <v>8</v>
      </c>
      <c r="X46" s="229">
        <f t="shared" si="0"/>
        <v>61</v>
      </c>
      <c r="Y46" s="244">
        <f t="shared" si="1"/>
        <v>61</v>
      </c>
      <c r="Z46" s="244">
        <f t="shared" si="2"/>
        <v>0</v>
      </c>
      <c r="AA46" s="244">
        <f t="shared" si="3"/>
        <v>0</v>
      </c>
      <c r="AB46" s="244" t="str">
        <f t="shared" si="7"/>
        <v>Y</v>
      </c>
      <c r="AC46" s="244">
        <f t="shared" si="8"/>
        <v>0</v>
      </c>
      <c r="AD46" s="244">
        <f t="shared" si="9"/>
        <v>0</v>
      </c>
      <c r="AE46" s="222"/>
      <c r="AF46" s="222"/>
      <c r="AG46" s="222"/>
    </row>
    <row r="47" spans="1:33" ht="15.75" x14ac:dyDescent="0.25">
      <c r="A47" s="245"/>
      <c r="B47" s="246"/>
      <c r="C47" s="166" t="str">
        <f>'[8]Islamic Studies'!A60</f>
        <v>2023-IT-64</v>
      </c>
      <c r="D47" s="166" t="str">
        <f>'[8]Islamic Studies'!B60</f>
        <v>Abdul Ahad</v>
      </c>
      <c r="E47" s="168">
        <f>'[8]Islamic Studies'!D60</f>
        <v>0</v>
      </c>
      <c r="F47" s="168"/>
      <c r="G47" s="229">
        <f t="shared" si="4"/>
        <v>0</v>
      </c>
      <c r="H47" s="249">
        <v>0</v>
      </c>
      <c r="I47" s="249">
        <v>0</v>
      </c>
      <c r="J47" s="249"/>
      <c r="K47" s="249"/>
      <c r="L47" s="229">
        <f>'[8]Islamic Studies'!E60</f>
        <v>0</v>
      </c>
      <c r="M47" s="168">
        <f>'[8]Islamic Studies'!F60</f>
        <v>0</v>
      </c>
      <c r="N47" s="249"/>
      <c r="O47" s="229">
        <f t="shared" si="5"/>
        <v>0</v>
      </c>
      <c r="P47" s="250">
        <v>0</v>
      </c>
      <c r="Q47" s="249">
        <v>0</v>
      </c>
      <c r="R47" s="249"/>
      <c r="S47" s="242"/>
      <c r="T47" s="229">
        <f>'[8]Islamic Studies'!G60</f>
        <v>0</v>
      </c>
      <c r="U47" s="243">
        <f>'[8]Islamic Studies'!H60</f>
        <v>0</v>
      </c>
      <c r="V47" s="241"/>
      <c r="W47" s="229">
        <f t="shared" si="6"/>
        <v>0</v>
      </c>
      <c r="X47" s="229">
        <f t="shared" si="0"/>
        <v>0</v>
      </c>
      <c r="Y47" s="244">
        <f t="shared" si="1"/>
        <v>0</v>
      </c>
      <c r="Z47" s="244">
        <f t="shared" si="2"/>
        <v>0</v>
      </c>
      <c r="AA47" s="244">
        <f t="shared" si="3"/>
        <v>0</v>
      </c>
      <c r="AB47" s="244" t="str">
        <f t="shared" si="7"/>
        <v>N</v>
      </c>
      <c r="AC47" s="244">
        <f t="shared" si="8"/>
        <v>0</v>
      </c>
      <c r="AD47" s="244">
        <f t="shared" si="9"/>
        <v>0</v>
      </c>
      <c r="AE47" s="222"/>
      <c r="AF47" s="222"/>
      <c r="AG47" s="222"/>
    </row>
    <row r="48" spans="1:33" ht="15.75" x14ac:dyDescent="0.25">
      <c r="A48" s="245"/>
      <c r="B48" s="246"/>
      <c r="C48" s="166" t="str">
        <f>'[8]Islamic Studies'!A61</f>
        <v>2023-IT-66</v>
      </c>
      <c r="D48" s="166" t="str">
        <f>'[8]Islamic Studies'!B61</f>
        <v>Muhammad Haris Javed</v>
      </c>
      <c r="E48" s="168">
        <f>'[8]Islamic Studies'!D61</f>
        <v>8</v>
      </c>
      <c r="F48" s="168"/>
      <c r="G48" s="229">
        <f t="shared" si="4"/>
        <v>8</v>
      </c>
      <c r="H48" s="249">
        <v>8</v>
      </c>
      <c r="I48" s="249">
        <v>10</v>
      </c>
      <c r="J48" s="249"/>
      <c r="K48" s="249"/>
      <c r="L48" s="229">
        <f>'[8]Islamic Studies'!E61</f>
        <v>18</v>
      </c>
      <c r="M48" s="168">
        <f>'[8]Islamic Studies'!F61</f>
        <v>9</v>
      </c>
      <c r="N48" s="249"/>
      <c r="O48" s="229">
        <f t="shared" si="5"/>
        <v>9</v>
      </c>
      <c r="P48" s="250">
        <v>10</v>
      </c>
      <c r="Q48" s="249">
        <v>14</v>
      </c>
      <c r="R48" s="249"/>
      <c r="S48" s="242"/>
      <c r="T48" s="229">
        <f>'[8]Islamic Studies'!G61</f>
        <v>24</v>
      </c>
      <c r="U48" s="243">
        <f>'[8]Islamic Studies'!H61</f>
        <v>8</v>
      </c>
      <c r="V48" s="241"/>
      <c r="W48" s="229">
        <f t="shared" si="6"/>
        <v>8</v>
      </c>
      <c r="X48" s="229">
        <f t="shared" si="0"/>
        <v>67</v>
      </c>
      <c r="Y48" s="244">
        <f t="shared" si="1"/>
        <v>67</v>
      </c>
      <c r="Z48" s="244">
        <f t="shared" si="2"/>
        <v>0</v>
      </c>
      <c r="AA48" s="244">
        <f t="shared" si="3"/>
        <v>0</v>
      </c>
      <c r="AB48" s="244" t="str">
        <f t="shared" si="7"/>
        <v>Y</v>
      </c>
      <c r="AC48" s="244">
        <f t="shared" si="8"/>
        <v>0</v>
      </c>
      <c r="AD48" s="244">
        <f t="shared" si="9"/>
        <v>0</v>
      </c>
      <c r="AE48" s="222"/>
      <c r="AF48" s="222"/>
      <c r="AG48" s="222"/>
    </row>
    <row r="49" spans="1:33" ht="15.75" x14ac:dyDescent="0.25">
      <c r="A49" s="245"/>
      <c r="B49" s="246"/>
      <c r="C49" s="166" t="str">
        <f>'[8]Islamic Studies'!A62</f>
        <v>2023-IT-68</v>
      </c>
      <c r="D49" s="166" t="str">
        <f>'[8]Islamic Studies'!B62</f>
        <v>Muhammad Mubashir</v>
      </c>
      <c r="E49" s="168">
        <f>'[8]Islamic Studies'!D62</f>
        <v>7</v>
      </c>
      <c r="F49" s="168"/>
      <c r="G49" s="229">
        <f t="shared" si="4"/>
        <v>7</v>
      </c>
      <c r="H49" s="249">
        <v>8</v>
      </c>
      <c r="I49" s="249">
        <v>14</v>
      </c>
      <c r="J49" s="249"/>
      <c r="K49" s="249"/>
      <c r="L49" s="229">
        <f>'[8]Islamic Studies'!E62</f>
        <v>22</v>
      </c>
      <c r="M49" s="168">
        <f>'[8]Islamic Studies'!F62</f>
        <v>10</v>
      </c>
      <c r="N49" s="249"/>
      <c r="O49" s="229">
        <f t="shared" si="5"/>
        <v>10</v>
      </c>
      <c r="P49" s="250">
        <v>15</v>
      </c>
      <c r="Q49" s="249">
        <v>15</v>
      </c>
      <c r="R49" s="249"/>
      <c r="S49" s="242"/>
      <c r="T49" s="229">
        <f>'[8]Islamic Studies'!G62</f>
        <v>30</v>
      </c>
      <c r="U49" s="243">
        <f>'[8]Islamic Studies'!H62</f>
        <v>10</v>
      </c>
      <c r="V49" s="241"/>
      <c r="W49" s="229">
        <f t="shared" si="6"/>
        <v>10</v>
      </c>
      <c r="X49" s="229">
        <f t="shared" si="0"/>
        <v>79</v>
      </c>
      <c r="Y49" s="244">
        <f t="shared" si="1"/>
        <v>79</v>
      </c>
      <c r="Z49" s="244">
        <f t="shared" si="2"/>
        <v>0</v>
      </c>
      <c r="AA49" s="244">
        <f t="shared" si="3"/>
        <v>0</v>
      </c>
      <c r="AB49" s="244" t="str">
        <f t="shared" si="7"/>
        <v>Y</v>
      </c>
      <c r="AC49" s="244">
        <f t="shared" si="8"/>
        <v>0</v>
      </c>
      <c r="AD49" s="244">
        <f t="shared" si="9"/>
        <v>0</v>
      </c>
      <c r="AE49" s="222"/>
      <c r="AF49" s="222"/>
      <c r="AG49" s="222"/>
    </row>
    <row r="50" spans="1:33" ht="15.75" x14ac:dyDescent="0.25">
      <c r="A50" s="245"/>
      <c r="B50" s="246"/>
      <c r="C50" s="166" t="str">
        <f>'[8]Islamic Studies'!A63</f>
        <v>2023-IT-70</v>
      </c>
      <c r="D50" s="166" t="str">
        <f>'[8]Islamic Studies'!B63</f>
        <v>Muhammad Usama</v>
      </c>
      <c r="E50" s="168">
        <f>'[8]Islamic Studies'!D63</f>
        <v>0</v>
      </c>
      <c r="F50" s="168"/>
      <c r="G50" s="229">
        <f t="shared" si="4"/>
        <v>0</v>
      </c>
      <c r="H50" s="249">
        <v>0</v>
      </c>
      <c r="I50" s="249">
        <v>0</v>
      </c>
      <c r="J50" s="249"/>
      <c r="K50" s="249"/>
      <c r="L50" s="229">
        <f>'[8]Islamic Studies'!E63</f>
        <v>0</v>
      </c>
      <c r="M50" s="168">
        <f>'[8]Islamic Studies'!F63</f>
        <v>0</v>
      </c>
      <c r="N50" s="249"/>
      <c r="O50" s="229">
        <f t="shared" si="5"/>
        <v>0</v>
      </c>
      <c r="P50" s="250">
        <v>0</v>
      </c>
      <c r="Q50" s="249">
        <v>0</v>
      </c>
      <c r="R50" s="249"/>
      <c r="S50" s="242"/>
      <c r="T50" s="229">
        <f>'[8]Islamic Studies'!G63</f>
        <v>0</v>
      </c>
      <c r="U50" s="243">
        <f>'[8]Islamic Studies'!H63</f>
        <v>0</v>
      </c>
      <c r="V50" s="241"/>
      <c r="W50" s="229">
        <f t="shared" si="6"/>
        <v>0</v>
      </c>
      <c r="X50" s="229">
        <f t="shared" ref="X50:X56" si="10">SUM(G50+L50+O50+T50+W50)</f>
        <v>0</v>
      </c>
      <c r="Y50" s="244">
        <f t="shared" si="1"/>
        <v>0</v>
      </c>
      <c r="Z50" s="244">
        <f t="shared" si="2"/>
        <v>0</v>
      </c>
      <c r="AA50" s="244">
        <f t="shared" si="3"/>
        <v>0</v>
      </c>
      <c r="AB50" s="244" t="str">
        <f t="shared" si="7"/>
        <v>N</v>
      </c>
      <c r="AC50" s="244">
        <f t="shared" si="8"/>
        <v>0</v>
      </c>
      <c r="AD50" s="244">
        <f t="shared" si="9"/>
        <v>0</v>
      </c>
      <c r="AE50" s="222"/>
      <c r="AF50" s="222"/>
      <c r="AG50" s="222"/>
    </row>
    <row r="51" spans="1:33" ht="15.75" x14ac:dyDescent="0.25">
      <c r="A51" s="245"/>
      <c r="B51" s="246"/>
      <c r="C51" s="166" t="str">
        <f>'[8]Islamic Studies'!A64</f>
        <v>2023-IT-72</v>
      </c>
      <c r="D51" s="166" t="str">
        <f>'[8]Islamic Studies'!B64</f>
        <v>Muhammad Zohaib Akhtar</v>
      </c>
      <c r="E51" s="168">
        <f>'[8]Islamic Studies'!D64</f>
        <v>9</v>
      </c>
      <c r="F51" s="168"/>
      <c r="G51" s="229">
        <f t="shared" si="4"/>
        <v>9</v>
      </c>
      <c r="H51" s="249">
        <v>9</v>
      </c>
      <c r="I51" s="249">
        <v>10</v>
      </c>
      <c r="J51" s="249"/>
      <c r="K51" s="249"/>
      <c r="L51" s="229">
        <f>'[8]Islamic Studies'!E64</f>
        <v>19</v>
      </c>
      <c r="M51" s="168">
        <f>'[8]Islamic Studies'!F64</f>
        <v>8</v>
      </c>
      <c r="N51" s="249"/>
      <c r="O51" s="229">
        <f t="shared" si="5"/>
        <v>8</v>
      </c>
      <c r="P51" s="250">
        <v>15</v>
      </c>
      <c r="Q51" s="249">
        <v>12</v>
      </c>
      <c r="R51" s="249"/>
      <c r="S51" s="242"/>
      <c r="T51" s="229">
        <f>'[8]Islamic Studies'!G64</f>
        <v>27</v>
      </c>
      <c r="U51" s="243">
        <f>'[8]Islamic Studies'!H64</f>
        <v>8</v>
      </c>
      <c r="V51" s="241"/>
      <c r="W51" s="229">
        <f t="shared" si="6"/>
        <v>8</v>
      </c>
      <c r="X51" s="229">
        <f t="shared" si="10"/>
        <v>71</v>
      </c>
      <c r="Y51" s="244">
        <f t="shared" si="1"/>
        <v>71</v>
      </c>
      <c r="Z51" s="244">
        <f t="shared" si="2"/>
        <v>0</v>
      </c>
      <c r="AA51" s="244">
        <f t="shared" si="3"/>
        <v>0</v>
      </c>
      <c r="AB51" s="244" t="str">
        <f t="shared" si="7"/>
        <v>Y</v>
      </c>
      <c r="AC51" s="244">
        <f t="shared" si="8"/>
        <v>0</v>
      </c>
      <c r="AD51" s="244">
        <f t="shared" si="9"/>
        <v>0</v>
      </c>
      <c r="AE51" s="222"/>
      <c r="AF51" s="222"/>
      <c r="AG51" s="222"/>
    </row>
    <row r="52" spans="1:33" ht="15.75" x14ac:dyDescent="0.25">
      <c r="A52" s="245"/>
      <c r="B52" s="246"/>
      <c r="C52" s="166" t="str">
        <f>'[8]Islamic Studies'!A65</f>
        <v>2023-IT-74</v>
      </c>
      <c r="D52" s="166" t="str">
        <f>'[8]Islamic Studies'!B65</f>
        <v>Ashir Mudassir</v>
      </c>
      <c r="E52" s="168">
        <f>'[8]Islamic Studies'!D65</f>
        <v>7</v>
      </c>
      <c r="F52" s="168"/>
      <c r="G52" s="229">
        <f t="shared" si="4"/>
        <v>7</v>
      </c>
      <c r="H52" s="249">
        <v>10</v>
      </c>
      <c r="I52" s="249">
        <v>13</v>
      </c>
      <c r="J52" s="249"/>
      <c r="K52" s="249"/>
      <c r="L52" s="229">
        <f>'[8]Islamic Studies'!E65</f>
        <v>23</v>
      </c>
      <c r="M52" s="168">
        <f>'[8]Islamic Studies'!F65</f>
        <v>10</v>
      </c>
      <c r="N52" s="249"/>
      <c r="O52" s="229">
        <f t="shared" si="5"/>
        <v>10</v>
      </c>
      <c r="P52" s="250">
        <v>15</v>
      </c>
      <c r="Q52" s="249">
        <v>16</v>
      </c>
      <c r="R52" s="249"/>
      <c r="S52" s="242"/>
      <c r="T52" s="229">
        <f>'[8]Islamic Studies'!G65</f>
        <v>31</v>
      </c>
      <c r="U52" s="243">
        <f>'[8]Islamic Studies'!H65</f>
        <v>9</v>
      </c>
      <c r="V52" s="241"/>
      <c r="W52" s="229">
        <f t="shared" si="6"/>
        <v>9</v>
      </c>
      <c r="X52" s="229">
        <f t="shared" si="10"/>
        <v>80</v>
      </c>
      <c r="Y52" s="244">
        <f t="shared" si="1"/>
        <v>80</v>
      </c>
      <c r="Z52" s="244">
        <f t="shared" si="2"/>
        <v>0</v>
      </c>
      <c r="AA52" s="244">
        <f t="shared" si="3"/>
        <v>0</v>
      </c>
      <c r="AB52" s="244" t="str">
        <f t="shared" si="7"/>
        <v>Y</v>
      </c>
      <c r="AC52" s="244">
        <f t="shared" si="8"/>
        <v>0</v>
      </c>
      <c r="AD52" s="244">
        <f t="shared" si="9"/>
        <v>0</v>
      </c>
      <c r="AE52" s="222"/>
      <c r="AF52" s="222"/>
      <c r="AG52" s="222"/>
    </row>
    <row r="53" spans="1:33" ht="15.75" x14ac:dyDescent="0.25">
      <c r="A53" s="245"/>
      <c r="B53" s="246"/>
      <c r="C53" s="166" t="str">
        <f>'[8]Islamic Studies'!A66</f>
        <v>2023-IT-76</v>
      </c>
      <c r="D53" s="166" t="str">
        <f>'[8]Islamic Studies'!B66</f>
        <v>Rao Usama</v>
      </c>
      <c r="E53" s="168">
        <f>'[8]Islamic Studies'!D66</f>
        <v>8</v>
      </c>
      <c r="F53" s="168"/>
      <c r="G53" s="229">
        <f t="shared" si="4"/>
        <v>8</v>
      </c>
      <c r="H53" s="249">
        <v>3</v>
      </c>
      <c r="I53" s="249">
        <v>2</v>
      </c>
      <c r="J53" s="249"/>
      <c r="K53" s="249"/>
      <c r="L53" s="229">
        <f>'[8]Islamic Studies'!E66</f>
        <v>5</v>
      </c>
      <c r="M53" s="168">
        <f>'[8]Islamic Studies'!F66</f>
        <v>7</v>
      </c>
      <c r="N53" s="249"/>
      <c r="O53" s="229">
        <f t="shared" si="5"/>
        <v>7</v>
      </c>
      <c r="P53" s="250">
        <v>16</v>
      </c>
      <c r="Q53" s="249">
        <v>15</v>
      </c>
      <c r="R53" s="249"/>
      <c r="S53" s="242"/>
      <c r="T53" s="229">
        <f>'[8]Islamic Studies'!G66</f>
        <v>31</v>
      </c>
      <c r="U53" s="243">
        <f>'[8]Islamic Studies'!H66</f>
        <v>8</v>
      </c>
      <c r="V53" s="241"/>
      <c r="W53" s="229">
        <f t="shared" si="6"/>
        <v>8</v>
      </c>
      <c r="X53" s="229">
        <f t="shared" si="10"/>
        <v>59</v>
      </c>
      <c r="Y53" s="244">
        <f t="shared" si="1"/>
        <v>59</v>
      </c>
      <c r="Z53" s="244">
        <f t="shared" si="2"/>
        <v>0</v>
      </c>
      <c r="AA53" s="244">
        <f t="shared" si="3"/>
        <v>0</v>
      </c>
      <c r="AB53" s="244" t="str">
        <f t="shared" si="7"/>
        <v>Y</v>
      </c>
      <c r="AC53" s="244">
        <f t="shared" si="8"/>
        <v>0</v>
      </c>
      <c r="AD53" s="244">
        <f t="shared" si="9"/>
        <v>0</v>
      </c>
      <c r="AE53" s="222"/>
      <c r="AF53" s="222"/>
      <c r="AG53" s="222"/>
    </row>
    <row r="54" spans="1:33" ht="15.75" x14ac:dyDescent="0.25">
      <c r="A54" s="245"/>
      <c r="B54" s="246"/>
      <c r="C54" s="166" t="str">
        <f>'[8]Islamic Studies'!A67</f>
        <v>2023-IT-78</v>
      </c>
      <c r="D54" s="166" t="str">
        <f>'[8]Islamic Studies'!B67</f>
        <v>Muhammad Zaman</v>
      </c>
      <c r="E54" s="168">
        <f>'[8]Islamic Studies'!D67</f>
        <v>8</v>
      </c>
      <c r="F54" s="168"/>
      <c r="G54" s="229">
        <f t="shared" si="4"/>
        <v>8</v>
      </c>
      <c r="H54" s="249">
        <v>10</v>
      </c>
      <c r="I54" s="249">
        <v>12</v>
      </c>
      <c r="J54" s="249"/>
      <c r="K54" s="249"/>
      <c r="L54" s="229">
        <f>'[8]Islamic Studies'!E67</f>
        <v>22</v>
      </c>
      <c r="M54" s="168">
        <f>'[8]Islamic Studies'!F67</f>
        <v>9</v>
      </c>
      <c r="N54" s="249"/>
      <c r="O54" s="229">
        <f t="shared" si="5"/>
        <v>9</v>
      </c>
      <c r="P54" s="250">
        <v>14</v>
      </c>
      <c r="Q54" s="249">
        <v>14</v>
      </c>
      <c r="R54" s="249"/>
      <c r="S54" s="242"/>
      <c r="T54" s="229">
        <f>'[8]Islamic Studies'!G67</f>
        <v>28</v>
      </c>
      <c r="U54" s="243">
        <f>'[8]Islamic Studies'!H67</f>
        <v>7</v>
      </c>
      <c r="V54" s="241"/>
      <c r="W54" s="229">
        <f t="shared" si="6"/>
        <v>7</v>
      </c>
      <c r="X54" s="229">
        <f t="shared" si="10"/>
        <v>74</v>
      </c>
      <c r="Y54" s="244">
        <f t="shared" si="1"/>
        <v>74</v>
      </c>
      <c r="Z54" s="244">
        <f t="shared" si="2"/>
        <v>0</v>
      </c>
      <c r="AA54" s="244">
        <f t="shared" si="3"/>
        <v>0</v>
      </c>
      <c r="AB54" s="244" t="str">
        <f t="shared" si="7"/>
        <v>Y</v>
      </c>
      <c r="AC54" s="244">
        <f t="shared" si="8"/>
        <v>0</v>
      </c>
      <c r="AD54" s="244">
        <f t="shared" si="9"/>
        <v>0</v>
      </c>
      <c r="AE54" s="222"/>
      <c r="AF54" s="222"/>
      <c r="AG54" s="222"/>
    </row>
    <row r="55" spans="1:33" ht="15.75" x14ac:dyDescent="0.25">
      <c r="A55" s="245"/>
      <c r="B55" s="246"/>
      <c r="C55" s="166" t="str">
        <f>'[8]Islamic Studies'!A68</f>
        <v>2023-IT-79</v>
      </c>
      <c r="D55" s="166" t="str">
        <f>'[8]Islamic Studies'!B68</f>
        <v>Iqra Moeen</v>
      </c>
      <c r="E55" s="168">
        <f>'[8]Islamic Studies'!D68</f>
        <v>7</v>
      </c>
      <c r="F55" s="168"/>
      <c r="G55" s="229">
        <f t="shared" si="4"/>
        <v>7</v>
      </c>
      <c r="H55" s="249">
        <v>8</v>
      </c>
      <c r="I55" s="249">
        <v>12</v>
      </c>
      <c r="J55" s="249"/>
      <c r="K55" s="249"/>
      <c r="L55" s="229">
        <f>'[8]Islamic Studies'!E68</f>
        <v>20</v>
      </c>
      <c r="M55" s="168">
        <f>'[8]Islamic Studies'!F68</f>
        <v>10</v>
      </c>
      <c r="N55" s="249"/>
      <c r="O55" s="229">
        <f t="shared" si="5"/>
        <v>10</v>
      </c>
      <c r="P55" s="250">
        <v>15</v>
      </c>
      <c r="Q55" s="249">
        <v>15</v>
      </c>
      <c r="R55" s="249"/>
      <c r="S55" s="242"/>
      <c r="T55" s="229">
        <f>'[8]Islamic Studies'!G68</f>
        <v>30</v>
      </c>
      <c r="U55" s="243">
        <f>'[8]Islamic Studies'!H68</f>
        <v>10</v>
      </c>
      <c r="V55" s="241"/>
      <c r="W55" s="229">
        <f t="shared" si="6"/>
        <v>10</v>
      </c>
      <c r="X55" s="229">
        <f t="shared" si="10"/>
        <v>77</v>
      </c>
      <c r="Y55" s="244">
        <f t="shared" si="1"/>
        <v>77</v>
      </c>
      <c r="Z55" s="244">
        <f t="shared" si="2"/>
        <v>0</v>
      </c>
      <c r="AA55" s="244">
        <f t="shared" si="3"/>
        <v>0</v>
      </c>
      <c r="AB55" s="244" t="str">
        <f t="shared" si="7"/>
        <v>Y</v>
      </c>
      <c r="AC55" s="244">
        <f t="shared" si="8"/>
        <v>0</v>
      </c>
      <c r="AD55" s="244">
        <f t="shared" si="9"/>
        <v>0</v>
      </c>
      <c r="AE55" s="222"/>
      <c r="AF55" s="222"/>
      <c r="AG55" s="222"/>
    </row>
    <row r="56" spans="1:33" ht="15.75" x14ac:dyDescent="0.25">
      <c r="A56" s="251"/>
      <c r="B56" s="252"/>
      <c r="C56" s="166" t="str">
        <f>'[8]Islamic Studies'!A69</f>
        <v>2023-IT-80</v>
      </c>
      <c r="D56" s="166" t="str">
        <f>'[8]Islamic Studies'!B69</f>
        <v>Ali Raza</v>
      </c>
      <c r="E56" s="168">
        <f>'[8]Islamic Studies'!D69</f>
        <v>8</v>
      </c>
      <c r="F56" s="306"/>
      <c r="G56" s="229">
        <f t="shared" si="4"/>
        <v>8</v>
      </c>
      <c r="H56" s="249">
        <v>8</v>
      </c>
      <c r="I56" s="249">
        <v>14</v>
      </c>
      <c r="J56" s="249"/>
      <c r="K56" s="249"/>
      <c r="L56" s="229">
        <f>'[8]Islamic Studies'!E69</f>
        <v>22</v>
      </c>
      <c r="M56" s="168">
        <f>'[8]Islamic Studies'!F69</f>
        <v>10</v>
      </c>
      <c r="N56" s="249"/>
      <c r="O56" s="229">
        <f t="shared" si="5"/>
        <v>10</v>
      </c>
      <c r="P56" s="250">
        <v>15</v>
      </c>
      <c r="Q56" s="249">
        <v>17</v>
      </c>
      <c r="R56" s="249"/>
      <c r="S56" s="242"/>
      <c r="T56" s="229">
        <f>'[8]Islamic Studies'!G69</f>
        <v>32</v>
      </c>
      <c r="U56" s="243">
        <f>'[8]Islamic Studies'!H69</f>
        <v>8</v>
      </c>
      <c r="V56" s="241"/>
      <c r="W56" s="229">
        <f t="shared" si="6"/>
        <v>8</v>
      </c>
      <c r="X56" s="229">
        <f t="shared" si="10"/>
        <v>80</v>
      </c>
      <c r="Y56" s="244">
        <f t="shared" si="1"/>
        <v>80</v>
      </c>
      <c r="Z56" s="244">
        <f t="shared" si="2"/>
        <v>0</v>
      </c>
      <c r="AA56" s="244">
        <f t="shared" si="3"/>
        <v>0</v>
      </c>
      <c r="AB56" s="244" t="str">
        <f t="shared" si="7"/>
        <v>Y</v>
      </c>
      <c r="AC56" s="244">
        <f t="shared" si="8"/>
        <v>0</v>
      </c>
      <c r="AD56" s="244">
        <f t="shared" si="9"/>
        <v>0</v>
      </c>
      <c r="AE56" s="222"/>
      <c r="AF56" s="222"/>
      <c r="AG56" s="222"/>
    </row>
    <row r="57" spans="1:33" ht="15.75" x14ac:dyDescent="0.25">
      <c r="A57" s="251"/>
      <c r="B57" s="252"/>
      <c r="C57" s="529" t="s">
        <v>243</v>
      </c>
      <c r="D57" s="530"/>
      <c r="E57" s="531"/>
      <c r="F57" s="260" t="str">
        <f>Y11</f>
        <v>PLO1</v>
      </c>
      <c r="G57" s="261">
        <f>COUNTIF($AB$13:$AB$55,"Y")</f>
        <v>36</v>
      </c>
      <c r="H57" s="261">
        <f>COUNTIF($AB$13:$AB$55,"N")</f>
        <v>7</v>
      </c>
      <c r="J57" s="253"/>
      <c r="K57" s="253"/>
      <c r="L57" s="253"/>
      <c r="M57" s="253"/>
      <c r="N57" s="253"/>
      <c r="O57" s="253"/>
      <c r="P57" s="256"/>
      <c r="Q57" s="253"/>
      <c r="R57" s="253"/>
      <c r="S57" s="257"/>
      <c r="T57" s="257"/>
      <c r="U57" s="257"/>
      <c r="V57" s="257"/>
      <c r="W57" s="257"/>
      <c r="X57" s="258"/>
      <c r="Y57" s="258"/>
      <c r="Z57" s="258"/>
      <c r="AA57" s="258"/>
      <c r="AB57" s="259"/>
      <c r="AC57" s="259"/>
      <c r="AD57" s="259"/>
      <c r="AE57" s="222"/>
      <c r="AF57" s="222"/>
      <c r="AG57" s="222"/>
    </row>
    <row r="58" spans="1:33" x14ac:dyDescent="0.25">
      <c r="A58" s="251"/>
      <c r="B58" s="252"/>
      <c r="C58" s="532"/>
      <c r="D58" s="533"/>
      <c r="E58" s="534"/>
      <c r="F58" s="260" t="str">
        <f>Z11</f>
        <v>PLO2</v>
      </c>
      <c r="G58" s="261">
        <f>COUNTIF($AC$13:$AC$55,"Y")</f>
        <v>0</v>
      </c>
      <c r="H58" s="261">
        <f>COUNTIF($AC$13:$AC$55,"N")</f>
        <v>0</v>
      </c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</row>
    <row r="59" spans="1:33" x14ac:dyDescent="0.25">
      <c r="A59" s="251"/>
      <c r="B59" s="252"/>
      <c r="C59" s="535"/>
      <c r="D59" s="536"/>
      <c r="E59" s="537"/>
      <c r="F59" s="260" t="str">
        <f>AA11</f>
        <v>PLO3</v>
      </c>
      <c r="G59" s="261">
        <f>COUNTIF($AD$13:$AD$55,"Y")</f>
        <v>0</v>
      </c>
      <c r="H59" s="261">
        <f>COUNTIF($AD$13:$AD$55,"N")</f>
        <v>0</v>
      </c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</row>
    <row r="60" spans="1:33" x14ac:dyDescent="0.25">
      <c r="A60" s="262">
        <v>9</v>
      </c>
      <c r="B60" s="263" t="s">
        <v>244</v>
      </c>
      <c r="C60" s="222"/>
      <c r="D60" s="264"/>
      <c r="E60" s="264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</row>
    <row r="61" spans="1:33" ht="33.950000000000003" customHeight="1" x14ac:dyDescent="0.25">
      <c r="A61" s="262">
        <v>10</v>
      </c>
      <c r="B61" s="263" t="s">
        <v>245</v>
      </c>
      <c r="C61" s="222"/>
      <c r="D61" s="264"/>
      <c r="E61" s="264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</row>
    <row r="62" spans="1:33" x14ac:dyDescent="0.25">
      <c r="A62" s="262">
        <v>11</v>
      </c>
      <c r="B62" s="263" t="s">
        <v>246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</row>
    <row r="63" spans="1:33" ht="31.5" customHeight="1" x14ac:dyDescent="0.25">
      <c r="A63" s="262">
        <v>12</v>
      </c>
      <c r="B63" s="263" t="s">
        <v>247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</row>
    <row r="64" spans="1:33" x14ac:dyDescent="0.25">
      <c r="A64" s="262">
        <v>13</v>
      </c>
      <c r="B64" s="263" t="s">
        <v>248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</row>
    <row r="65" spans="1:33" x14ac:dyDescent="0.25">
      <c r="A65" s="262">
        <v>14</v>
      </c>
      <c r="B65" s="263" t="s">
        <v>249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</row>
    <row r="66" spans="1:33" x14ac:dyDescent="0.25">
      <c r="A66" s="262">
        <v>15</v>
      </c>
      <c r="B66" s="263" t="s">
        <v>250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</row>
    <row r="67" spans="1:33" ht="32.1" customHeight="1" x14ac:dyDescent="0.25">
      <c r="A67" s="262">
        <v>16</v>
      </c>
      <c r="B67" s="263" t="s">
        <v>251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</row>
    <row r="68" spans="1:33" x14ac:dyDescent="0.25">
      <c r="A68" s="262">
        <v>17</v>
      </c>
      <c r="B68" s="263" t="s">
        <v>252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</row>
    <row r="69" spans="1:33" x14ac:dyDescent="0.25">
      <c r="A69" s="262">
        <v>18</v>
      </c>
      <c r="B69" s="263" t="s">
        <v>253</v>
      </c>
      <c r="C69" s="222"/>
      <c r="AE69" s="222"/>
      <c r="AF69" s="222"/>
      <c r="AG69" s="222"/>
    </row>
    <row r="70" spans="1:33" x14ac:dyDescent="0.25">
      <c r="A70" s="262">
        <v>19</v>
      </c>
      <c r="B70" s="263" t="s">
        <v>254</v>
      </c>
      <c r="C70" s="222"/>
      <c r="AE70" s="222"/>
      <c r="AF70" s="222"/>
      <c r="AG70" s="222"/>
    </row>
    <row r="71" spans="1:33" x14ac:dyDescent="0.25">
      <c r="A71" s="262">
        <v>20</v>
      </c>
      <c r="B71" s="263" t="s">
        <v>255</v>
      </c>
      <c r="C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</row>
    <row r="72" spans="1:33" x14ac:dyDescent="0.25">
      <c r="A72" s="262">
        <v>21</v>
      </c>
      <c r="B72" s="263" t="s">
        <v>256</v>
      </c>
      <c r="C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</row>
    <row r="73" spans="1:33" x14ac:dyDescent="0.25">
      <c r="A73" s="262">
        <v>22</v>
      </c>
      <c r="B73" s="263" t="s">
        <v>257</v>
      </c>
      <c r="C73" s="222"/>
      <c r="D73" s="265"/>
      <c r="E73" s="265"/>
      <c r="F73" s="538" t="s">
        <v>30</v>
      </c>
      <c r="G73" s="539"/>
      <c r="H73" s="539"/>
      <c r="I73" s="539"/>
      <c r="J73" s="539"/>
      <c r="K73" s="539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538" t="s">
        <v>31</v>
      </c>
      <c r="W73" s="538"/>
      <c r="X73" s="538"/>
      <c r="Y73" s="538"/>
      <c r="Z73" s="538"/>
      <c r="AA73" s="538"/>
      <c r="AB73" s="538"/>
      <c r="AC73" s="265"/>
      <c r="AD73" s="265"/>
      <c r="AE73" s="222"/>
      <c r="AF73" s="222"/>
      <c r="AG73" s="222"/>
    </row>
    <row r="74" spans="1:33" x14ac:dyDescent="0.25">
      <c r="A74" s="262">
        <v>23</v>
      </c>
      <c r="B74" s="263" t="s">
        <v>258</v>
      </c>
      <c r="C74" s="222"/>
      <c r="D74" s="222"/>
      <c r="E74" s="222"/>
      <c r="F74" s="539" t="str">
        <f>J5</f>
        <v>Name: Abdul Nasir Zamir</v>
      </c>
      <c r="G74" s="539"/>
      <c r="H74" s="539"/>
      <c r="I74" s="539"/>
      <c r="J74" s="539"/>
      <c r="K74" s="539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539" t="s">
        <v>259</v>
      </c>
      <c r="W74" s="539"/>
      <c r="X74" s="539"/>
      <c r="Y74" s="539"/>
      <c r="Z74" s="539"/>
      <c r="AA74" s="539"/>
      <c r="AB74" s="539"/>
      <c r="AC74" s="222"/>
      <c r="AD74" s="222"/>
      <c r="AE74" s="222"/>
      <c r="AF74" s="222"/>
      <c r="AG74" s="222"/>
    </row>
    <row r="75" spans="1:33" x14ac:dyDescent="0.25">
      <c r="A75" s="262">
        <v>24</v>
      </c>
      <c r="B75" s="263" t="s">
        <v>260</v>
      </c>
      <c r="C75" s="222"/>
      <c r="D75" s="264"/>
      <c r="E75" s="264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</row>
    <row r="76" spans="1:33" x14ac:dyDescent="0.25">
      <c r="A76" s="262">
        <v>25</v>
      </c>
      <c r="B76" s="263" t="s">
        <v>261</v>
      </c>
      <c r="C76" s="222"/>
      <c r="D76" s="264"/>
      <c r="E76" s="264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</row>
    <row r="77" spans="1:33" ht="15.75" thickBot="1" x14ac:dyDescent="0.3">
      <c r="A77" s="266">
        <v>26</v>
      </c>
      <c r="B77" s="267" t="s">
        <v>262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</row>
    <row r="78" spans="1:33" x14ac:dyDescent="0.25">
      <c r="D78" s="264"/>
      <c r="E78" s="264"/>
    </row>
    <row r="79" spans="1:33" x14ac:dyDescent="0.25">
      <c r="D79" s="264"/>
      <c r="E79" s="264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</sheetData>
  <protectedRanges>
    <protectedRange sqref="H10:K49 P10:S49 E10:F49 M10:N49 U10:V49" name="questions maping clo plo"/>
    <protectedRange sqref="C3:L6" name="Course Information"/>
    <protectedRange sqref="Y11:AA11" name="plo assesment"/>
    <protectedRange sqref="F50:F55 E50:E56 H50:K56 P50:S56 M50:N56 U50:V56" name="questions maping clo plo_1"/>
  </protectedRanges>
  <mergeCells count="37">
    <mergeCell ref="F73:K73"/>
    <mergeCell ref="V73:AB73"/>
    <mergeCell ref="F74:K74"/>
    <mergeCell ref="V74:AB74"/>
    <mergeCell ref="L11:L12"/>
    <mergeCell ref="O11:O12"/>
    <mergeCell ref="T11:T12"/>
    <mergeCell ref="W11:W12"/>
    <mergeCell ref="C57:E59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AB9:AD9"/>
    <mergeCell ref="C10:D10"/>
    <mergeCell ref="X10:X12"/>
    <mergeCell ref="C11:D11"/>
    <mergeCell ref="G11:G12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F309-1A13-4C5D-B6D3-2E2CFB862326}">
  <sheetPr>
    <pageSetUpPr fitToPage="1"/>
  </sheetPr>
  <dimension ref="A1:AG90"/>
  <sheetViews>
    <sheetView topLeftCell="E7" zoomScale="80" zoomScaleNormal="80" workbookViewId="0">
      <selection activeCell="C57" sqref="C57:AG58"/>
    </sheetView>
  </sheetViews>
  <sheetFormatPr defaultColWidth="8.7109375" defaultRowHeight="15" x14ac:dyDescent="0.25"/>
  <cols>
    <col min="1" max="1" width="6" style="220" hidden="1" customWidth="1"/>
    <col min="2" max="2" width="10.42578125" style="220" hidden="1" customWidth="1"/>
    <col min="3" max="3" width="14.85546875" style="220" bestFit="1" customWidth="1"/>
    <col min="4" max="4" width="27.5703125" style="220" bestFit="1" customWidth="1"/>
    <col min="5" max="9" width="7.7109375" style="220" customWidth="1"/>
    <col min="10" max="10" width="7" style="220" bestFit="1" customWidth="1"/>
    <col min="11" max="30" width="7.7109375" style="220" customWidth="1"/>
    <col min="31" max="43" width="10.140625" style="220" bestFit="1" customWidth="1"/>
    <col min="44" max="16384" width="8.7109375" style="220"/>
  </cols>
  <sheetData>
    <row r="1" spans="1:33" x14ac:dyDescent="0.25">
      <c r="C1" s="466" t="s">
        <v>40</v>
      </c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</row>
    <row r="2" spans="1:33" x14ac:dyDescent="0.25">
      <c r="C2" s="468" t="s">
        <v>153</v>
      </c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</row>
    <row r="3" spans="1:33" x14ac:dyDescent="0.25">
      <c r="C3" s="221" t="s">
        <v>181</v>
      </c>
      <c r="D3" s="470" t="s">
        <v>182</v>
      </c>
      <c r="E3" s="471"/>
      <c r="F3" s="471"/>
      <c r="G3" s="472"/>
      <c r="H3" s="473" t="s">
        <v>183</v>
      </c>
      <c r="I3" s="474"/>
      <c r="J3" s="477" t="s">
        <v>184</v>
      </c>
      <c r="K3" s="478"/>
      <c r="L3" s="479"/>
    </row>
    <row r="4" spans="1:33" s="222" customFormat="1" ht="18.75" customHeight="1" x14ac:dyDescent="0.25">
      <c r="C4" s="221" t="s">
        <v>185</v>
      </c>
      <c r="D4" s="470" t="s">
        <v>186</v>
      </c>
      <c r="E4" s="480"/>
      <c r="F4" s="480"/>
      <c r="G4" s="481"/>
      <c r="H4" s="475"/>
      <c r="I4" s="476"/>
      <c r="J4" s="477" t="s">
        <v>187</v>
      </c>
      <c r="K4" s="478"/>
      <c r="L4" s="479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</row>
    <row r="5" spans="1:33" s="222" customFormat="1" ht="18.75" x14ac:dyDescent="0.25">
      <c r="C5" s="482" t="s">
        <v>188</v>
      </c>
      <c r="D5" s="484" t="str">
        <f>'[11]DLD A'!B5</f>
        <v>Title (Code):   Digital Logic Design (IT-122)</v>
      </c>
      <c r="E5" s="485"/>
      <c r="F5" s="485"/>
      <c r="G5" s="486"/>
      <c r="H5" s="473" t="s">
        <v>189</v>
      </c>
      <c r="I5" s="474"/>
      <c r="J5" s="489" t="str">
        <f>'[11]DLD A'!H5</f>
        <v>Engr. Nashitah Alwaz</v>
      </c>
      <c r="K5" s="490"/>
      <c r="L5" s="491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</row>
    <row r="6" spans="1:33" s="222" customFormat="1" ht="21" thickBot="1" x14ac:dyDescent="0.3">
      <c r="C6" s="483"/>
      <c r="D6" s="224" t="s">
        <v>190</v>
      </c>
      <c r="E6" s="495" t="s">
        <v>191</v>
      </c>
      <c r="F6" s="496"/>
      <c r="G6" s="497"/>
      <c r="H6" s="487"/>
      <c r="I6" s="488"/>
      <c r="J6" s="492"/>
      <c r="K6" s="493"/>
      <c r="L6" s="494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</row>
    <row r="7" spans="1:33" ht="37.5" customHeight="1" thickTop="1" x14ac:dyDescent="0.25">
      <c r="A7" s="518" t="s">
        <v>192</v>
      </c>
      <c r="B7" s="519"/>
      <c r="C7" s="519"/>
      <c r="D7" s="519"/>
      <c r="E7" s="226" t="s">
        <v>193</v>
      </c>
      <c r="F7" s="226" t="s">
        <v>194</v>
      </c>
      <c r="G7" s="226" t="s">
        <v>195</v>
      </c>
      <c r="H7" s="226" t="s">
        <v>196</v>
      </c>
      <c r="I7" s="226" t="s">
        <v>197</v>
      </c>
      <c r="J7" s="226" t="s">
        <v>198</v>
      </c>
      <c r="K7" s="226" t="s">
        <v>199</v>
      </c>
      <c r="L7" s="226" t="s">
        <v>200</v>
      </c>
      <c r="M7" s="226" t="s">
        <v>201</v>
      </c>
      <c r="N7" s="226" t="s">
        <v>202</v>
      </c>
      <c r="O7" s="226" t="s">
        <v>9</v>
      </c>
      <c r="P7" s="227" t="s">
        <v>177</v>
      </c>
      <c r="Q7" s="227" t="s">
        <v>173</v>
      </c>
      <c r="R7" s="227" t="s">
        <v>174</v>
      </c>
      <c r="S7" s="227" t="s">
        <v>180</v>
      </c>
      <c r="T7" s="227" t="s">
        <v>175</v>
      </c>
      <c r="U7" s="227" t="s">
        <v>203</v>
      </c>
      <c r="V7" s="227" t="s">
        <v>176</v>
      </c>
      <c r="W7" s="227" t="s">
        <v>204</v>
      </c>
      <c r="X7" s="227" t="s">
        <v>205</v>
      </c>
      <c r="Y7" s="227" t="s">
        <v>206</v>
      </c>
      <c r="Z7" s="227" t="s">
        <v>9</v>
      </c>
      <c r="AA7" s="498"/>
      <c r="AB7" s="499"/>
      <c r="AC7" s="499"/>
      <c r="AD7" s="500"/>
    </row>
    <row r="8" spans="1:33" ht="37.5" customHeight="1" thickBot="1" x14ac:dyDescent="0.3">
      <c r="A8" s="520"/>
      <c r="B8" s="521"/>
      <c r="C8" s="521"/>
      <c r="D8" s="521"/>
      <c r="E8" s="226" cm="1">
        <f t="array" ref="E8:N8">TRANSPOSE(_xlfn._xlws.FILTER('[11]CLO &amp; PLO'!K1:K10,'Digital Logic Design 2'!E7='[11]CLO &amp; PLO'!A1))</f>
        <v>30</v>
      </c>
      <c r="F8" s="226">
        <v>40</v>
      </c>
      <c r="G8" s="226">
        <v>20</v>
      </c>
      <c r="H8" s="226">
        <v>10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f>SUM(E8:N8)</f>
        <v>100</v>
      </c>
      <c r="P8" s="227" cm="1">
        <f t="array" ref="P8:Y8">TRANSPOSE( _xlfn._xlws.FILTER('[11]CLO &amp; PLO'!X1:X10,'[11]CLO &amp; PLO'!N1='Digital Logic Design 2'!P7))</f>
        <v>0</v>
      </c>
      <c r="Q8" s="227">
        <v>70</v>
      </c>
      <c r="R8" s="227">
        <v>0</v>
      </c>
      <c r="S8" s="227">
        <v>30</v>
      </c>
      <c r="T8" s="227">
        <v>0</v>
      </c>
      <c r="U8" s="227">
        <v>0</v>
      </c>
      <c r="V8" s="227">
        <v>0</v>
      </c>
      <c r="W8" s="227">
        <v>0</v>
      </c>
      <c r="X8" s="227">
        <v>0</v>
      </c>
      <c r="Y8" s="228">
        <v>0</v>
      </c>
      <c r="Z8" s="227">
        <f>SUM(P8:X8)</f>
        <v>100</v>
      </c>
      <c r="AA8" s="501"/>
      <c r="AB8" s="502"/>
      <c r="AC8" s="502"/>
      <c r="AD8" s="503"/>
    </row>
    <row r="9" spans="1:33" ht="24.75" customHeight="1" thickBot="1" x14ac:dyDescent="0.3">
      <c r="A9" s="504" t="s">
        <v>207</v>
      </c>
      <c r="B9" s="505" t="s">
        <v>208</v>
      </c>
      <c r="C9" s="506" t="s">
        <v>209</v>
      </c>
      <c r="D9" s="506"/>
      <c r="E9" s="507" t="s">
        <v>210</v>
      </c>
      <c r="F9" s="508"/>
      <c r="G9" s="509"/>
      <c r="H9" s="510" t="s">
        <v>211</v>
      </c>
      <c r="I9" s="511"/>
      <c r="J9" s="511"/>
      <c r="K9" s="511"/>
      <c r="L9" s="512"/>
      <c r="M9" s="507" t="s">
        <v>212</v>
      </c>
      <c r="N9" s="508"/>
      <c r="O9" s="509"/>
      <c r="P9" s="507" t="s">
        <v>213</v>
      </c>
      <c r="Q9" s="508"/>
      <c r="R9" s="508"/>
      <c r="S9" s="508"/>
      <c r="T9" s="509"/>
      <c r="U9" s="513" t="s">
        <v>6</v>
      </c>
      <c r="V9" s="514"/>
      <c r="W9" s="515"/>
      <c r="X9" s="229" t="s">
        <v>9</v>
      </c>
      <c r="Y9" s="516" t="s">
        <v>214</v>
      </c>
      <c r="Z9" s="517"/>
      <c r="AA9" s="517"/>
      <c r="AB9" s="516" t="s">
        <v>215</v>
      </c>
      <c r="AC9" s="517"/>
      <c r="AD9" s="517"/>
    </row>
    <row r="10" spans="1:33" ht="24.75" customHeight="1" thickBot="1" x14ac:dyDescent="0.3">
      <c r="A10" s="504"/>
      <c r="B10" s="505"/>
      <c r="C10" s="524" t="s">
        <v>216</v>
      </c>
      <c r="D10" s="524"/>
      <c r="E10" s="230">
        <v>10</v>
      </c>
      <c r="F10" s="230"/>
      <c r="G10" s="229">
        <f>SUM(C10:F10)</f>
        <v>10</v>
      </c>
      <c r="H10" s="231">
        <v>10</v>
      </c>
      <c r="I10" s="231">
        <v>20</v>
      </c>
      <c r="J10" s="231"/>
      <c r="K10" s="231"/>
      <c r="L10" s="229">
        <f>SUM(H10:K10)</f>
        <v>30</v>
      </c>
      <c r="M10" s="230">
        <v>10</v>
      </c>
      <c r="N10" s="230"/>
      <c r="O10" s="229">
        <f>SUM(M10:N10)</f>
        <v>10</v>
      </c>
      <c r="P10" s="230">
        <v>20</v>
      </c>
      <c r="Q10" s="230">
        <v>20</v>
      </c>
      <c r="R10" s="230"/>
      <c r="S10" s="230"/>
      <c r="T10" s="229">
        <f>SUM(P10:S10)</f>
        <v>40</v>
      </c>
      <c r="U10" s="232">
        <v>10</v>
      </c>
      <c r="V10" s="232"/>
      <c r="W10" s="229">
        <f>SUM(U10:V10)</f>
        <v>10</v>
      </c>
      <c r="X10" s="525">
        <f>G10+L10+O10+T10+W10</f>
        <v>100</v>
      </c>
      <c r="Y10" s="233"/>
      <c r="Z10" s="233"/>
      <c r="AA10" s="233"/>
      <c r="AB10" s="233"/>
      <c r="AC10" s="233"/>
      <c r="AD10" s="233"/>
      <c r="AE10" s="543" t="s">
        <v>271</v>
      </c>
      <c r="AF10" s="544"/>
    </row>
    <row r="11" spans="1:33" ht="24.75" customHeight="1" thickBot="1" x14ac:dyDescent="0.3">
      <c r="A11" s="504"/>
      <c r="B11" s="505"/>
      <c r="C11" s="528" t="s">
        <v>217</v>
      </c>
      <c r="D11" s="528"/>
      <c r="E11" s="235" t="s">
        <v>194</v>
      </c>
      <c r="F11" s="235"/>
      <c r="G11" s="525" t="s">
        <v>9</v>
      </c>
      <c r="H11" s="236" t="s">
        <v>193</v>
      </c>
      <c r="I11" s="235" t="s">
        <v>194</v>
      </c>
      <c r="J11" s="236"/>
      <c r="K11" s="236"/>
      <c r="L11" s="525" t="s">
        <v>9</v>
      </c>
      <c r="M11" s="235" t="s">
        <v>196</v>
      </c>
      <c r="N11" s="235"/>
      <c r="O11" s="525" t="s">
        <v>9</v>
      </c>
      <c r="P11" s="235" t="s">
        <v>193</v>
      </c>
      <c r="Q11" s="235" t="s">
        <v>195</v>
      </c>
      <c r="R11" s="235"/>
      <c r="S11" s="235"/>
      <c r="T11" s="525" t="s">
        <v>9</v>
      </c>
      <c r="U11" s="237" t="s">
        <v>194</v>
      </c>
      <c r="V11" s="237"/>
      <c r="W11" s="525" t="s">
        <v>9</v>
      </c>
      <c r="X11" s="526"/>
      <c r="Y11" s="237" t="s">
        <v>177</v>
      </c>
      <c r="Z11" s="237" t="s">
        <v>173</v>
      </c>
      <c r="AA11" s="237" t="s">
        <v>180</v>
      </c>
      <c r="AB11" s="237" t="str">
        <f>Y11</f>
        <v>PLO1</v>
      </c>
      <c r="AC11" s="237" t="str">
        <f>Z11</f>
        <v>PLO2</v>
      </c>
      <c r="AD11" s="237" t="str">
        <f>AA11</f>
        <v>PLO4</v>
      </c>
      <c r="AE11" s="220" t="s">
        <v>173</v>
      </c>
      <c r="AF11" s="220" t="s">
        <v>180</v>
      </c>
    </row>
    <row r="12" spans="1:33" ht="24.75" customHeight="1" thickBot="1" x14ac:dyDescent="0.3">
      <c r="A12" s="504"/>
      <c r="B12" s="505"/>
      <c r="C12" s="238" t="s">
        <v>218</v>
      </c>
      <c r="D12" s="234" t="s">
        <v>219</v>
      </c>
      <c r="E12" s="235" t="s">
        <v>173</v>
      </c>
      <c r="F12" s="235"/>
      <c r="G12" s="527"/>
      <c r="H12" s="235" t="s">
        <v>173</v>
      </c>
      <c r="I12" s="235" t="s">
        <v>173</v>
      </c>
      <c r="J12" s="236"/>
      <c r="K12" s="236"/>
      <c r="L12" s="527"/>
      <c r="M12" s="235" t="s">
        <v>180</v>
      </c>
      <c r="N12" s="235"/>
      <c r="O12" s="527"/>
      <c r="P12" s="235" t="s">
        <v>173</v>
      </c>
      <c r="Q12" s="235" t="s">
        <v>180</v>
      </c>
      <c r="R12" s="235"/>
      <c r="S12" s="235"/>
      <c r="T12" s="527"/>
      <c r="U12" s="237" t="s">
        <v>173</v>
      </c>
      <c r="V12" s="237"/>
      <c r="W12" s="527"/>
      <c r="X12" s="527"/>
      <c r="Y12" s="237" cm="1">
        <f t="array" ref="Y12">IFERROR(_xlfn._xlws.FILTER(_xlfn.ANCHORARRAY(P8),Y11=$P$7:$Y$7),0)</f>
        <v>0</v>
      </c>
      <c r="Z12" s="237" cm="1">
        <f t="array" ref="Z12">IFERROR(_xlfn._xlws.FILTER(_xlfn.ANCHORARRAY(P8),Z11=$P$7:$Y$7),0)</f>
        <v>70</v>
      </c>
      <c r="AA12" s="237" cm="1">
        <f t="array" ref="AA12">IFERROR(_xlfn._xlws.FILTER(_xlfn.ANCHORARRAY(P8),AA11=$P$7:$Y$7),0)</f>
        <v>30</v>
      </c>
      <c r="AB12" s="237" cm="1">
        <f t="array" ref="AB12">IFERROR(_xlfn._xlws.FILTER(_xlfn.ANCHORARRAY(P8),AB11=$P$7:$Y$7),0)</f>
        <v>0</v>
      </c>
      <c r="AC12" s="237" cm="1">
        <f t="array" ref="AC12">IFERROR(_xlfn._xlws.FILTER(_xlfn.ANCHORARRAY(P8),AC11=$P$7:$Y$7),0)</f>
        <v>70</v>
      </c>
      <c r="AD12" s="237" cm="1">
        <f t="array" ref="AD12">IFERROR(_xlfn._xlws.FILTER(_xlfn.ANCHORARRAY(P8),AD11=$P$7:$Y$7),0)</f>
        <v>30</v>
      </c>
    </row>
    <row r="13" spans="1:33" ht="15.75" x14ac:dyDescent="0.25">
      <c r="A13" s="239">
        <v>1</v>
      </c>
      <c r="B13" s="240" t="s">
        <v>220</v>
      </c>
      <c r="C13" s="166" t="str">
        <f>'[11]DLD A'!A26</f>
        <v>2023-IT-01</v>
      </c>
      <c r="D13" s="166" t="str">
        <f>'[11]DLD A'!B26</f>
        <v>Rahma Noor</v>
      </c>
      <c r="E13" s="168">
        <f>'[11]DLD A'!D26</f>
        <v>6</v>
      </c>
      <c r="F13" s="168"/>
      <c r="G13" s="229">
        <f t="shared" ref="G13:G57" si="0">SUM(C13:F13)</f>
        <v>6</v>
      </c>
      <c r="H13" s="168">
        <v>4</v>
      </c>
      <c r="I13" s="168">
        <v>4</v>
      </c>
      <c r="J13" s="168"/>
      <c r="K13" s="168"/>
      <c r="L13" s="229">
        <f>'[11]DLD A'!E26</f>
        <v>8</v>
      </c>
      <c r="M13" s="168">
        <f>'[11]DLD A'!F26</f>
        <v>6</v>
      </c>
      <c r="N13" s="168"/>
      <c r="O13" s="229">
        <f t="shared" ref="O13:O57" si="1">SUM(M13:N13)</f>
        <v>6</v>
      </c>
      <c r="P13" s="241">
        <v>10</v>
      </c>
      <c r="Q13" s="168">
        <v>11</v>
      </c>
      <c r="R13" s="168"/>
      <c r="S13" s="242"/>
      <c r="T13" s="229">
        <f>'[11]DLD A'!G26</f>
        <v>21</v>
      </c>
      <c r="U13" s="243">
        <f>'[11]DLD A'!H26</f>
        <v>8</v>
      </c>
      <c r="V13" s="241"/>
      <c r="W13" s="229">
        <f t="shared" ref="W13" si="2">SUM(U13:V13)</f>
        <v>8</v>
      </c>
      <c r="X13" s="229">
        <f t="shared" ref="X13:X57" si="3">SUM(G13+L13+O13+T13+W13)</f>
        <v>49</v>
      </c>
      <c r="Y13" s="244">
        <f t="shared" ref="Y13:Y57" si="4">SUMIF($E$12:$V$12,$Y$11,E13:V13)</f>
        <v>0</v>
      </c>
      <c r="Z13" s="244">
        <f t="shared" ref="Z13:Z57" si="5">SUMIF($E$12:$V$12,$Z$11,E13:V13)</f>
        <v>32</v>
      </c>
      <c r="AA13" s="244">
        <f t="shared" ref="AA13:AA57" si="6">SUMIF($E$12:$V$12,$AA$11,E13:V13)</f>
        <v>17</v>
      </c>
      <c r="AB13" s="244">
        <f>IFERROR(IF(Y13/$Y$12*100&gt;=50,"Y","N"),0)</f>
        <v>0</v>
      </c>
      <c r="AC13" s="244" t="str">
        <f>IFERROR(IF(Z13/$Z$12*100&gt;=50,"Y","N"),0)</f>
        <v>N</v>
      </c>
      <c r="AD13" s="244" t="str">
        <f>IFERROR(IF(AA13/$AA$12*100&gt;=50,"Y","N"),0)</f>
        <v>Y</v>
      </c>
      <c r="AE13" s="282">
        <f>Z13/70*100</f>
        <v>45.714285714285715</v>
      </c>
      <c r="AF13" s="282">
        <f>AA13/30*100</f>
        <v>56.666666666666664</v>
      </c>
    </row>
    <row r="14" spans="1:33" ht="15.75" x14ac:dyDescent="0.25">
      <c r="A14" s="245">
        <v>2</v>
      </c>
      <c r="B14" s="246" t="s">
        <v>221</v>
      </c>
      <c r="C14" s="166" t="str">
        <f>'[11]DLD A'!A27</f>
        <v>2023-IT-02</v>
      </c>
      <c r="D14" s="166" t="str">
        <f>'[11]DLD A'!B27</f>
        <v>Alishba Manzoor</v>
      </c>
      <c r="E14" s="168">
        <f>'[11]DLD A'!D27</f>
        <v>7</v>
      </c>
      <c r="F14" s="168"/>
      <c r="G14" s="229">
        <f t="shared" si="0"/>
        <v>7</v>
      </c>
      <c r="H14" s="168">
        <v>2</v>
      </c>
      <c r="I14" s="168">
        <v>4</v>
      </c>
      <c r="J14" s="168"/>
      <c r="K14" s="168"/>
      <c r="L14" s="229">
        <f>'[11]DLD A'!E27</f>
        <v>6</v>
      </c>
      <c r="M14" s="168">
        <f>'[11]DLD A'!F27</f>
        <v>7</v>
      </c>
      <c r="N14" s="168"/>
      <c r="O14" s="229">
        <f t="shared" si="1"/>
        <v>7</v>
      </c>
      <c r="P14" s="241">
        <v>5</v>
      </c>
      <c r="Q14" s="168">
        <v>6</v>
      </c>
      <c r="R14" s="168"/>
      <c r="S14" s="242"/>
      <c r="T14" s="229">
        <f>'[11]DLD A'!G27</f>
        <v>11</v>
      </c>
      <c r="U14" s="243">
        <f>'[11]DLD A'!H27</f>
        <v>8</v>
      </c>
      <c r="V14" s="241"/>
      <c r="W14" s="229">
        <f t="shared" ref="W14:W57" si="7">SUM(U14:V14)</f>
        <v>8</v>
      </c>
      <c r="X14" s="229">
        <f t="shared" si="3"/>
        <v>39</v>
      </c>
      <c r="Y14" s="244">
        <f t="shared" si="4"/>
        <v>0</v>
      </c>
      <c r="Z14" s="244">
        <f t="shared" si="5"/>
        <v>26</v>
      </c>
      <c r="AA14" s="244">
        <f t="shared" si="6"/>
        <v>13</v>
      </c>
      <c r="AB14" s="244">
        <f t="shared" ref="AB14:AB57" si="8">IFERROR(IF(Y14/$Y$12*100&gt;=50,"Y","N"),0)</f>
        <v>0</v>
      </c>
      <c r="AC14" s="244" t="str">
        <f t="shared" ref="AC14:AC57" si="9">IFERROR(IF(Z14/$Z$12*100&gt;=50,"Y","N"),0)</f>
        <v>N</v>
      </c>
      <c r="AD14" s="244" t="str">
        <f t="shared" ref="AD14:AD57" si="10">IFERROR(IF(AA14/$AA$12*100&gt;=50,"Y","N"),0)</f>
        <v>N</v>
      </c>
      <c r="AE14" s="282">
        <f t="shared" ref="AE14:AE57" si="11">Z14/70*100</f>
        <v>37.142857142857146</v>
      </c>
      <c r="AF14" s="282">
        <f t="shared" ref="AF14:AF57" si="12">AA14/30*100</f>
        <v>43.333333333333336</v>
      </c>
      <c r="AG14" s="222"/>
    </row>
    <row r="15" spans="1:33" ht="15.75" x14ac:dyDescent="0.25">
      <c r="A15" s="247">
        <v>3</v>
      </c>
      <c r="B15" s="248" t="s">
        <v>222</v>
      </c>
      <c r="C15" s="166" t="str">
        <f>'[11]DLD A'!A28</f>
        <v>2023-IT-03</v>
      </c>
      <c r="D15" s="166" t="str">
        <f>'[11]DLD A'!B28</f>
        <v>Maheen Fatima</v>
      </c>
      <c r="E15" s="168">
        <f>'[11]DLD A'!D28</f>
        <v>6</v>
      </c>
      <c r="F15" s="168"/>
      <c r="G15" s="229">
        <f t="shared" si="0"/>
        <v>6</v>
      </c>
      <c r="H15" s="168">
        <v>6</v>
      </c>
      <c r="I15" s="168">
        <v>5</v>
      </c>
      <c r="J15" s="168"/>
      <c r="K15" s="168"/>
      <c r="L15" s="229">
        <f>'[11]DLD A'!E28</f>
        <v>11</v>
      </c>
      <c r="M15" s="168">
        <f>'[11]DLD A'!F28</f>
        <v>6</v>
      </c>
      <c r="N15" s="168"/>
      <c r="O15" s="229">
        <f t="shared" si="1"/>
        <v>6</v>
      </c>
      <c r="P15" s="241">
        <v>6</v>
      </c>
      <c r="Q15" s="168">
        <v>8</v>
      </c>
      <c r="R15" s="168"/>
      <c r="S15" s="242"/>
      <c r="T15" s="229">
        <f>'[11]DLD A'!G28</f>
        <v>14</v>
      </c>
      <c r="U15" s="243">
        <f>'[11]DLD A'!H28</f>
        <v>8</v>
      </c>
      <c r="V15" s="241"/>
      <c r="W15" s="229">
        <f t="shared" si="7"/>
        <v>8</v>
      </c>
      <c r="X15" s="229">
        <f t="shared" si="3"/>
        <v>45</v>
      </c>
      <c r="Y15" s="244">
        <f t="shared" si="4"/>
        <v>0</v>
      </c>
      <c r="Z15" s="244">
        <f t="shared" si="5"/>
        <v>31</v>
      </c>
      <c r="AA15" s="244">
        <f t="shared" si="6"/>
        <v>14</v>
      </c>
      <c r="AB15" s="244">
        <f t="shared" si="8"/>
        <v>0</v>
      </c>
      <c r="AC15" s="244" t="str">
        <f t="shared" si="9"/>
        <v>N</v>
      </c>
      <c r="AD15" s="244" t="str">
        <f t="shared" si="10"/>
        <v>N</v>
      </c>
      <c r="AE15" s="282">
        <f t="shared" si="11"/>
        <v>44.285714285714285</v>
      </c>
      <c r="AF15" s="282">
        <f t="shared" si="12"/>
        <v>46.666666666666664</v>
      </c>
      <c r="AG15" s="222"/>
    </row>
    <row r="16" spans="1:33" ht="15.75" x14ac:dyDescent="0.25">
      <c r="A16" s="245">
        <v>4</v>
      </c>
      <c r="B16" s="246" t="s">
        <v>223</v>
      </c>
      <c r="C16" s="166" t="str">
        <f>'[11]DLD A'!A29</f>
        <v>2023-IT-04</v>
      </c>
      <c r="D16" s="166" t="str">
        <f>'[11]DLD A'!B29</f>
        <v>Aneela</v>
      </c>
      <c r="E16" s="168">
        <f>'[11]DLD A'!D29</f>
        <v>6</v>
      </c>
      <c r="F16" s="168"/>
      <c r="G16" s="229">
        <f t="shared" si="0"/>
        <v>6</v>
      </c>
      <c r="H16" s="168">
        <v>5</v>
      </c>
      <c r="I16" s="168">
        <v>7</v>
      </c>
      <c r="J16" s="168"/>
      <c r="K16" s="168"/>
      <c r="L16" s="229">
        <f>'[11]DLD A'!E29</f>
        <v>12</v>
      </c>
      <c r="M16" s="168">
        <f>'[11]DLD A'!F29</f>
        <v>6</v>
      </c>
      <c r="N16" s="168"/>
      <c r="O16" s="229">
        <f t="shared" si="1"/>
        <v>6</v>
      </c>
      <c r="P16" s="241">
        <v>12</v>
      </c>
      <c r="Q16" s="168">
        <v>8</v>
      </c>
      <c r="R16" s="168"/>
      <c r="S16" s="242"/>
      <c r="T16" s="229">
        <f>'[11]DLD A'!G29</f>
        <v>20</v>
      </c>
      <c r="U16" s="243">
        <f>'[11]DLD A'!H29</f>
        <v>8</v>
      </c>
      <c r="V16" s="241"/>
      <c r="W16" s="229">
        <f t="shared" si="7"/>
        <v>8</v>
      </c>
      <c r="X16" s="229">
        <f t="shared" si="3"/>
        <v>52</v>
      </c>
      <c r="Y16" s="244">
        <f t="shared" si="4"/>
        <v>0</v>
      </c>
      <c r="Z16" s="244">
        <f t="shared" si="5"/>
        <v>38</v>
      </c>
      <c r="AA16" s="244">
        <f t="shared" si="6"/>
        <v>14</v>
      </c>
      <c r="AB16" s="244">
        <f t="shared" si="8"/>
        <v>0</v>
      </c>
      <c r="AC16" s="244" t="str">
        <f t="shared" si="9"/>
        <v>Y</v>
      </c>
      <c r="AD16" s="244" t="str">
        <f t="shared" si="10"/>
        <v>N</v>
      </c>
      <c r="AE16" s="282">
        <f t="shared" si="11"/>
        <v>54.285714285714285</v>
      </c>
      <c r="AF16" s="282">
        <f t="shared" si="12"/>
        <v>46.666666666666664</v>
      </c>
      <c r="AG16" s="222"/>
    </row>
    <row r="17" spans="1:33" ht="15.75" x14ac:dyDescent="0.25">
      <c r="A17" s="245">
        <v>5</v>
      </c>
      <c r="B17" s="246" t="s">
        <v>224</v>
      </c>
      <c r="C17" s="166" t="str">
        <f>'[11]DLD A'!A30</f>
        <v>2023-IT-05</v>
      </c>
      <c r="D17" s="166" t="str">
        <f>'[11]DLD A'!B30</f>
        <v>Alishba Saleem</v>
      </c>
      <c r="E17" s="168">
        <f>'[11]DLD A'!D30</f>
        <v>5</v>
      </c>
      <c r="F17" s="168"/>
      <c r="G17" s="229">
        <f t="shared" si="0"/>
        <v>5</v>
      </c>
      <c r="H17" s="249">
        <v>7</v>
      </c>
      <c r="I17" s="249">
        <v>10</v>
      </c>
      <c r="J17" s="249"/>
      <c r="K17" s="249"/>
      <c r="L17" s="229">
        <f>'[11]DLD A'!E30</f>
        <v>17</v>
      </c>
      <c r="M17" s="168">
        <f>'[11]DLD A'!F30</f>
        <v>5</v>
      </c>
      <c r="N17" s="249"/>
      <c r="O17" s="229">
        <f t="shared" si="1"/>
        <v>5</v>
      </c>
      <c r="P17" s="250">
        <v>10</v>
      </c>
      <c r="Q17" s="249">
        <v>9</v>
      </c>
      <c r="R17" s="249"/>
      <c r="S17" s="242"/>
      <c r="T17" s="229">
        <f>'[11]DLD A'!G30</f>
        <v>19</v>
      </c>
      <c r="U17" s="243">
        <f>'[11]DLD A'!H30</f>
        <v>8</v>
      </c>
      <c r="V17" s="241"/>
      <c r="W17" s="229">
        <f t="shared" si="7"/>
        <v>8</v>
      </c>
      <c r="X17" s="229">
        <f t="shared" si="3"/>
        <v>54</v>
      </c>
      <c r="Y17" s="244">
        <f t="shared" si="4"/>
        <v>0</v>
      </c>
      <c r="Z17" s="244">
        <f t="shared" si="5"/>
        <v>40</v>
      </c>
      <c r="AA17" s="244">
        <f t="shared" si="6"/>
        <v>14</v>
      </c>
      <c r="AB17" s="244">
        <f t="shared" si="8"/>
        <v>0</v>
      </c>
      <c r="AC17" s="244" t="str">
        <f t="shared" si="9"/>
        <v>Y</v>
      </c>
      <c r="AD17" s="244" t="str">
        <f t="shared" si="10"/>
        <v>N</v>
      </c>
      <c r="AE17" s="282">
        <f t="shared" si="11"/>
        <v>57.142857142857139</v>
      </c>
      <c r="AF17" s="282">
        <f t="shared" si="12"/>
        <v>46.666666666666664</v>
      </c>
      <c r="AG17" s="222"/>
    </row>
    <row r="18" spans="1:33" ht="15.75" x14ac:dyDescent="0.25">
      <c r="A18" s="245">
        <v>6</v>
      </c>
      <c r="B18" s="246" t="s">
        <v>225</v>
      </c>
      <c r="C18" s="166" t="str">
        <f>'[11]DLD A'!A31</f>
        <v>2023-IT-06</v>
      </c>
      <c r="D18" s="166" t="str">
        <f>'[11]DLD A'!B31</f>
        <v>Mehak Asghar</v>
      </c>
      <c r="E18" s="168">
        <f>'[11]DLD A'!D31</f>
        <v>8</v>
      </c>
      <c r="F18" s="168"/>
      <c r="G18" s="229">
        <f t="shared" si="0"/>
        <v>8</v>
      </c>
      <c r="H18" s="249">
        <v>9</v>
      </c>
      <c r="I18" s="249">
        <v>12</v>
      </c>
      <c r="J18" s="249"/>
      <c r="K18" s="249"/>
      <c r="L18" s="229">
        <f>'[11]DLD A'!E31</f>
        <v>21</v>
      </c>
      <c r="M18" s="168">
        <f>'[11]DLD A'!F31</f>
        <v>9</v>
      </c>
      <c r="N18" s="249"/>
      <c r="O18" s="229">
        <f t="shared" si="1"/>
        <v>9</v>
      </c>
      <c r="P18" s="250">
        <v>20</v>
      </c>
      <c r="Q18" s="249">
        <v>18</v>
      </c>
      <c r="R18" s="249"/>
      <c r="S18" s="242"/>
      <c r="T18" s="229">
        <f>'[11]DLD A'!G31</f>
        <v>38</v>
      </c>
      <c r="U18" s="243">
        <f>'[11]DLD A'!H31</f>
        <v>9</v>
      </c>
      <c r="V18" s="241"/>
      <c r="W18" s="229">
        <f t="shared" si="7"/>
        <v>9</v>
      </c>
      <c r="X18" s="229">
        <f t="shared" si="3"/>
        <v>85</v>
      </c>
      <c r="Y18" s="244">
        <f t="shared" si="4"/>
        <v>0</v>
      </c>
      <c r="Z18" s="244">
        <f t="shared" si="5"/>
        <v>58</v>
      </c>
      <c r="AA18" s="244">
        <f t="shared" si="6"/>
        <v>27</v>
      </c>
      <c r="AB18" s="244">
        <f t="shared" si="8"/>
        <v>0</v>
      </c>
      <c r="AC18" s="244" t="str">
        <f t="shared" si="9"/>
        <v>Y</v>
      </c>
      <c r="AD18" s="244" t="str">
        <f t="shared" si="10"/>
        <v>Y</v>
      </c>
      <c r="AE18" s="282">
        <f t="shared" si="11"/>
        <v>82.857142857142861</v>
      </c>
      <c r="AF18" s="282">
        <f t="shared" si="12"/>
        <v>90</v>
      </c>
      <c r="AG18" s="222"/>
    </row>
    <row r="19" spans="1:33" ht="15.75" x14ac:dyDescent="0.25">
      <c r="A19" s="245">
        <v>7</v>
      </c>
      <c r="B19" s="246" t="s">
        <v>226</v>
      </c>
      <c r="C19" s="166" t="str">
        <f>'[11]DLD A'!A32</f>
        <v>2023-IT-07</v>
      </c>
      <c r="D19" s="166" t="str">
        <f>'[11]DLD A'!B32</f>
        <v>Humaira Afzal</v>
      </c>
      <c r="E19" s="168">
        <f>'[11]DLD A'!D32</f>
        <v>8</v>
      </c>
      <c r="F19" s="168"/>
      <c r="G19" s="229">
        <f t="shared" si="0"/>
        <v>8</v>
      </c>
      <c r="H19" s="249">
        <v>5</v>
      </c>
      <c r="I19" s="249">
        <v>8</v>
      </c>
      <c r="J19" s="249"/>
      <c r="K19" s="249"/>
      <c r="L19" s="229">
        <f>'[11]DLD A'!E32</f>
        <v>13</v>
      </c>
      <c r="M19" s="168">
        <f>'[11]DLD A'!F32</f>
        <v>8</v>
      </c>
      <c r="N19" s="249"/>
      <c r="O19" s="229">
        <f t="shared" si="1"/>
        <v>8</v>
      </c>
      <c r="P19" s="250">
        <v>9</v>
      </c>
      <c r="Q19" s="249">
        <v>10</v>
      </c>
      <c r="R19" s="249"/>
      <c r="S19" s="242"/>
      <c r="T19" s="229">
        <f>'[11]DLD A'!G32</f>
        <v>19</v>
      </c>
      <c r="U19" s="243">
        <f>'[11]DLD A'!H32</f>
        <v>8</v>
      </c>
      <c r="V19" s="241"/>
      <c r="W19" s="229">
        <f t="shared" si="7"/>
        <v>8</v>
      </c>
      <c r="X19" s="229">
        <f t="shared" si="3"/>
        <v>56</v>
      </c>
      <c r="Y19" s="244">
        <f t="shared" si="4"/>
        <v>0</v>
      </c>
      <c r="Z19" s="244">
        <f t="shared" si="5"/>
        <v>38</v>
      </c>
      <c r="AA19" s="244">
        <f t="shared" si="6"/>
        <v>18</v>
      </c>
      <c r="AB19" s="244">
        <f t="shared" si="8"/>
        <v>0</v>
      </c>
      <c r="AC19" s="244" t="str">
        <f t="shared" si="9"/>
        <v>Y</v>
      </c>
      <c r="AD19" s="244" t="str">
        <f t="shared" si="10"/>
        <v>Y</v>
      </c>
      <c r="AE19" s="282">
        <f t="shared" si="11"/>
        <v>54.285714285714285</v>
      </c>
      <c r="AF19" s="282">
        <f t="shared" si="12"/>
        <v>60</v>
      </c>
      <c r="AG19" s="222"/>
    </row>
    <row r="20" spans="1:33" ht="15.75" x14ac:dyDescent="0.25">
      <c r="A20" s="245">
        <v>10</v>
      </c>
      <c r="B20" s="246" t="s">
        <v>227</v>
      </c>
      <c r="C20" s="166" t="str">
        <f>'[11]DLD A'!A33</f>
        <v>2023-IT-08</v>
      </c>
      <c r="D20" s="166" t="str">
        <f>'[11]DLD A'!B33</f>
        <v>Saleena Khan</v>
      </c>
      <c r="E20" s="168">
        <f>'[11]DLD A'!D33</f>
        <v>0</v>
      </c>
      <c r="F20" s="168"/>
      <c r="G20" s="229">
        <f t="shared" si="0"/>
        <v>0</v>
      </c>
      <c r="H20" s="249">
        <v>0</v>
      </c>
      <c r="I20" s="249">
        <v>0</v>
      </c>
      <c r="J20" s="249"/>
      <c r="K20" s="249"/>
      <c r="L20" s="229">
        <f>'[11]DLD A'!E33</f>
        <v>0</v>
      </c>
      <c r="M20" s="168">
        <f>'[11]DLD A'!F33</f>
        <v>0</v>
      </c>
      <c r="N20" s="249"/>
      <c r="O20" s="229">
        <f t="shared" si="1"/>
        <v>0</v>
      </c>
      <c r="P20" s="250">
        <v>0</v>
      </c>
      <c r="Q20" s="249">
        <v>0</v>
      </c>
      <c r="R20" s="249"/>
      <c r="S20" s="242"/>
      <c r="T20" s="229">
        <f>'[11]DLD A'!G33</f>
        <v>0</v>
      </c>
      <c r="U20" s="243">
        <f>'[11]DLD A'!H33</f>
        <v>0</v>
      </c>
      <c r="V20" s="241"/>
      <c r="W20" s="229">
        <f t="shared" si="7"/>
        <v>0</v>
      </c>
      <c r="X20" s="229">
        <f t="shared" si="3"/>
        <v>0</v>
      </c>
      <c r="Y20" s="244">
        <f t="shared" si="4"/>
        <v>0</v>
      </c>
      <c r="Z20" s="244">
        <f t="shared" si="5"/>
        <v>0</v>
      </c>
      <c r="AA20" s="244">
        <f t="shared" si="6"/>
        <v>0</v>
      </c>
      <c r="AB20" s="244">
        <f t="shared" si="8"/>
        <v>0</v>
      </c>
      <c r="AC20" s="244" t="str">
        <f t="shared" si="9"/>
        <v>N</v>
      </c>
      <c r="AD20" s="244" t="str">
        <f t="shared" si="10"/>
        <v>N</v>
      </c>
      <c r="AE20" s="282">
        <f t="shared" si="11"/>
        <v>0</v>
      </c>
      <c r="AF20" s="282">
        <f t="shared" si="12"/>
        <v>0</v>
      </c>
      <c r="AG20" s="222"/>
    </row>
    <row r="21" spans="1:33" ht="15.75" x14ac:dyDescent="0.25">
      <c r="A21" s="245">
        <v>11</v>
      </c>
      <c r="B21" s="246" t="s">
        <v>228</v>
      </c>
      <c r="C21" s="166" t="str">
        <f>'[11]DLD A'!A34</f>
        <v>2023-IT-10</v>
      </c>
      <c r="D21" s="166" t="str">
        <f>'[11]DLD A'!B34</f>
        <v>Asad Ullah</v>
      </c>
      <c r="E21" s="168">
        <f>'[11]DLD A'!D34</f>
        <v>7</v>
      </c>
      <c r="F21" s="168"/>
      <c r="G21" s="229">
        <f t="shared" si="0"/>
        <v>7</v>
      </c>
      <c r="H21" s="249">
        <v>6</v>
      </c>
      <c r="I21" s="249">
        <v>10</v>
      </c>
      <c r="J21" s="249"/>
      <c r="K21" s="249"/>
      <c r="L21" s="229">
        <f>'[11]DLD A'!E34</f>
        <v>16</v>
      </c>
      <c r="M21" s="168">
        <f>'[11]DLD A'!F34</f>
        <v>6</v>
      </c>
      <c r="N21" s="249"/>
      <c r="O21" s="229">
        <f t="shared" si="1"/>
        <v>6</v>
      </c>
      <c r="P21" s="250">
        <v>10</v>
      </c>
      <c r="Q21" s="249">
        <v>8</v>
      </c>
      <c r="R21" s="249"/>
      <c r="S21" s="242"/>
      <c r="T21" s="229">
        <f>'[11]DLD A'!G34</f>
        <v>18</v>
      </c>
      <c r="U21" s="243">
        <f>'[11]DLD A'!H34</f>
        <v>8</v>
      </c>
      <c r="V21" s="241"/>
      <c r="W21" s="229">
        <f t="shared" si="7"/>
        <v>8</v>
      </c>
      <c r="X21" s="229">
        <f t="shared" si="3"/>
        <v>55</v>
      </c>
      <c r="Y21" s="244">
        <f t="shared" si="4"/>
        <v>0</v>
      </c>
      <c r="Z21" s="244">
        <f t="shared" si="5"/>
        <v>41</v>
      </c>
      <c r="AA21" s="244">
        <f t="shared" si="6"/>
        <v>14</v>
      </c>
      <c r="AB21" s="244">
        <f t="shared" si="8"/>
        <v>0</v>
      </c>
      <c r="AC21" s="244" t="str">
        <f t="shared" si="9"/>
        <v>Y</v>
      </c>
      <c r="AD21" s="244" t="str">
        <f t="shared" si="10"/>
        <v>N</v>
      </c>
      <c r="AE21" s="282">
        <f t="shared" si="11"/>
        <v>58.571428571428577</v>
      </c>
      <c r="AF21" s="282">
        <f t="shared" si="12"/>
        <v>46.666666666666664</v>
      </c>
      <c r="AG21" s="222"/>
    </row>
    <row r="22" spans="1:33" ht="15.75" x14ac:dyDescent="0.25">
      <c r="A22" s="245">
        <v>12</v>
      </c>
      <c r="B22" s="246" t="s">
        <v>229</v>
      </c>
      <c r="C22" s="166" t="str">
        <f>'[11]DLD A'!A35</f>
        <v>2023-IT-11</v>
      </c>
      <c r="D22" s="166" t="str">
        <f>'[11]DLD A'!B35</f>
        <v>Rana Talha dawood</v>
      </c>
      <c r="E22" s="168">
        <f>'[11]DLD A'!D35</f>
        <v>7</v>
      </c>
      <c r="F22" s="168"/>
      <c r="G22" s="229">
        <f t="shared" si="0"/>
        <v>7</v>
      </c>
      <c r="H22" s="249">
        <v>5</v>
      </c>
      <c r="I22" s="249">
        <v>15</v>
      </c>
      <c r="J22" s="249"/>
      <c r="K22" s="249"/>
      <c r="L22" s="229">
        <f>'[11]DLD A'!E35</f>
        <v>20</v>
      </c>
      <c r="M22" s="168">
        <f>'[11]DLD A'!F35</f>
        <v>6</v>
      </c>
      <c r="N22" s="249"/>
      <c r="O22" s="229">
        <f t="shared" si="1"/>
        <v>6</v>
      </c>
      <c r="P22" s="250">
        <v>13</v>
      </c>
      <c r="Q22" s="249">
        <v>11</v>
      </c>
      <c r="R22" s="249"/>
      <c r="S22" s="242"/>
      <c r="T22" s="229">
        <f>'[11]DLD A'!G35</f>
        <v>24</v>
      </c>
      <c r="U22" s="243">
        <f>'[11]DLD A'!H35</f>
        <v>8</v>
      </c>
      <c r="V22" s="241"/>
      <c r="W22" s="229">
        <f t="shared" si="7"/>
        <v>8</v>
      </c>
      <c r="X22" s="229">
        <f t="shared" si="3"/>
        <v>65</v>
      </c>
      <c r="Y22" s="244">
        <f t="shared" si="4"/>
        <v>0</v>
      </c>
      <c r="Z22" s="244">
        <f t="shared" si="5"/>
        <v>48</v>
      </c>
      <c r="AA22" s="244">
        <f t="shared" si="6"/>
        <v>17</v>
      </c>
      <c r="AB22" s="244">
        <f t="shared" si="8"/>
        <v>0</v>
      </c>
      <c r="AC22" s="244" t="str">
        <f t="shared" si="9"/>
        <v>Y</v>
      </c>
      <c r="AD22" s="244" t="str">
        <f t="shared" si="10"/>
        <v>Y</v>
      </c>
      <c r="AE22" s="282">
        <f t="shared" si="11"/>
        <v>68.571428571428569</v>
      </c>
      <c r="AF22" s="282">
        <f t="shared" si="12"/>
        <v>56.666666666666664</v>
      </c>
      <c r="AG22" s="222"/>
    </row>
    <row r="23" spans="1:33" ht="15.75" x14ac:dyDescent="0.25">
      <c r="A23" s="245">
        <v>13</v>
      </c>
      <c r="B23" s="246" t="s">
        <v>230</v>
      </c>
      <c r="C23" s="166" t="str">
        <f>'[11]DLD A'!A36</f>
        <v>2023-IT-12</v>
      </c>
      <c r="D23" s="166" t="str">
        <f>'[11]DLD A'!B36</f>
        <v>Ali Ahmad</v>
      </c>
      <c r="E23" s="168">
        <f>'[11]DLD A'!D36</f>
        <v>7</v>
      </c>
      <c r="F23" s="168"/>
      <c r="G23" s="229">
        <f t="shared" si="0"/>
        <v>7</v>
      </c>
      <c r="H23" s="249">
        <v>8</v>
      </c>
      <c r="I23" s="249">
        <v>11</v>
      </c>
      <c r="J23" s="249"/>
      <c r="K23" s="249"/>
      <c r="L23" s="229">
        <f>'[11]DLD A'!E36</f>
        <v>19</v>
      </c>
      <c r="M23" s="168">
        <f>'[11]DLD A'!F36</f>
        <v>7</v>
      </c>
      <c r="N23" s="249"/>
      <c r="O23" s="229">
        <f t="shared" si="1"/>
        <v>7</v>
      </c>
      <c r="P23" s="250">
        <v>8</v>
      </c>
      <c r="Q23" s="249">
        <v>12</v>
      </c>
      <c r="R23" s="249"/>
      <c r="S23" s="242"/>
      <c r="T23" s="229">
        <f>'[11]DLD A'!G36</f>
        <v>20</v>
      </c>
      <c r="U23" s="243">
        <f>'[11]DLD A'!H36</f>
        <v>8</v>
      </c>
      <c r="V23" s="241"/>
      <c r="W23" s="229">
        <f t="shared" si="7"/>
        <v>8</v>
      </c>
      <c r="X23" s="229">
        <f t="shared" si="3"/>
        <v>61</v>
      </c>
      <c r="Y23" s="244">
        <f t="shared" si="4"/>
        <v>0</v>
      </c>
      <c r="Z23" s="244">
        <f t="shared" si="5"/>
        <v>42</v>
      </c>
      <c r="AA23" s="244">
        <f t="shared" si="6"/>
        <v>19</v>
      </c>
      <c r="AB23" s="244">
        <f t="shared" si="8"/>
        <v>0</v>
      </c>
      <c r="AC23" s="244" t="str">
        <f t="shared" si="9"/>
        <v>Y</v>
      </c>
      <c r="AD23" s="244" t="str">
        <f t="shared" si="10"/>
        <v>Y</v>
      </c>
      <c r="AE23" s="282">
        <f t="shared" si="11"/>
        <v>60</v>
      </c>
      <c r="AF23" s="282">
        <f t="shared" si="12"/>
        <v>63.333333333333329</v>
      </c>
      <c r="AG23" s="222"/>
    </row>
    <row r="24" spans="1:33" ht="15.75" x14ac:dyDescent="0.25">
      <c r="A24" s="245">
        <v>14</v>
      </c>
      <c r="B24" s="246" t="s">
        <v>231</v>
      </c>
      <c r="C24" s="166" t="str">
        <f>'[11]DLD A'!A37</f>
        <v>2023-IT-13</v>
      </c>
      <c r="D24" s="166" t="str">
        <f>'[11]DLD A'!B37</f>
        <v>Muhammad Daud</v>
      </c>
      <c r="E24" s="168">
        <f>'[11]DLD A'!D37</f>
        <v>5</v>
      </c>
      <c r="F24" s="168"/>
      <c r="G24" s="229">
        <f t="shared" si="0"/>
        <v>5</v>
      </c>
      <c r="H24" s="249">
        <v>4</v>
      </c>
      <c r="I24" s="249">
        <v>6</v>
      </c>
      <c r="J24" s="249"/>
      <c r="K24" s="249"/>
      <c r="L24" s="229">
        <f>'[11]DLD A'!E37</f>
        <v>10</v>
      </c>
      <c r="M24" s="168">
        <f>'[11]DLD A'!F37</f>
        <v>7</v>
      </c>
      <c r="N24" s="249"/>
      <c r="O24" s="229">
        <f t="shared" si="1"/>
        <v>7</v>
      </c>
      <c r="P24" s="250">
        <v>6</v>
      </c>
      <c r="Q24" s="249">
        <v>4</v>
      </c>
      <c r="R24" s="249"/>
      <c r="S24" s="242"/>
      <c r="T24" s="229">
        <f>'[11]DLD A'!G37</f>
        <v>10</v>
      </c>
      <c r="U24" s="243">
        <f>'[11]DLD A'!H37</f>
        <v>8</v>
      </c>
      <c r="V24" s="241"/>
      <c r="W24" s="229">
        <f t="shared" si="7"/>
        <v>8</v>
      </c>
      <c r="X24" s="229">
        <f t="shared" si="3"/>
        <v>40</v>
      </c>
      <c r="Y24" s="244">
        <f t="shared" si="4"/>
        <v>0</v>
      </c>
      <c r="Z24" s="244">
        <f t="shared" si="5"/>
        <v>29</v>
      </c>
      <c r="AA24" s="244">
        <f t="shared" si="6"/>
        <v>11</v>
      </c>
      <c r="AB24" s="244">
        <f t="shared" si="8"/>
        <v>0</v>
      </c>
      <c r="AC24" s="244" t="str">
        <f t="shared" si="9"/>
        <v>N</v>
      </c>
      <c r="AD24" s="244" t="str">
        <f t="shared" si="10"/>
        <v>N</v>
      </c>
      <c r="AE24" s="282">
        <f t="shared" si="11"/>
        <v>41.428571428571431</v>
      </c>
      <c r="AF24" s="282">
        <f t="shared" si="12"/>
        <v>36.666666666666664</v>
      </c>
      <c r="AG24" s="222"/>
    </row>
    <row r="25" spans="1:33" ht="15.75" x14ac:dyDescent="0.25">
      <c r="A25" s="245">
        <v>16</v>
      </c>
      <c r="B25" s="246" t="s">
        <v>232</v>
      </c>
      <c r="C25" s="166" t="str">
        <f>'[11]DLD A'!A38</f>
        <v>2023-IT-14</v>
      </c>
      <c r="D25" s="166" t="str">
        <f>'[11]DLD A'!B38</f>
        <v>Mursil Mateen</v>
      </c>
      <c r="E25" s="168">
        <f>'[11]DLD A'!D38</f>
        <v>6</v>
      </c>
      <c r="F25" s="168"/>
      <c r="G25" s="229">
        <f t="shared" si="0"/>
        <v>6</v>
      </c>
      <c r="H25" s="249">
        <v>4</v>
      </c>
      <c r="I25" s="249">
        <v>8</v>
      </c>
      <c r="J25" s="249"/>
      <c r="K25" s="249"/>
      <c r="L25" s="229">
        <f>'[11]DLD A'!E38</f>
        <v>12</v>
      </c>
      <c r="M25" s="168">
        <f>'[11]DLD A'!F38</f>
        <v>4</v>
      </c>
      <c r="N25" s="249"/>
      <c r="O25" s="229">
        <f t="shared" si="1"/>
        <v>4</v>
      </c>
      <c r="P25" s="250">
        <v>6</v>
      </c>
      <c r="Q25" s="249">
        <v>6</v>
      </c>
      <c r="R25" s="249"/>
      <c r="S25" s="242"/>
      <c r="T25" s="229">
        <f>'[11]DLD A'!G38</f>
        <v>12</v>
      </c>
      <c r="U25" s="243">
        <f>'[11]DLD A'!H38</f>
        <v>8</v>
      </c>
      <c r="V25" s="241"/>
      <c r="W25" s="229">
        <f t="shared" si="7"/>
        <v>8</v>
      </c>
      <c r="X25" s="229">
        <f t="shared" si="3"/>
        <v>42</v>
      </c>
      <c r="Y25" s="244">
        <f t="shared" si="4"/>
        <v>0</v>
      </c>
      <c r="Z25" s="244">
        <f t="shared" si="5"/>
        <v>32</v>
      </c>
      <c r="AA25" s="244">
        <f t="shared" si="6"/>
        <v>10</v>
      </c>
      <c r="AB25" s="244">
        <f t="shared" si="8"/>
        <v>0</v>
      </c>
      <c r="AC25" s="244" t="str">
        <f t="shared" si="9"/>
        <v>N</v>
      </c>
      <c r="AD25" s="244" t="str">
        <f t="shared" si="10"/>
        <v>N</v>
      </c>
      <c r="AE25" s="282">
        <f t="shared" si="11"/>
        <v>45.714285714285715</v>
      </c>
      <c r="AF25" s="282">
        <f t="shared" si="12"/>
        <v>33.333333333333329</v>
      </c>
      <c r="AG25" s="222"/>
    </row>
    <row r="26" spans="1:33" ht="15.75" x14ac:dyDescent="0.25">
      <c r="A26" s="245">
        <v>17</v>
      </c>
      <c r="B26" s="246" t="s">
        <v>233</v>
      </c>
      <c r="C26" s="166" t="str">
        <f>'[11]DLD A'!A39</f>
        <v>2023-IT-16</v>
      </c>
      <c r="D26" s="166" t="str">
        <f>'[11]DLD A'!B39</f>
        <v>Muhammad Usman</v>
      </c>
      <c r="E26" s="168">
        <f>'[11]DLD A'!D39</f>
        <v>0</v>
      </c>
      <c r="F26" s="168"/>
      <c r="G26" s="229">
        <f t="shared" si="0"/>
        <v>0</v>
      </c>
      <c r="H26" s="249">
        <v>0</v>
      </c>
      <c r="I26" s="249">
        <v>0</v>
      </c>
      <c r="J26" s="249"/>
      <c r="K26" s="249"/>
      <c r="L26" s="229">
        <f>'[11]DLD A'!E39</f>
        <v>0</v>
      </c>
      <c r="M26" s="168">
        <f>'[11]DLD A'!F39</f>
        <v>0</v>
      </c>
      <c r="N26" s="249"/>
      <c r="O26" s="229">
        <f t="shared" si="1"/>
        <v>0</v>
      </c>
      <c r="P26" s="250">
        <v>0</v>
      </c>
      <c r="Q26" s="249">
        <v>0</v>
      </c>
      <c r="R26" s="249"/>
      <c r="S26" s="242"/>
      <c r="T26" s="229">
        <f>'[11]DLD A'!G39</f>
        <v>0</v>
      </c>
      <c r="U26" s="243">
        <f>'[11]DLD A'!H39</f>
        <v>0</v>
      </c>
      <c r="V26" s="241"/>
      <c r="W26" s="229">
        <f t="shared" si="7"/>
        <v>0</v>
      </c>
      <c r="X26" s="229">
        <f t="shared" si="3"/>
        <v>0</v>
      </c>
      <c r="Y26" s="244">
        <f t="shared" si="4"/>
        <v>0</v>
      </c>
      <c r="Z26" s="244">
        <f t="shared" si="5"/>
        <v>0</v>
      </c>
      <c r="AA26" s="244">
        <f t="shared" si="6"/>
        <v>0</v>
      </c>
      <c r="AB26" s="244">
        <f t="shared" si="8"/>
        <v>0</v>
      </c>
      <c r="AC26" s="244" t="str">
        <f t="shared" si="9"/>
        <v>N</v>
      </c>
      <c r="AD26" s="244" t="str">
        <f t="shared" si="10"/>
        <v>N</v>
      </c>
      <c r="AE26" s="282">
        <f t="shared" si="11"/>
        <v>0</v>
      </c>
      <c r="AF26" s="282">
        <f t="shared" si="12"/>
        <v>0</v>
      </c>
      <c r="AG26" s="222"/>
    </row>
    <row r="27" spans="1:33" ht="15.75" x14ac:dyDescent="0.25">
      <c r="A27" s="247">
        <v>18</v>
      </c>
      <c r="B27" s="248" t="s">
        <v>234</v>
      </c>
      <c r="C27" s="166" t="str">
        <f>'[11]DLD A'!A40</f>
        <v>2023-IT-18</v>
      </c>
      <c r="D27" s="166" t="str">
        <f>'[11]DLD A'!B40</f>
        <v>Adeel Maqbool</v>
      </c>
      <c r="E27" s="168">
        <f>'[11]DLD A'!D40</f>
        <v>7</v>
      </c>
      <c r="F27" s="168"/>
      <c r="G27" s="229">
        <f t="shared" si="0"/>
        <v>7</v>
      </c>
      <c r="H27" s="249">
        <v>5</v>
      </c>
      <c r="I27" s="249">
        <v>10</v>
      </c>
      <c r="J27" s="249"/>
      <c r="K27" s="249"/>
      <c r="L27" s="229">
        <f>'[11]DLD A'!E40</f>
        <v>15</v>
      </c>
      <c r="M27" s="168">
        <f>'[11]DLD A'!F40</f>
        <v>7</v>
      </c>
      <c r="N27" s="249"/>
      <c r="O27" s="229">
        <f t="shared" si="1"/>
        <v>7</v>
      </c>
      <c r="P27" s="250">
        <v>9</v>
      </c>
      <c r="Q27" s="249">
        <v>10</v>
      </c>
      <c r="R27" s="249"/>
      <c r="S27" s="242"/>
      <c r="T27" s="229">
        <f>'[11]DLD A'!G40</f>
        <v>19</v>
      </c>
      <c r="U27" s="243">
        <f>'[11]DLD A'!H40</f>
        <v>7</v>
      </c>
      <c r="V27" s="241"/>
      <c r="W27" s="229">
        <f t="shared" si="7"/>
        <v>7</v>
      </c>
      <c r="X27" s="229">
        <f t="shared" si="3"/>
        <v>55</v>
      </c>
      <c r="Y27" s="244">
        <f t="shared" si="4"/>
        <v>0</v>
      </c>
      <c r="Z27" s="244">
        <f t="shared" si="5"/>
        <v>38</v>
      </c>
      <c r="AA27" s="244">
        <f t="shared" si="6"/>
        <v>17</v>
      </c>
      <c r="AB27" s="244">
        <f t="shared" si="8"/>
        <v>0</v>
      </c>
      <c r="AC27" s="244" t="str">
        <f t="shared" si="9"/>
        <v>Y</v>
      </c>
      <c r="AD27" s="244" t="str">
        <f t="shared" si="10"/>
        <v>Y</v>
      </c>
      <c r="AE27" s="282">
        <f t="shared" si="11"/>
        <v>54.285714285714285</v>
      </c>
      <c r="AF27" s="282">
        <f t="shared" si="12"/>
        <v>56.666666666666664</v>
      </c>
      <c r="AG27" s="222"/>
    </row>
    <row r="28" spans="1:33" ht="15.75" x14ac:dyDescent="0.25">
      <c r="A28" s="247">
        <v>19</v>
      </c>
      <c r="B28" s="248" t="s">
        <v>235</v>
      </c>
      <c r="C28" s="166" t="str">
        <f>'[11]DLD A'!A41</f>
        <v>2023-IT-20</v>
      </c>
      <c r="D28" s="166" t="str">
        <f>'[11]DLD A'!B41</f>
        <v>Husnain Saleem</v>
      </c>
      <c r="E28" s="168">
        <f>'[11]DLD A'!D41</f>
        <v>5</v>
      </c>
      <c r="F28" s="168"/>
      <c r="G28" s="229">
        <f t="shared" si="0"/>
        <v>5</v>
      </c>
      <c r="H28" s="249">
        <v>8</v>
      </c>
      <c r="I28" s="249">
        <v>10</v>
      </c>
      <c r="J28" s="249"/>
      <c r="K28" s="249"/>
      <c r="L28" s="229">
        <f>'[11]DLD A'!E41</f>
        <v>18</v>
      </c>
      <c r="M28" s="168">
        <f>'[11]DLD A'!F41</f>
        <v>6</v>
      </c>
      <c r="N28" s="249"/>
      <c r="O28" s="229">
        <f t="shared" si="1"/>
        <v>6</v>
      </c>
      <c r="P28" s="250">
        <v>9</v>
      </c>
      <c r="Q28" s="249">
        <v>10</v>
      </c>
      <c r="R28" s="249"/>
      <c r="S28" s="242"/>
      <c r="T28" s="229">
        <f>'[11]DLD A'!G41</f>
        <v>19</v>
      </c>
      <c r="U28" s="243">
        <f>'[11]DLD A'!H41</f>
        <v>8</v>
      </c>
      <c r="V28" s="241"/>
      <c r="W28" s="229">
        <f t="shared" si="7"/>
        <v>8</v>
      </c>
      <c r="X28" s="229">
        <f t="shared" si="3"/>
        <v>56</v>
      </c>
      <c r="Y28" s="244">
        <f t="shared" si="4"/>
        <v>0</v>
      </c>
      <c r="Z28" s="244">
        <f t="shared" si="5"/>
        <v>40</v>
      </c>
      <c r="AA28" s="244">
        <f t="shared" si="6"/>
        <v>16</v>
      </c>
      <c r="AB28" s="244">
        <f t="shared" si="8"/>
        <v>0</v>
      </c>
      <c r="AC28" s="244" t="str">
        <f t="shared" si="9"/>
        <v>Y</v>
      </c>
      <c r="AD28" s="244" t="str">
        <f t="shared" si="10"/>
        <v>Y</v>
      </c>
      <c r="AE28" s="282">
        <f t="shared" si="11"/>
        <v>57.142857142857139</v>
      </c>
      <c r="AF28" s="282">
        <f t="shared" si="12"/>
        <v>53.333333333333336</v>
      </c>
      <c r="AG28" s="222"/>
    </row>
    <row r="29" spans="1:33" ht="15.75" x14ac:dyDescent="0.25">
      <c r="A29" s="245">
        <v>21</v>
      </c>
      <c r="B29" s="246" t="s">
        <v>236</v>
      </c>
      <c r="C29" s="166" t="str">
        <f>'[11]DLD A'!A42</f>
        <v>2023-IT-22</v>
      </c>
      <c r="D29" s="166" t="str">
        <f>'[11]DLD A'!B42</f>
        <v>Muhammad Sameer</v>
      </c>
      <c r="E29" s="168">
        <f>'[11]DLD A'!D42</f>
        <v>6</v>
      </c>
      <c r="F29" s="168"/>
      <c r="G29" s="229">
        <f t="shared" si="0"/>
        <v>6</v>
      </c>
      <c r="H29" s="249">
        <v>4</v>
      </c>
      <c r="I29" s="249">
        <v>12</v>
      </c>
      <c r="J29" s="249"/>
      <c r="K29" s="249"/>
      <c r="L29" s="229">
        <f>'[11]DLD A'!E42</f>
        <v>16</v>
      </c>
      <c r="M29" s="168">
        <f>'[11]DLD A'!F42</f>
        <v>8</v>
      </c>
      <c r="N29" s="249"/>
      <c r="O29" s="229">
        <f t="shared" si="1"/>
        <v>8</v>
      </c>
      <c r="P29" s="250">
        <v>15</v>
      </c>
      <c r="Q29" s="249">
        <v>15</v>
      </c>
      <c r="R29" s="249"/>
      <c r="S29" s="242"/>
      <c r="T29" s="229">
        <f>'[11]DLD A'!G42</f>
        <v>30</v>
      </c>
      <c r="U29" s="243">
        <f>'[11]DLD A'!H42</f>
        <v>8</v>
      </c>
      <c r="V29" s="241"/>
      <c r="W29" s="229">
        <f t="shared" si="7"/>
        <v>8</v>
      </c>
      <c r="X29" s="229">
        <f t="shared" si="3"/>
        <v>68</v>
      </c>
      <c r="Y29" s="244">
        <f t="shared" si="4"/>
        <v>0</v>
      </c>
      <c r="Z29" s="244">
        <f t="shared" si="5"/>
        <v>45</v>
      </c>
      <c r="AA29" s="244">
        <f t="shared" si="6"/>
        <v>23</v>
      </c>
      <c r="AB29" s="244">
        <f t="shared" si="8"/>
        <v>0</v>
      </c>
      <c r="AC29" s="244" t="str">
        <f t="shared" si="9"/>
        <v>Y</v>
      </c>
      <c r="AD29" s="244" t="str">
        <f t="shared" si="10"/>
        <v>Y</v>
      </c>
      <c r="AE29" s="282">
        <f t="shared" si="11"/>
        <v>64.285714285714292</v>
      </c>
      <c r="AF29" s="282">
        <f t="shared" si="12"/>
        <v>76.666666666666671</v>
      </c>
      <c r="AG29" s="222"/>
    </row>
    <row r="30" spans="1:33" ht="15.75" x14ac:dyDescent="0.25">
      <c r="A30" s="245">
        <v>22</v>
      </c>
      <c r="B30" s="246" t="s">
        <v>237</v>
      </c>
      <c r="C30" s="166" t="str">
        <f>'[11]DLD A'!A43</f>
        <v>2023-IT-24</v>
      </c>
      <c r="D30" s="166" t="str">
        <f>'[11]DLD A'!B43</f>
        <v>Sher Shah Hussain</v>
      </c>
      <c r="E30" s="168">
        <f>'[11]DLD A'!D43</f>
        <v>6</v>
      </c>
      <c r="F30" s="168"/>
      <c r="G30" s="229">
        <f t="shared" si="0"/>
        <v>6</v>
      </c>
      <c r="H30" s="249">
        <v>4</v>
      </c>
      <c r="I30" s="249">
        <v>8</v>
      </c>
      <c r="J30" s="249"/>
      <c r="K30" s="249"/>
      <c r="L30" s="229">
        <f>'[11]DLD A'!E43</f>
        <v>12</v>
      </c>
      <c r="M30" s="168">
        <f>'[11]DLD A'!F43</f>
        <v>7</v>
      </c>
      <c r="N30" s="249"/>
      <c r="O30" s="229">
        <f t="shared" si="1"/>
        <v>7</v>
      </c>
      <c r="P30" s="250">
        <v>13</v>
      </c>
      <c r="Q30" s="249">
        <v>10</v>
      </c>
      <c r="R30" s="249"/>
      <c r="S30" s="242"/>
      <c r="T30" s="229">
        <f>'[11]DLD A'!G43</f>
        <v>23</v>
      </c>
      <c r="U30" s="243">
        <f>'[11]DLD A'!H43</f>
        <v>8</v>
      </c>
      <c r="V30" s="241"/>
      <c r="W30" s="229">
        <f t="shared" si="7"/>
        <v>8</v>
      </c>
      <c r="X30" s="229">
        <f t="shared" si="3"/>
        <v>56</v>
      </c>
      <c r="Y30" s="244">
        <f t="shared" si="4"/>
        <v>0</v>
      </c>
      <c r="Z30" s="244">
        <f t="shared" si="5"/>
        <v>39</v>
      </c>
      <c r="AA30" s="244">
        <f t="shared" si="6"/>
        <v>17</v>
      </c>
      <c r="AB30" s="244">
        <f t="shared" si="8"/>
        <v>0</v>
      </c>
      <c r="AC30" s="244" t="str">
        <f t="shared" si="9"/>
        <v>Y</v>
      </c>
      <c r="AD30" s="244" t="str">
        <f t="shared" si="10"/>
        <v>Y</v>
      </c>
      <c r="AE30" s="282">
        <f t="shared" si="11"/>
        <v>55.714285714285715</v>
      </c>
      <c r="AF30" s="282">
        <f t="shared" si="12"/>
        <v>56.666666666666664</v>
      </c>
      <c r="AG30" s="222"/>
    </row>
    <row r="31" spans="1:33" ht="15.75" x14ac:dyDescent="0.25">
      <c r="A31" s="247">
        <v>23</v>
      </c>
      <c r="B31" s="248" t="s">
        <v>238</v>
      </c>
      <c r="C31" s="166" t="str">
        <f>'[11]DLD A'!A44</f>
        <v>2023-IT-26</v>
      </c>
      <c r="D31" s="166" t="str">
        <f>'[11]DLD A'!B44</f>
        <v>Abdul Ahad</v>
      </c>
      <c r="E31" s="168">
        <f>'[11]DLD A'!D44</f>
        <v>0</v>
      </c>
      <c r="F31" s="168"/>
      <c r="G31" s="229">
        <f t="shared" si="0"/>
        <v>0</v>
      </c>
      <c r="H31" s="249">
        <v>0</v>
      </c>
      <c r="I31" s="249">
        <v>0</v>
      </c>
      <c r="J31" s="249"/>
      <c r="K31" s="249"/>
      <c r="L31" s="229">
        <f>'[11]DLD A'!E44</f>
        <v>0</v>
      </c>
      <c r="M31" s="168">
        <f>'[11]DLD A'!F44</f>
        <v>0</v>
      </c>
      <c r="N31" s="249"/>
      <c r="O31" s="229">
        <f t="shared" si="1"/>
        <v>0</v>
      </c>
      <c r="P31" s="250">
        <v>0</v>
      </c>
      <c r="Q31" s="249">
        <v>0</v>
      </c>
      <c r="R31" s="249"/>
      <c r="S31" s="242"/>
      <c r="T31" s="229">
        <f>'[11]DLD A'!G44</f>
        <v>0</v>
      </c>
      <c r="U31" s="243">
        <f>'[11]DLD A'!H44</f>
        <v>0</v>
      </c>
      <c r="V31" s="241"/>
      <c r="W31" s="229">
        <f t="shared" si="7"/>
        <v>0</v>
      </c>
      <c r="X31" s="229">
        <f t="shared" si="3"/>
        <v>0</v>
      </c>
      <c r="Y31" s="244">
        <f t="shared" si="4"/>
        <v>0</v>
      </c>
      <c r="Z31" s="244">
        <f t="shared" si="5"/>
        <v>0</v>
      </c>
      <c r="AA31" s="244">
        <f t="shared" si="6"/>
        <v>0</v>
      </c>
      <c r="AB31" s="244">
        <f t="shared" si="8"/>
        <v>0</v>
      </c>
      <c r="AC31" s="244" t="str">
        <f t="shared" si="9"/>
        <v>N</v>
      </c>
      <c r="AD31" s="244" t="str">
        <f t="shared" si="10"/>
        <v>N</v>
      </c>
      <c r="AE31" s="282">
        <f t="shared" si="11"/>
        <v>0</v>
      </c>
      <c r="AF31" s="282">
        <f t="shared" si="12"/>
        <v>0</v>
      </c>
      <c r="AG31" s="222"/>
    </row>
    <row r="32" spans="1:33" ht="15.75" x14ac:dyDescent="0.25">
      <c r="A32" s="247">
        <v>24</v>
      </c>
      <c r="B32" s="248" t="s">
        <v>239</v>
      </c>
      <c r="C32" s="166" t="str">
        <f>'[11]DLD A'!A45</f>
        <v>2023-IT-28</v>
      </c>
      <c r="D32" s="166" t="str">
        <f>'[11]DLD A'!B45</f>
        <v>Ahmad Latif</v>
      </c>
      <c r="E32" s="168">
        <f>'[11]DLD A'!D45</f>
        <v>4</v>
      </c>
      <c r="F32" s="168"/>
      <c r="G32" s="229">
        <f t="shared" si="0"/>
        <v>4</v>
      </c>
      <c r="H32" s="249">
        <v>6</v>
      </c>
      <c r="I32" s="249">
        <v>12</v>
      </c>
      <c r="J32" s="249"/>
      <c r="K32" s="249"/>
      <c r="L32" s="229">
        <f>'[11]DLD A'!E45</f>
        <v>18</v>
      </c>
      <c r="M32" s="168">
        <f>'[11]DLD A'!F45</f>
        <v>5</v>
      </c>
      <c r="N32" s="249"/>
      <c r="O32" s="229">
        <f t="shared" si="1"/>
        <v>5</v>
      </c>
      <c r="P32" s="250">
        <v>14</v>
      </c>
      <c r="Q32" s="249">
        <v>10</v>
      </c>
      <c r="R32" s="249"/>
      <c r="S32" s="242"/>
      <c r="T32" s="229">
        <f>'[11]DLD A'!G45</f>
        <v>14</v>
      </c>
      <c r="U32" s="243">
        <f>'[11]DLD A'!H45</f>
        <v>8</v>
      </c>
      <c r="V32" s="241"/>
      <c r="W32" s="229">
        <f t="shared" si="7"/>
        <v>8</v>
      </c>
      <c r="X32" s="229">
        <f t="shared" si="3"/>
        <v>49</v>
      </c>
      <c r="Y32" s="244">
        <f t="shared" si="4"/>
        <v>0</v>
      </c>
      <c r="Z32" s="244">
        <f t="shared" si="5"/>
        <v>44</v>
      </c>
      <c r="AA32" s="244">
        <f t="shared" si="6"/>
        <v>15</v>
      </c>
      <c r="AB32" s="244">
        <f t="shared" si="8"/>
        <v>0</v>
      </c>
      <c r="AC32" s="244" t="str">
        <f t="shared" si="9"/>
        <v>Y</v>
      </c>
      <c r="AD32" s="244" t="str">
        <f t="shared" si="10"/>
        <v>Y</v>
      </c>
      <c r="AE32" s="282">
        <f t="shared" si="11"/>
        <v>62.857142857142854</v>
      </c>
      <c r="AF32" s="282">
        <f t="shared" si="12"/>
        <v>50</v>
      </c>
      <c r="AG32" s="222"/>
    </row>
    <row r="33" spans="1:33" ht="15.75" x14ac:dyDescent="0.25">
      <c r="A33" s="245">
        <v>25</v>
      </c>
      <c r="B33" s="246" t="s">
        <v>240</v>
      </c>
      <c r="C33" s="166" t="str">
        <f>'[11]DLD A'!A46</f>
        <v>2023-IT-32</v>
      </c>
      <c r="D33" s="166" t="str">
        <f>'[11]DLD A'!B46</f>
        <v>Muhammad Faisal</v>
      </c>
      <c r="E33" s="168">
        <f>'[11]DLD A'!D46</f>
        <v>8</v>
      </c>
      <c r="F33" s="168"/>
      <c r="G33" s="229">
        <f t="shared" si="0"/>
        <v>8</v>
      </c>
      <c r="H33" s="249">
        <v>6</v>
      </c>
      <c r="I33" s="249">
        <v>14</v>
      </c>
      <c r="J33" s="249"/>
      <c r="K33" s="249"/>
      <c r="L33" s="229">
        <f>'[11]DLD A'!E46</f>
        <v>20</v>
      </c>
      <c r="M33" s="168">
        <f>'[11]DLD A'!F46</f>
        <v>7</v>
      </c>
      <c r="N33" s="249"/>
      <c r="O33" s="229">
        <f t="shared" si="1"/>
        <v>7</v>
      </c>
      <c r="P33" s="250">
        <v>10</v>
      </c>
      <c r="Q33" s="249">
        <v>12</v>
      </c>
      <c r="R33" s="249"/>
      <c r="S33" s="242"/>
      <c r="T33" s="229">
        <f>'[11]DLD A'!G46</f>
        <v>22</v>
      </c>
      <c r="U33" s="243">
        <f>'[11]DLD A'!H46</f>
        <v>8</v>
      </c>
      <c r="V33" s="241"/>
      <c r="W33" s="229">
        <f t="shared" si="7"/>
        <v>8</v>
      </c>
      <c r="X33" s="229">
        <f t="shared" si="3"/>
        <v>65</v>
      </c>
      <c r="Y33" s="244">
        <f t="shared" si="4"/>
        <v>0</v>
      </c>
      <c r="Z33" s="244">
        <f t="shared" si="5"/>
        <v>46</v>
      </c>
      <c r="AA33" s="244">
        <f t="shared" si="6"/>
        <v>19</v>
      </c>
      <c r="AB33" s="244">
        <f t="shared" si="8"/>
        <v>0</v>
      </c>
      <c r="AC33" s="244" t="str">
        <f t="shared" si="9"/>
        <v>Y</v>
      </c>
      <c r="AD33" s="244" t="str">
        <f t="shared" si="10"/>
        <v>Y</v>
      </c>
      <c r="AE33" s="282">
        <f t="shared" si="11"/>
        <v>65.714285714285708</v>
      </c>
      <c r="AF33" s="282">
        <f t="shared" si="12"/>
        <v>63.333333333333329</v>
      </c>
      <c r="AG33" s="222"/>
    </row>
    <row r="34" spans="1:33" ht="15.75" x14ac:dyDescent="0.25">
      <c r="A34" s="247">
        <v>27</v>
      </c>
      <c r="B34" s="248" t="s">
        <v>241</v>
      </c>
      <c r="C34" s="166" t="str">
        <f>'[11]DLD A'!A47</f>
        <v>2023-IT-34</v>
      </c>
      <c r="D34" s="166" t="str">
        <f>'[11]DLD A'!B47</f>
        <v>Jamshaid Abbas</v>
      </c>
      <c r="E34" s="168">
        <f>'[11]DLD A'!D47</f>
        <v>7</v>
      </c>
      <c r="F34" s="168"/>
      <c r="G34" s="229">
        <f t="shared" si="0"/>
        <v>7</v>
      </c>
      <c r="H34" s="249">
        <v>5</v>
      </c>
      <c r="I34" s="249">
        <v>10</v>
      </c>
      <c r="J34" s="249"/>
      <c r="K34" s="249"/>
      <c r="L34" s="229">
        <f>'[11]DLD A'!E47</f>
        <v>15</v>
      </c>
      <c r="M34" s="168">
        <f>'[11]DLD A'!F47</f>
        <v>6</v>
      </c>
      <c r="N34" s="249"/>
      <c r="O34" s="229">
        <f t="shared" si="1"/>
        <v>6</v>
      </c>
      <c r="P34" s="250">
        <v>9</v>
      </c>
      <c r="Q34" s="249">
        <v>10</v>
      </c>
      <c r="R34" s="249"/>
      <c r="S34" s="242"/>
      <c r="T34" s="229">
        <f>'[11]DLD A'!G47</f>
        <v>19</v>
      </c>
      <c r="U34" s="243">
        <f>'[11]DLD A'!H47</f>
        <v>8</v>
      </c>
      <c r="V34" s="241"/>
      <c r="W34" s="229">
        <f t="shared" si="7"/>
        <v>8</v>
      </c>
      <c r="X34" s="229">
        <f t="shared" si="3"/>
        <v>55</v>
      </c>
      <c r="Y34" s="244">
        <f t="shared" si="4"/>
        <v>0</v>
      </c>
      <c r="Z34" s="244">
        <f t="shared" si="5"/>
        <v>39</v>
      </c>
      <c r="AA34" s="244">
        <f t="shared" si="6"/>
        <v>16</v>
      </c>
      <c r="AB34" s="244">
        <f t="shared" si="8"/>
        <v>0</v>
      </c>
      <c r="AC34" s="244" t="str">
        <f t="shared" si="9"/>
        <v>Y</v>
      </c>
      <c r="AD34" s="244" t="str">
        <f t="shared" si="10"/>
        <v>Y</v>
      </c>
      <c r="AE34" s="282">
        <f t="shared" si="11"/>
        <v>55.714285714285715</v>
      </c>
      <c r="AF34" s="282">
        <f t="shared" si="12"/>
        <v>53.333333333333336</v>
      </c>
      <c r="AG34" s="222"/>
    </row>
    <row r="35" spans="1:33" ht="15.75" x14ac:dyDescent="0.25">
      <c r="A35" s="245">
        <v>28</v>
      </c>
      <c r="B35" s="246" t="s">
        <v>242</v>
      </c>
      <c r="C35" s="166" t="str">
        <f>'[11]DLD A'!A48</f>
        <v>2023-IT-38</v>
      </c>
      <c r="D35" s="166" t="str">
        <f>'[11]DLD A'!B48</f>
        <v>Sherzaman Bukhari</v>
      </c>
      <c r="E35" s="168">
        <f>'[11]DLD A'!D48</f>
        <v>6</v>
      </c>
      <c r="F35" s="168"/>
      <c r="G35" s="229">
        <f t="shared" si="0"/>
        <v>6</v>
      </c>
      <c r="H35" s="249">
        <v>4</v>
      </c>
      <c r="I35" s="249">
        <v>10</v>
      </c>
      <c r="J35" s="249"/>
      <c r="K35" s="249"/>
      <c r="L35" s="229">
        <f>'[11]DLD A'!E48</f>
        <v>14</v>
      </c>
      <c r="M35" s="168">
        <f>'[11]DLD A'!F48</f>
        <v>7</v>
      </c>
      <c r="N35" s="249"/>
      <c r="O35" s="229">
        <f t="shared" si="1"/>
        <v>7</v>
      </c>
      <c r="P35" s="250">
        <v>10</v>
      </c>
      <c r="Q35" s="249">
        <v>11</v>
      </c>
      <c r="R35" s="249"/>
      <c r="S35" s="242"/>
      <c r="T35" s="229">
        <f>'[11]DLD A'!G48</f>
        <v>21</v>
      </c>
      <c r="U35" s="243">
        <f>'[11]DLD A'!H48</f>
        <v>8</v>
      </c>
      <c r="V35" s="241"/>
      <c r="W35" s="229">
        <f t="shared" si="7"/>
        <v>8</v>
      </c>
      <c r="X35" s="229">
        <f t="shared" si="3"/>
        <v>56</v>
      </c>
      <c r="Y35" s="244">
        <f t="shared" si="4"/>
        <v>0</v>
      </c>
      <c r="Z35" s="244">
        <f t="shared" si="5"/>
        <v>38</v>
      </c>
      <c r="AA35" s="244">
        <f t="shared" si="6"/>
        <v>18</v>
      </c>
      <c r="AB35" s="244">
        <f t="shared" si="8"/>
        <v>0</v>
      </c>
      <c r="AC35" s="244" t="str">
        <f t="shared" si="9"/>
        <v>Y</v>
      </c>
      <c r="AD35" s="244" t="str">
        <f t="shared" si="10"/>
        <v>Y</v>
      </c>
      <c r="AE35" s="282">
        <f t="shared" si="11"/>
        <v>54.285714285714285</v>
      </c>
      <c r="AF35" s="282">
        <f t="shared" si="12"/>
        <v>60</v>
      </c>
      <c r="AG35" s="222"/>
    </row>
    <row r="36" spans="1:33" ht="15.75" x14ac:dyDescent="0.25">
      <c r="A36" s="245"/>
      <c r="B36" s="246"/>
      <c r="C36" s="166" t="str">
        <f>'[11]DLD A'!A49</f>
        <v>2023-IT-40</v>
      </c>
      <c r="D36" s="166" t="str">
        <f>'[11]DLD A'!B49</f>
        <v>Ahmad Raza Shareef</v>
      </c>
      <c r="E36" s="168">
        <f>'[11]DLD A'!D49</f>
        <v>7</v>
      </c>
      <c r="F36" s="168"/>
      <c r="G36" s="229">
        <f t="shared" si="0"/>
        <v>7</v>
      </c>
      <c r="H36" s="249">
        <v>6</v>
      </c>
      <c r="I36" s="249">
        <v>9</v>
      </c>
      <c r="J36" s="249"/>
      <c r="K36" s="249"/>
      <c r="L36" s="229">
        <f>'[11]DLD A'!E49</f>
        <v>15</v>
      </c>
      <c r="M36" s="168">
        <f>'[11]DLD A'!F49</f>
        <v>7</v>
      </c>
      <c r="N36" s="249"/>
      <c r="O36" s="229">
        <f t="shared" si="1"/>
        <v>7</v>
      </c>
      <c r="P36" s="250">
        <v>15</v>
      </c>
      <c r="Q36" s="249">
        <v>10</v>
      </c>
      <c r="R36" s="249"/>
      <c r="S36" s="242"/>
      <c r="T36" s="229">
        <f>'[11]DLD A'!G49</f>
        <v>25</v>
      </c>
      <c r="U36" s="243">
        <f>'[11]DLD A'!H49</f>
        <v>8</v>
      </c>
      <c r="V36" s="241"/>
      <c r="W36" s="229">
        <f t="shared" si="7"/>
        <v>8</v>
      </c>
      <c r="X36" s="229">
        <f t="shared" si="3"/>
        <v>62</v>
      </c>
      <c r="Y36" s="244">
        <f t="shared" si="4"/>
        <v>0</v>
      </c>
      <c r="Z36" s="244">
        <f t="shared" si="5"/>
        <v>45</v>
      </c>
      <c r="AA36" s="244">
        <f t="shared" si="6"/>
        <v>17</v>
      </c>
      <c r="AB36" s="244">
        <f t="shared" si="8"/>
        <v>0</v>
      </c>
      <c r="AC36" s="244" t="str">
        <f t="shared" si="9"/>
        <v>Y</v>
      </c>
      <c r="AD36" s="244" t="str">
        <f t="shared" si="10"/>
        <v>Y</v>
      </c>
      <c r="AE36" s="282">
        <f t="shared" si="11"/>
        <v>64.285714285714292</v>
      </c>
      <c r="AF36" s="282">
        <f t="shared" si="12"/>
        <v>56.666666666666664</v>
      </c>
      <c r="AG36" s="222"/>
    </row>
    <row r="37" spans="1:33" ht="15.75" x14ac:dyDescent="0.25">
      <c r="A37" s="245"/>
      <c r="B37" s="246"/>
      <c r="C37" s="166" t="str">
        <f>'[11]DLD A'!A50</f>
        <v>2023-IT-41</v>
      </c>
      <c r="D37" s="166" t="str">
        <f>'[11]DLD A'!B50</f>
        <v>Anas Noor</v>
      </c>
      <c r="E37" s="168">
        <f>'[11]DLD A'!D50</f>
        <v>0</v>
      </c>
      <c r="F37" s="168"/>
      <c r="G37" s="229">
        <f t="shared" si="0"/>
        <v>0</v>
      </c>
      <c r="H37" s="249">
        <v>0</v>
      </c>
      <c r="I37" s="249">
        <v>0</v>
      </c>
      <c r="J37" s="249"/>
      <c r="K37" s="249"/>
      <c r="L37" s="229">
        <f>'[11]DLD A'!E50</f>
        <v>0</v>
      </c>
      <c r="M37" s="168">
        <f>'[11]DLD A'!F50</f>
        <v>0</v>
      </c>
      <c r="N37" s="249"/>
      <c r="O37" s="229">
        <f t="shared" si="1"/>
        <v>0</v>
      </c>
      <c r="P37" s="250">
        <v>0</v>
      </c>
      <c r="Q37" s="249">
        <v>0</v>
      </c>
      <c r="R37" s="249"/>
      <c r="S37" s="242"/>
      <c r="T37" s="229">
        <f>'[11]DLD A'!G50</f>
        <v>0</v>
      </c>
      <c r="U37" s="243">
        <f>'[11]DLD A'!H50</f>
        <v>0</v>
      </c>
      <c r="V37" s="241"/>
      <c r="W37" s="229">
        <f t="shared" si="7"/>
        <v>0</v>
      </c>
      <c r="X37" s="229">
        <f t="shared" si="3"/>
        <v>0</v>
      </c>
      <c r="Y37" s="244">
        <f t="shared" si="4"/>
        <v>0</v>
      </c>
      <c r="Z37" s="244">
        <f t="shared" si="5"/>
        <v>0</v>
      </c>
      <c r="AA37" s="244">
        <f t="shared" si="6"/>
        <v>0</v>
      </c>
      <c r="AB37" s="244">
        <f t="shared" si="8"/>
        <v>0</v>
      </c>
      <c r="AC37" s="244" t="str">
        <f t="shared" si="9"/>
        <v>N</v>
      </c>
      <c r="AD37" s="244" t="str">
        <f t="shared" si="10"/>
        <v>N</v>
      </c>
      <c r="AE37" s="282">
        <f t="shared" si="11"/>
        <v>0</v>
      </c>
      <c r="AF37" s="282">
        <f t="shared" si="12"/>
        <v>0</v>
      </c>
      <c r="AG37" s="222"/>
    </row>
    <row r="38" spans="1:33" ht="15.75" x14ac:dyDescent="0.25">
      <c r="A38" s="247"/>
      <c r="B38" s="248"/>
      <c r="C38" s="166" t="str">
        <f>'[11]DLD A'!A51</f>
        <v>2023-IT-42</v>
      </c>
      <c r="D38" s="166" t="str">
        <f>'[11]DLD A'!B51</f>
        <v>Muhammad Moosa Bhatti</v>
      </c>
      <c r="E38" s="168">
        <f>'[11]DLD A'!D51</f>
        <v>7</v>
      </c>
      <c r="F38" s="168"/>
      <c r="G38" s="229">
        <f t="shared" si="0"/>
        <v>7</v>
      </c>
      <c r="H38" s="249">
        <v>5</v>
      </c>
      <c r="I38" s="249">
        <v>8</v>
      </c>
      <c r="J38" s="249"/>
      <c r="K38" s="249"/>
      <c r="L38" s="229">
        <f>'[11]DLD A'!E51</f>
        <v>13</v>
      </c>
      <c r="M38" s="168">
        <f>'[11]DLD A'!F51</f>
        <v>6</v>
      </c>
      <c r="N38" s="249"/>
      <c r="O38" s="229">
        <f t="shared" si="1"/>
        <v>6</v>
      </c>
      <c r="P38" s="250">
        <v>13</v>
      </c>
      <c r="Q38" s="249">
        <v>10</v>
      </c>
      <c r="R38" s="249"/>
      <c r="S38" s="242"/>
      <c r="T38" s="229">
        <f>'[11]DLD A'!G51</f>
        <v>23</v>
      </c>
      <c r="U38" s="243">
        <f>'[11]DLD A'!H51</f>
        <v>8</v>
      </c>
      <c r="V38" s="241"/>
      <c r="W38" s="229">
        <f t="shared" si="7"/>
        <v>8</v>
      </c>
      <c r="X38" s="229">
        <f t="shared" si="3"/>
        <v>57</v>
      </c>
      <c r="Y38" s="244">
        <f t="shared" si="4"/>
        <v>0</v>
      </c>
      <c r="Z38" s="244">
        <f t="shared" si="5"/>
        <v>41</v>
      </c>
      <c r="AA38" s="244">
        <f t="shared" si="6"/>
        <v>16</v>
      </c>
      <c r="AB38" s="244">
        <f t="shared" si="8"/>
        <v>0</v>
      </c>
      <c r="AC38" s="244" t="str">
        <f t="shared" si="9"/>
        <v>Y</v>
      </c>
      <c r="AD38" s="244" t="str">
        <f t="shared" si="10"/>
        <v>Y</v>
      </c>
      <c r="AE38" s="282">
        <f t="shared" si="11"/>
        <v>58.571428571428577</v>
      </c>
      <c r="AF38" s="282">
        <f t="shared" si="12"/>
        <v>53.333333333333336</v>
      </c>
      <c r="AG38" s="222"/>
    </row>
    <row r="39" spans="1:33" ht="15.75" x14ac:dyDescent="0.25">
      <c r="A39" s="245"/>
      <c r="B39" s="246"/>
      <c r="C39" s="166" t="str">
        <f>'[11]DLD A'!A52</f>
        <v>2023-IT-44</v>
      </c>
      <c r="D39" s="166" t="str">
        <f>'[11]DLD A'!B52</f>
        <v>Muhammad Nouman Aslam</v>
      </c>
      <c r="E39" s="168">
        <f>'[11]DLD A'!D52</f>
        <v>7</v>
      </c>
      <c r="F39" s="168"/>
      <c r="G39" s="229">
        <f t="shared" si="0"/>
        <v>7</v>
      </c>
      <c r="H39" s="249">
        <v>8</v>
      </c>
      <c r="I39" s="249">
        <v>8</v>
      </c>
      <c r="J39" s="249"/>
      <c r="K39" s="249"/>
      <c r="L39" s="229">
        <f>'[11]DLD A'!E52</f>
        <v>16</v>
      </c>
      <c r="M39" s="168">
        <f>'[11]DLD A'!F52</f>
        <v>6</v>
      </c>
      <c r="N39" s="249"/>
      <c r="O39" s="229">
        <f t="shared" si="1"/>
        <v>6</v>
      </c>
      <c r="P39" s="250">
        <v>8</v>
      </c>
      <c r="Q39" s="249">
        <v>12</v>
      </c>
      <c r="R39" s="249"/>
      <c r="S39" s="242"/>
      <c r="T39" s="229">
        <f>'[11]DLD A'!G52</f>
        <v>20</v>
      </c>
      <c r="U39" s="243">
        <f>'[11]DLD A'!H52</f>
        <v>8</v>
      </c>
      <c r="V39" s="241"/>
      <c r="W39" s="229">
        <f t="shared" si="7"/>
        <v>8</v>
      </c>
      <c r="X39" s="229">
        <f t="shared" si="3"/>
        <v>57</v>
      </c>
      <c r="Y39" s="244">
        <f t="shared" si="4"/>
        <v>0</v>
      </c>
      <c r="Z39" s="244">
        <f t="shared" si="5"/>
        <v>39</v>
      </c>
      <c r="AA39" s="244">
        <f t="shared" si="6"/>
        <v>18</v>
      </c>
      <c r="AB39" s="244">
        <f t="shared" si="8"/>
        <v>0</v>
      </c>
      <c r="AC39" s="244" t="str">
        <f t="shared" si="9"/>
        <v>Y</v>
      </c>
      <c r="AD39" s="244" t="str">
        <f t="shared" si="10"/>
        <v>Y</v>
      </c>
      <c r="AE39" s="282">
        <f t="shared" si="11"/>
        <v>55.714285714285715</v>
      </c>
      <c r="AF39" s="282">
        <f t="shared" si="12"/>
        <v>60</v>
      </c>
      <c r="AG39" s="222"/>
    </row>
    <row r="40" spans="1:33" ht="15.75" x14ac:dyDescent="0.25">
      <c r="A40" s="245"/>
      <c r="B40" s="246"/>
      <c r="C40" s="166" t="str">
        <f>'[11]DLD A'!A53</f>
        <v>2023-IT-46</v>
      </c>
      <c r="D40" s="166" t="str">
        <f>'[11]DLD A'!B53</f>
        <v>Muhammad Haseeb Anjum</v>
      </c>
      <c r="E40" s="168">
        <f>'[11]DLD A'!D53</f>
        <v>8</v>
      </c>
      <c r="F40" s="168"/>
      <c r="G40" s="229">
        <f t="shared" si="0"/>
        <v>8</v>
      </c>
      <c r="H40" s="249">
        <v>8</v>
      </c>
      <c r="I40" s="249">
        <v>11</v>
      </c>
      <c r="J40" s="249"/>
      <c r="K40" s="249"/>
      <c r="L40" s="229">
        <f>'[11]DLD A'!E53</f>
        <v>19</v>
      </c>
      <c r="M40" s="168">
        <f>'[11]DLD A'!F53</f>
        <v>5</v>
      </c>
      <c r="N40" s="249"/>
      <c r="O40" s="229">
        <f t="shared" si="1"/>
        <v>5</v>
      </c>
      <c r="P40" s="250">
        <v>10</v>
      </c>
      <c r="Q40" s="249">
        <v>9</v>
      </c>
      <c r="R40" s="249"/>
      <c r="S40" s="242"/>
      <c r="T40" s="229">
        <f>'[11]DLD A'!G53</f>
        <v>19</v>
      </c>
      <c r="U40" s="243">
        <f>'[11]DLD A'!H53</f>
        <v>8</v>
      </c>
      <c r="V40" s="241"/>
      <c r="W40" s="229">
        <f t="shared" si="7"/>
        <v>8</v>
      </c>
      <c r="X40" s="229">
        <f t="shared" si="3"/>
        <v>59</v>
      </c>
      <c r="Y40" s="244">
        <f t="shared" si="4"/>
        <v>0</v>
      </c>
      <c r="Z40" s="244">
        <f t="shared" si="5"/>
        <v>45</v>
      </c>
      <c r="AA40" s="244">
        <f t="shared" si="6"/>
        <v>14</v>
      </c>
      <c r="AB40" s="244">
        <f t="shared" si="8"/>
        <v>0</v>
      </c>
      <c r="AC40" s="244" t="str">
        <f t="shared" si="9"/>
        <v>Y</v>
      </c>
      <c r="AD40" s="244" t="str">
        <f t="shared" si="10"/>
        <v>N</v>
      </c>
      <c r="AE40" s="282">
        <f t="shared" si="11"/>
        <v>64.285714285714292</v>
      </c>
      <c r="AF40" s="282">
        <f t="shared" si="12"/>
        <v>46.666666666666664</v>
      </c>
      <c r="AG40" s="222"/>
    </row>
    <row r="41" spans="1:33" ht="15.75" x14ac:dyDescent="0.25">
      <c r="A41" s="245"/>
      <c r="B41" s="246"/>
      <c r="C41" s="166" t="str">
        <f>'[11]DLD A'!A54</f>
        <v>2023-IT-48</v>
      </c>
      <c r="D41" s="166" t="str">
        <f>'[11]DLD A'!B54</f>
        <v>Muhammad Arslan Waheed</v>
      </c>
      <c r="E41" s="168">
        <f>'[11]DLD A'!D54</f>
        <v>6</v>
      </c>
      <c r="F41" s="168"/>
      <c r="G41" s="229">
        <f t="shared" si="0"/>
        <v>6</v>
      </c>
      <c r="H41" s="249">
        <v>4</v>
      </c>
      <c r="I41" s="249">
        <v>8</v>
      </c>
      <c r="J41" s="249"/>
      <c r="K41" s="249"/>
      <c r="L41" s="229">
        <f>'[11]DLD A'!E54</f>
        <v>12</v>
      </c>
      <c r="M41" s="168">
        <f>'[11]DLD A'!F54</f>
        <v>5</v>
      </c>
      <c r="N41" s="249"/>
      <c r="O41" s="229">
        <f t="shared" si="1"/>
        <v>5</v>
      </c>
      <c r="P41" s="250">
        <v>7</v>
      </c>
      <c r="Q41" s="249">
        <v>10</v>
      </c>
      <c r="R41" s="249"/>
      <c r="S41" s="242"/>
      <c r="T41" s="229">
        <f>'[11]DLD A'!G54</f>
        <v>17</v>
      </c>
      <c r="U41" s="243">
        <f>'[11]DLD A'!H54</f>
        <v>8</v>
      </c>
      <c r="V41" s="241"/>
      <c r="W41" s="229">
        <f t="shared" si="7"/>
        <v>8</v>
      </c>
      <c r="X41" s="229">
        <f t="shared" si="3"/>
        <v>48</v>
      </c>
      <c r="Y41" s="244">
        <f t="shared" si="4"/>
        <v>0</v>
      </c>
      <c r="Z41" s="244">
        <f t="shared" si="5"/>
        <v>33</v>
      </c>
      <c r="AA41" s="244">
        <f t="shared" si="6"/>
        <v>15</v>
      </c>
      <c r="AB41" s="244">
        <f t="shared" si="8"/>
        <v>0</v>
      </c>
      <c r="AC41" s="244" t="str">
        <f t="shared" si="9"/>
        <v>N</v>
      </c>
      <c r="AD41" s="244" t="str">
        <f t="shared" si="10"/>
        <v>Y</v>
      </c>
      <c r="AE41" s="282">
        <f t="shared" si="11"/>
        <v>47.142857142857139</v>
      </c>
      <c r="AF41" s="282">
        <f t="shared" si="12"/>
        <v>50</v>
      </c>
      <c r="AG41" s="222"/>
    </row>
    <row r="42" spans="1:33" ht="15.75" x14ac:dyDescent="0.25">
      <c r="A42" s="245"/>
      <c r="B42" s="246"/>
      <c r="C42" s="166" t="str">
        <f>'[11]DLD A'!A55</f>
        <v>2023-IT-50</v>
      </c>
      <c r="D42" s="166" t="str">
        <f>'[11]DLD A'!B55</f>
        <v>Hafiz Muhammad Hasnain Saif</v>
      </c>
      <c r="E42" s="168">
        <f>'[11]DLD A'!D55</f>
        <v>8</v>
      </c>
      <c r="F42" s="168"/>
      <c r="G42" s="229">
        <f t="shared" si="0"/>
        <v>8</v>
      </c>
      <c r="H42" s="249">
        <v>8</v>
      </c>
      <c r="I42" s="249">
        <v>10</v>
      </c>
      <c r="J42" s="249"/>
      <c r="K42" s="249"/>
      <c r="L42" s="229">
        <f>'[11]DLD A'!E55</f>
        <v>18</v>
      </c>
      <c r="M42" s="168">
        <f>'[11]DLD A'!F55</f>
        <v>8</v>
      </c>
      <c r="N42" s="249"/>
      <c r="O42" s="229">
        <f t="shared" si="1"/>
        <v>8</v>
      </c>
      <c r="P42" s="250">
        <v>11</v>
      </c>
      <c r="Q42" s="249">
        <v>16</v>
      </c>
      <c r="R42" s="249"/>
      <c r="S42" s="242"/>
      <c r="T42" s="229">
        <f>'[11]DLD A'!G55</f>
        <v>27</v>
      </c>
      <c r="U42" s="243">
        <f>'[11]DLD A'!H55</f>
        <v>8</v>
      </c>
      <c r="V42" s="241"/>
      <c r="W42" s="229">
        <f t="shared" si="7"/>
        <v>8</v>
      </c>
      <c r="X42" s="229">
        <f t="shared" si="3"/>
        <v>69</v>
      </c>
      <c r="Y42" s="244">
        <f t="shared" si="4"/>
        <v>0</v>
      </c>
      <c r="Z42" s="244">
        <f t="shared" si="5"/>
        <v>45</v>
      </c>
      <c r="AA42" s="244">
        <f t="shared" si="6"/>
        <v>24</v>
      </c>
      <c r="AB42" s="244">
        <f t="shared" si="8"/>
        <v>0</v>
      </c>
      <c r="AC42" s="244" t="str">
        <f t="shared" si="9"/>
        <v>Y</v>
      </c>
      <c r="AD42" s="244" t="str">
        <f t="shared" si="10"/>
        <v>Y</v>
      </c>
      <c r="AE42" s="282">
        <f t="shared" si="11"/>
        <v>64.285714285714292</v>
      </c>
      <c r="AF42" s="282">
        <f t="shared" si="12"/>
        <v>80</v>
      </c>
      <c r="AG42" s="222"/>
    </row>
    <row r="43" spans="1:33" ht="15.75" x14ac:dyDescent="0.25">
      <c r="A43" s="245"/>
      <c r="B43" s="246"/>
      <c r="C43" s="166" t="str">
        <f>'[11]DLD A'!A56</f>
        <v>2023-IT-54</v>
      </c>
      <c r="D43" s="166" t="str">
        <f>'[11]DLD A'!B56</f>
        <v>Muhammad Zeeshan</v>
      </c>
      <c r="E43" s="168">
        <f>'[11]DLD A'!D56</f>
        <v>4</v>
      </c>
      <c r="F43" s="168"/>
      <c r="G43" s="229">
        <f t="shared" si="0"/>
        <v>4</v>
      </c>
      <c r="H43" s="249">
        <v>5</v>
      </c>
      <c r="I43" s="249">
        <v>6</v>
      </c>
      <c r="J43" s="249"/>
      <c r="K43" s="249"/>
      <c r="L43" s="229">
        <f>'[11]DLD A'!E56</f>
        <v>11</v>
      </c>
      <c r="M43" s="168">
        <f>'[11]DLD A'!F56</f>
        <v>6</v>
      </c>
      <c r="N43" s="249"/>
      <c r="O43" s="229">
        <f t="shared" si="1"/>
        <v>6</v>
      </c>
      <c r="P43" s="250">
        <v>10</v>
      </c>
      <c r="Q43" s="249">
        <v>6</v>
      </c>
      <c r="R43" s="249"/>
      <c r="S43" s="242"/>
      <c r="T43" s="229">
        <f>'[11]DLD A'!G56</f>
        <v>16</v>
      </c>
      <c r="U43" s="243">
        <f>'[11]DLD A'!H56</f>
        <v>8</v>
      </c>
      <c r="V43" s="241"/>
      <c r="W43" s="229">
        <f t="shared" si="7"/>
        <v>8</v>
      </c>
      <c r="X43" s="229">
        <f t="shared" si="3"/>
        <v>45</v>
      </c>
      <c r="Y43" s="244">
        <f t="shared" si="4"/>
        <v>0</v>
      </c>
      <c r="Z43" s="244">
        <f t="shared" si="5"/>
        <v>33</v>
      </c>
      <c r="AA43" s="244">
        <f t="shared" si="6"/>
        <v>12</v>
      </c>
      <c r="AB43" s="244">
        <f t="shared" si="8"/>
        <v>0</v>
      </c>
      <c r="AC43" s="244" t="str">
        <f t="shared" si="9"/>
        <v>N</v>
      </c>
      <c r="AD43" s="244" t="str">
        <f t="shared" si="10"/>
        <v>N</v>
      </c>
      <c r="AE43" s="282">
        <f t="shared" si="11"/>
        <v>47.142857142857139</v>
      </c>
      <c r="AF43" s="282">
        <f t="shared" si="12"/>
        <v>40</v>
      </c>
      <c r="AG43" s="222"/>
    </row>
    <row r="44" spans="1:33" ht="15.75" x14ac:dyDescent="0.25">
      <c r="A44" s="245"/>
      <c r="B44" s="246"/>
      <c r="C44" s="166" t="str">
        <f>'[11]DLD A'!A57</f>
        <v>2023-IT-56</v>
      </c>
      <c r="D44" s="166" t="str">
        <f>'[11]DLD A'!B57</f>
        <v>Muhammad Adeel</v>
      </c>
      <c r="E44" s="168">
        <f>'[11]DLD A'!D57</f>
        <v>5</v>
      </c>
      <c r="F44" s="168"/>
      <c r="G44" s="229">
        <f t="shared" si="0"/>
        <v>5</v>
      </c>
      <c r="H44" s="249">
        <v>0</v>
      </c>
      <c r="I44" s="249">
        <v>0</v>
      </c>
      <c r="J44" s="249"/>
      <c r="K44" s="249"/>
      <c r="L44" s="229">
        <f>'[11]DLD A'!E57</f>
        <v>0</v>
      </c>
      <c r="M44" s="168">
        <f>'[11]DLD A'!F57</f>
        <v>4</v>
      </c>
      <c r="N44" s="249"/>
      <c r="O44" s="229">
        <f t="shared" si="1"/>
        <v>4</v>
      </c>
      <c r="P44" s="250">
        <v>6</v>
      </c>
      <c r="Q44" s="249">
        <v>3</v>
      </c>
      <c r="R44" s="249"/>
      <c r="S44" s="242"/>
      <c r="T44" s="229">
        <f>'[11]DLD A'!G57</f>
        <v>9</v>
      </c>
      <c r="U44" s="243">
        <f>'[11]DLD A'!H57</f>
        <v>8</v>
      </c>
      <c r="V44" s="241"/>
      <c r="W44" s="229">
        <f t="shared" si="7"/>
        <v>8</v>
      </c>
      <c r="X44" s="229">
        <f t="shared" si="3"/>
        <v>26</v>
      </c>
      <c r="Y44" s="244">
        <f t="shared" si="4"/>
        <v>0</v>
      </c>
      <c r="Z44" s="244">
        <f t="shared" si="5"/>
        <v>19</v>
      </c>
      <c r="AA44" s="244">
        <f t="shared" si="6"/>
        <v>7</v>
      </c>
      <c r="AB44" s="244">
        <f t="shared" si="8"/>
        <v>0</v>
      </c>
      <c r="AC44" s="244" t="str">
        <f t="shared" si="9"/>
        <v>N</v>
      </c>
      <c r="AD44" s="244" t="str">
        <f t="shared" si="10"/>
        <v>N</v>
      </c>
      <c r="AE44" s="282">
        <f t="shared" si="11"/>
        <v>27.142857142857142</v>
      </c>
      <c r="AF44" s="282">
        <f t="shared" si="12"/>
        <v>23.333333333333332</v>
      </c>
      <c r="AG44" s="222"/>
    </row>
    <row r="45" spans="1:33" ht="15.75" x14ac:dyDescent="0.25">
      <c r="A45" s="245"/>
      <c r="B45" s="246"/>
      <c r="C45" s="166" t="str">
        <f>'[11]DLD A'!A58</f>
        <v>2023-IT-60</v>
      </c>
      <c r="D45" s="166" t="str">
        <f>'[11]DLD A'!B58</f>
        <v>Mughees Ahmad</v>
      </c>
      <c r="E45" s="168">
        <f>'[11]DLD A'!D58</f>
        <v>6</v>
      </c>
      <c r="F45" s="168"/>
      <c r="G45" s="229">
        <f t="shared" si="0"/>
        <v>6</v>
      </c>
      <c r="H45" s="249">
        <v>9</v>
      </c>
      <c r="I45" s="249">
        <v>10</v>
      </c>
      <c r="J45" s="249"/>
      <c r="K45" s="249"/>
      <c r="L45" s="229">
        <f>'[11]DLD A'!E58</f>
        <v>19</v>
      </c>
      <c r="M45" s="168">
        <f>'[11]DLD A'!F58</f>
        <v>4</v>
      </c>
      <c r="N45" s="249"/>
      <c r="O45" s="229">
        <f t="shared" si="1"/>
        <v>4</v>
      </c>
      <c r="P45" s="250">
        <v>5</v>
      </c>
      <c r="Q45" s="249">
        <v>8</v>
      </c>
      <c r="R45" s="249"/>
      <c r="S45" s="242"/>
      <c r="T45" s="229">
        <f>'[11]DLD A'!G58</f>
        <v>13</v>
      </c>
      <c r="U45" s="243">
        <f>'[11]DLD A'!H58</f>
        <v>8</v>
      </c>
      <c r="V45" s="241"/>
      <c r="W45" s="229">
        <f t="shared" si="7"/>
        <v>8</v>
      </c>
      <c r="X45" s="229">
        <f t="shared" si="3"/>
        <v>50</v>
      </c>
      <c r="Y45" s="244">
        <f t="shared" si="4"/>
        <v>0</v>
      </c>
      <c r="Z45" s="244">
        <f t="shared" si="5"/>
        <v>38</v>
      </c>
      <c r="AA45" s="244">
        <f t="shared" si="6"/>
        <v>12</v>
      </c>
      <c r="AB45" s="244">
        <f t="shared" si="8"/>
        <v>0</v>
      </c>
      <c r="AC45" s="244" t="str">
        <f t="shared" si="9"/>
        <v>Y</v>
      </c>
      <c r="AD45" s="244" t="str">
        <f t="shared" si="10"/>
        <v>N</v>
      </c>
      <c r="AE45" s="282">
        <f t="shared" si="11"/>
        <v>54.285714285714285</v>
      </c>
      <c r="AF45" s="282">
        <f t="shared" si="12"/>
        <v>40</v>
      </c>
      <c r="AG45" s="222"/>
    </row>
    <row r="46" spans="1:33" ht="15.75" x14ac:dyDescent="0.25">
      <c r="A46" s="245"/>
      <c r="B46" s="246"/>
      <c r="C46" s="166" t="str">
        <f>'[11]DLD A'!A59</f>
        <v>2023-IT-62</v>
      </c>
      <c r="D46" s="166" t="str">
        <f>'[11]DLD A'!B59</f>
        <v>Muhammad Azeem</v>
      </c>
      <c r="E46" s="168">
        <f>'[11]DLD A'!D59</f>
        <v>7</v>
      </c>
      <c r="F46" s="168"/>
      <c r="G46" s="229">
        <f t="shared" si="0"/>
        <v>7</v>
      </c>
      <c r="H46" s="249">
        <v>4</v>
      </c>
      <c r="I46" s="249">
        <v>6</v>
      </c>
      <c r="J46" s="249"/>
      <c r="K46" s="249"/>
      <c r="L46" s="229">
        <f>'[11]DLD A'!E59</f>
        <v>10</v>
      </c>
      <c r="M46" s="168">
        <f>'[11]DLD A'!F59</f>
        <v>7</v>
      </c>
      <c r="N46" s="249"/>
      <c r="O46" s="229">
        <f t="shared" si="1"/>
        <v>7</v>
      </c>
      <c r="P46" s="250">
        <v>17</v>
      </c>
      <c r="Q46" s="249">
        <v>10</v>
      </c>
      <c r="R46" s="249"/>
      <c r="S46" s="242"/>
      <c r="T46" s="229">
        <f>'[11]DLD A'!G59</f>
        <v>27</v>
      </c>
      <c r="U46" s="243">
        <f>'[11]DLD A'!H59</f>
        <v>8</v>
      </c>
      <c r="V46" s="241"/>
      <c r="W46" s="229">
        <f t="shared" si="7"/>
        <v>8</v>
      </c>
      <c r="X46" s="229">
        <f t="shared" si="3"/>
        <v>59</v>
      </c>
      <c r="Y46" s="244">
        <f t="shared" si="4"/>
        <v>0</v>
      </c>
      <c r="Z46" s="244">
        <f t="shared" si="5"/>
        <v>42</v>
      </c>
      <c r="AA46" s="244">
        <f t="shared" si="6"/>
        <v>17</v>
      </c>
      <c r="AB46" s="244">
        <f t="shared" si="8"/>
        <v>0</v>
      </c>
      <c r="AC46" s="244" t="str">
        <f t="shared" si="9"/>
        <v>Y</v>
      </c>
      <c r="AD46" s="244" t="str">
        <f t="shared" si="10"/>
        <v>Y</v>
      </c>
      <c r="AE46" s="282">
        <f t="shared" si="11"/>
        <v>60</v>
      </c>
      <c r="AF46" s="282">
        <f t="shared" si="12"/>
        <v>56.666666666666664</v>
      </c>
      <c r="AG46" s="222"/>
    </row>
    <row r="47" spans="1:33" ht="15.75" x14ac:dyDescent="0.25">
      <c r="A47" s="245"/>
      <c r="B47" s="246"/>
      <c r="C47" s="166" t="str">
        <f>'[11]DLD A'!A60</f>
        <v>2023-IT-64</v>
      </c>
      <c r="D47" s="166" t="str">
        <f>'[11]DLD A'!B60</f>
        <v>Abdul Ahad</v>
      </c>
      <c r="E47" s="168">
        <f>'[11]DLD A'!D60</f>
        <v>0</v>
      </c>
      <c r="F47" s="168"/>
      <c r="G47" s="229">
        <f t="shared" si="0"/>
        <v>0</v>
      </c>
      <c r="H47" s="249">
        <v>0</v>
      </c>
      <c r="I47" s="249">
        <v>0</v>
      </c>
      <c r="J47" s="249"/>
      <c r="K47" s="249"/>
      <c r="L47" s="229">
        <f>'[11]DLD A'!E60</f>
        <v>0</v>
      </c>
      <c r="M47" s="168">
        <f>'[11]DLD A'!F60</f>
        <v>0</v>
      </c>
      <c r="N47" s="249"/>
      <c r="O47" s="229">
        <f t="shared" si="1"/>
        <v>0</v>
      </c>
      <c r="P47" s="250">
        <v>0</v>
      </c>
      <c r="Q47" s="249">
        <v>0</v>
      </c>
      <c r="R47" s="249"/>
      <c r="S47" s="242"/>
      <c r="T47" s="229">
        <f>'[11]DLD A'!G60</f>
        <v>0</v>
      </c>
      <c r="U47" s="243">
        <f>'[11]DLD A'!H60</f>
        <v>0</v>
      </c>
      <c r="V47" s="241"/>
      <c r="W47" s="229">
        <f t="shared" si="7"/>
        <v>0</v>
      </c>
      <c r="X47" s="229">
        <f t="shared" si="3"/>
        <v>0</v>
      </c>
      <c r="Y47" s="244">
        <f t="shared" si="4"/>
        <v>0</v>
      </c>
      <c r="Z47" s="244">
        <f t="shared" si="5"/>
        <v>0</v>
      </c>
      <c r="AA47" s="244">
        <f t="shared" si="6"/>
        <v>0</v>
      </c>
      <c r="AB47" s="244">
        <f t="shared" si="8"/>
        <v>0</v>
      </c>
      <c r="AC47" s="244" t="str">
        <f t="shared" si="9"/>
        <v>N</v>
      </c>
      <c r="AD47" s="244" t="str">
        <f t="shared" si="10"/>
        <v>N</v>
      </c>
      <c r="AE47" s="282">
        <f t="shared" si="11"/>
        <v>0</v>
      </c>
      <c r="AF47" s="282">
        <f t="shared" si="12"/>
        <v>0</v>
      </c>
      <c r="AG47" s="222"/>
    </row>
    <row r="48" spans="1:33" ht="15.75" x14ac:dyDescent="0.25">
      <c r="A48" s="245"/>
      <c r="B48" s="246"/>
      <c r="C48" s="166" t="str">
        <f>'[11]DLD A'!A61</f>
        <v>2023-IT-66</v>
      </c>
      <c r="D48" s="166" t="str">
        <f>'[11]DLD A'!B61</f>
        <v>Muhammad Haris Javed</v>
      </c>
      <c r="E48" s="168">
        <f>'[11]DLD A'!D61</f>
        <v>8</v>
      </c>
      <c r="F48" s="168"/>
      <c r="G48" s="229">
        <f t="shared" si="0"/>
        <v>8</v>
      </c>
      <c r="H48" s="249">
        <v>8</v>
      </c>
      <c r="I48" s="249">
        <v>11</v>
      </c>
      <c r="J48" s="249"/>
      <c r="K48" s="249"/>
      <c r="L48" s="229">
        <f>'[11]DLD A'!E61</f>
        <v>19</v>
      </c>
      <c r="M48" s="168">
        <f>'[11]DLD A'!F61</f>
        <v>8</v>
      </c>
      <c r="N48" s="249"/>
      <c r="O48" s="229">
        <f t="shared" si="1"/>
        <v>8</v>
      </c>
      <c r="P48" s="250">
        <v>16</v>
      </c>
      <c r="Q48" s="249">
        <v>15</v>
      </c>
      <c r="R48" s="249"/>
      <c r="S48" s="242"/>
      <c r="T48" s="229">
        <f>'[11]DLD A'!G61</f>
        <v>31</v>
      </c>
      <c r="U48" s="243">
        <f>'[11]DLD A'!H61</f>
        <v>9</v>
      </c>
      <c r="V48" s="241"/>
      <c r="W48" s="229">
        <f t="shared" si="7"/>
        <v>9</v>
      </c>
      <c r="X48" s="229">
        <f t="shared" si="3"/>
        <v>75</v>
      </c>
      <c r="Y48" s="244">
        <f t="shared" si="4"/>
        <v>0</v>
      </c>
      <c r="Z48" s="244">
        <f t="shared" si="5"/>
        <v>52</v>
      </c>
      <c r="AA48" s="244">
        <f t="shared" si="6"/>
        <v>23</v>
      </c>
      <c r="AB48" s="244">
        <f t="shared" si="8"/>
        <v>0</v>
      </c>
      <c r="AC48" s="244" t="str">
        <f t="shared" si="9"/>
        <v>Y</v>
      </c>
      <c r="AD48" s="244" t="str">
        <f t="shared" si="10"/>
        <v>Y</v>
      </c>
      <c r="AE48" s="282">
        <f t="shared" si="11"/>
        <v>74.285714285714292</v>
      </c>
      <c r="AF48" s="282">
        <f t="shared" si="12"/>
        <v>76.666666666666671</v>
      </c>
      <c r="AG48" s="222"/>
    </row>
    <row r="49" spans="1:33" ht="15.75" x14ac:dyDescent="0.25">
      <c r="A49" s="245"/>
      <c r="B49" s="246"/>
      <c r="C49" s="166" t="str">
        <f>'[11]DLD A'!A62</f>
        <v>2023-IT-68</v>
      </c>
      <c r="D49" s="166" t="str">
        <f>'[11]DLD A'!B62</f>
        <v>Muhammad Mubashir</v>
      </c>
      <c r="E49" s="168">
        <f>'[11]DLD A'!D62</f>
        <v>7</v>
      </c>
      <c r="F49" s="168"/>
      <c r="G49" s="229">
        <f t="shared" si="0"/>
        <v>7</v>
      </c>
      <c r="H49" s="249">
        <v>6</v>
      </c>
      <c r="I49" s="249">
        <v>10</v>
      </c>
      <c r="J49" s="249"/>
      <c r="K49" s="249"/>
      <c r="L49" s="229">
        <f>'[11]DLD A'!E62</f>
        <v>16</v>
      </c>
      <c r="M49" s="168">
        <f>'[11]DLD A'!F62</f>
        <v>8</v>
      </c>
      <c r="N49" s="249"/>
      <c r="O49" s="229">
        <f t="shared" si="1"/>
        <v>8</v>
      </c>
      <c r="P49" s="250">
        <v>15</v>
      </c>
      <c r="Q49" s="249">
        <v>15</v>
      </c>
      <c r="R49" s="249"/>
      <c r="S49" s="242"/>
      <c r="T49" s="229">
        <f>'[11]DLD A'!G62</f>
        <v>30</v>
      </c>
      <c r="U49" s="243">
        <f>'[11]DLD A'!H62</f>
        <v>9</v>
      </c>
      <c r="V49" s="241"/>
      <c r="W49" s="229">
        <f t="shared" si="7"/>
        <v>9</v>
      </c>
      <c r="X49" s="229">
        <f t="shared" si="3"/>
        <v>70</v>
      </c>
      <c r="Y49" s="244">
        <f t="shared" si="4"/>
        <v>0</v>
      </c>
      <c r="Z49" s="244">
        <f t="shared" si="5"/>
        <v>47</v>
      </c>
      <c r="AA49" s="244">
        <f t="shared" si="6"/>
        <v>23</v>
      </c>
      <c r="AB49" s="244">
        <f t="shared" si="8"/>
        <v>0</v>
      </c>
      <c r="AC49" s="244" t="str">
        <f t="shared" si="9"/>
        <v>Y</v>
      </c>
      <c r="AD49" s="244" t="str">
        <f t="shared" si="10"/>
        <v>Y</v>
      </c>
      <c r="AE49" s="282">
        <f t="shared" si="11"/>
        <v>67.142857142857139</v>
      </c>
      <c r="AF49" s="282">
        <f t="shared" si="12"/>
        <v>76.666666666666671</v>
      </c>
      <c r="AG49" s="222"/>
    </row>
    <row r="50" spans="1:33" ht="15.75" x14ac:dyDescent="0.25">
      <c r="A50" s="245"/>
      <c r="B50" s="246"/>
      <c r="C50" s="166" t="str">
        <f>'[11]DLD A'!A63</f>
        <v>2023-IT-70</v>
      </c>
      <c r="D50" s="166" t="str">
        <f>'[11]DLD A'!B63</f>
        <v>Muhammad Usama</v>
      </c>
      <c r="E50" s="168">
        <f>'[11]DLD A'!D63</f>
        <v>0</v>
      </c>
      <c r="F50" s="168"/>
      <c r="G50" s="229">
        <f t="shared" si="0"/>
        <v>0</v>
      </c>
      <c r="H50" s="249">
        <v>0</v>
      </c>
      <c r="I50" s="249">
        <v>0</v>
      </c>
      <c r="J50" s="249"/>
      <c r="K50" s="249"/>
      <c r="L50" s="229">
        <f>'[11]DLD A'!E63</f>
        <v>0</v>
      </c>
      <c r="M50" s="168">
        <f>'[11]DLD A'!F63</f>
        <v>0</v>
      </c>
      <c r="N50" s="249"/>
      <c r="O50" s="229">
        <f t="shared" si="1"/>
        <v>0</v>
      </c>
      <c r="P50" s="250">
        <v>0</v>
      </c>
      <c r="Q50" s="249">
        <v>0</v>
      </c>
      <c r="R50" s="249"/>
      <c r="S50" s="242"/>
      <c r="T50" s="229">
        <f>'[11]DLD A'!G63</f>
        <v>0</v>
      </c>
      <c r="U50" s="243">
        <f>'[11]DLD A'!H63</f>
        <v>0</v>
      </c>
      <c r="V50" s="241"/>
      <c r="W50" s="229">
        <f t="shared" si="7"/>
        <v>0</v>
      </c>
      <c r="X50" s="229">
        <f t="shared" si="3"/>
        <v>0</v>
      </c>
      <c r="Y50" s="244">
        <f t="shared" si="4"/>
        <v>0</v>
      </c>
      <c r="Z50" s="244">
        <f t="shared" si="5"/>
        <v>0</v>
      </c>
      <c r="AA50" s="244">
        <f t="shared" si="6"/>
        <v>0</v>
      </c>
      <c r="AB50" s="244">
        <f t="shared" si="8"/>
        <v>0</v>
      </c>
      <c r="AC50" s="244" t="str">
        <f t="shared" si="9"/>
        <v>N</v>
      </c>
      <c r="AD50" s="244" t="str">
        <f t="shared" si="10"/>
        <v>N</v>
      </c>
      <c r="AE50" s="282">
        <f t="shared" si="11"/>
        <v>0</v>
      </c>
      <c r="AF50" s="282">
        <f t="shared" si="12"/>
        <v>0</v>
      </c>
      <c r="AG50" s="222"/>
    </row>
    <row r="51" spans="1:33" ht="15.75" x14ac:dyDescent="0.25">
      <c r="A51" s="245"/>
      <c r="B51" s="246"/>
      <c r="C51" s="166" t="str">
        <f>'[11]DLD A'!A64</f>
        <v>2023-IT-72</v>
      </c>
      <c r="D51" s="166" t="str">
        <f>'[11]DLD A'!B64</f>
        <v>Muhammad Zohaib Akhtar</v>
      </c>
      <c r="E51" s="168">
        <f>'[11]DLD A'!D64</f>
        <v>8</v>
      </c>
      <c r="F51" s="168"/>
      <c r="G51" s="229">
        <f t="shared" si="0"/>
        <v>8</v>
      </c>
      <c r="H51" s="249">
        <v>10</v>
      </c>
      <c r="I51" s="249">
        <v>9</v>
      </c>
      <c r="J51" s="249"/>
      <c r="K51" s="249"/>
      <c r="L51" s="229">
        <f>'[11]DLD A'!E64</f>
        <v>19</v>
      </c>
      <c r="M51" s="168">
        <f>'[11]DLD A'!F64</f>
        <v>7</v>
      </c>
      <c r="N51" s="249"/>
      <c r="O51" s="229">
        <f t="shared" si="1"/>
        <v>7</v>
      </c>
      <c r="P51" s="250">
        <v>15</v>
      </c>
      <c r="Q51" s="249">
        <v>18</v>
      </c>
      <c r="R51" s="249"/>
      <c r="S51" s="242"/>
      <c r="T51" s="229">
        <f>'[11]DLD A'!G64</f>
        <v>33</v>
      </c>
      <c r="U51" s="243">
        <f>'[11]DLD A'!H64</f>
        <v>9</v>
      </c>
      <c r="V51" s="241"/>
      <c r="W51" s="229">
        <f t="shared" si="7"/>
        <v>9</v>
      </c>
      <c r="X51" s="229">
        <f t="shared" si="3"/>
        <v>76</v>
      </c>
      <c r="Y51" s="244">
        <f t="shared" si="4"/>
        <v>0</v>
      </c>
      <c r="Z51" s="244">
        <f t="shared" si="5"/>
        <v>51</v>
      </c>
      <c r="AA51" s="244">
        <f t="shared" si="6"/>
        <v>25</v>
      </c>
      <c r="AB51" s="244">
        <f t="shared" si="8"/>
        <v>0</v>
      </c>
      <c r="AC51" s="244" t="str">
        <f t="shared" si="9"/>
        <v>Y</v>
      </c>
      <c r="AD51" s="244" t="str">
        <f t="shared" si="10"/>
        <v>Y</v>
      </c>
      <c r="AE51" s="282">
        <f t="shared" si="11"/>
        <v>72.857142857142847</v>
      </c>
      <c r="AF51" s="282">
        <f t="shared" si="12"/>
        <v>83.333333333333343</v>
      </c>
      <c r="AG51" s="222"/>
    </row>
    <row r="52" spans="1:33" ht="15.75" x14ac:dyDescent="0.25">
      <c r="A52" s="245"/>
      <c r="B52" s="246"/>
      <c r="C52" s="166" t="str">
        <f>'[11]DLD A'!A65</f>
        <v>2023-IT-74</v>
      </c>
      <c r="D52" s="166" t="str">
        <f>'[11]DLD A'!B65</f>
        <v>Ashir Mudassir</v>
      </c>
      <c r="E52" s="168">
        <f>'[11]DLD A'!D65</f>
        <v>6</v>
      </c>
      <c r="F52" s="168"/>
      <c r="G52" s="229">
        <f t="shared" si="0"/>
        <v>6</v>
      </c>
      <c r="H52" s="249">
        <v>8</v>
      </c>
      <c r="I52" s="249">
        <v>8</v>
      </c>
      <c r="J52" s="249"/>
      <c r="K52" s="249"/>
      <c r="L52" s="229">
        <f>'[11]DLD A'!E65</f>
        <v>16</v>
      </c>
      <c r="M52" s="168">
        <f>'[11]DLD A'!F65</f>
        <v>7</v>
      </c>
      <c r="N52" s="249"/>
      <c r="O52" s="229">
        <f t="shared" si="1"/>
        <v>7</v>
      </c>
      <c r="P52" s="250">
        <v>14</v>
      </c>
      <c r="Q52" s="249">
        <v>14</v>
      </c>
      <c r="R52" s="249"/>
      <c r="S52" s="242"/>
      <c r="T52" s="229">
        <f>'[11]DLD A'!G65</f>
        <v>28</v>
      </c>
      <c r="U52" s="243">
        <f>'[11]DLD A'!H65</f>
        <v>8</v>
      </c>
      <c r="V52" s="241"/>
      <c r="W52" s="229">
        <f t="shared" si="7"/>
        <v>8</v>
      </c>
      <c r="X52" s="229">
        <f t="shared" si="3"/>
        <v>65</v>
      </c>
      <c r="Y52" s="244">
        <f t="shared" si="4"/>
        <v>0</v>
      </c>
      <c r="Z52" s="244">
        <f t="shared" si="5"/>
        <v>44</v>
      </c>
      <c r="AA52" s="244">
        <f t="shared" si="6"/>
        <v>21</v>
      </c>
      <c r="AB52" s="244">
        <f t="shared" si="8"/>
        <v>0</v>
      </c>
      <c r="AC52" s="244" t="str">
        <f t="shared" si="9"/>
        <v>Y</v>
      </c>
      <c r="AD52" s="244" t="str">
        <f t="shared" si="10"/>
        <v>Y</v>
      </c>
      <c r="AE52" s="282">
        <f t="shared" si="11"/>
        <v>62.857142857142854</v>
      </c>
      <c r="AF52" s="282">
        <f t="shared" si="12"/>
        <v>70</v>
      </c>
      <c r="AG52" s="222"/>
    </row>
    <row r="53" spans="1:33" ht="15.75" x14ac:dyDescent="0.25">
      <c r="A53" s="245"/>
      <c r="B53" s="246"/>
      <c r="C53" s="166" t="str">
        <f>'[11]DLD A'!A66</f>
        <v>2023-IT-76</v>
      </c>
      <c r="D53" s="166" t="str">
        <f>'[11]DLD A'!B66</f>
        <v>Rao Usama</v>
      </c>
      <c r="E53" s="168">
        <f>'[11]DLD A'!D66</f>
        <v>5</v>
      </c>
      <c r="F53" s="168"/>
      <c r="G53" s="229">
        <f t="shared" si="0"/>
        <v>5</v>
      </c>
      <c r="H53" s="249">
        <v>10</v>
      </c>
      <c r="I53" s="249">
        <v>13</v>
      </c>
      <c r="J53" s="249"/>
      <c r="K53" s="249"/>
      <c r="L53" s="229">
        <f>'[11]DLD A'!E66</f>
        <v>23</v>
      </c>
      <c r="M53" s="168">
        <f>'[11]DLD A'!F66</f>
        <v>6</v>
      </c>
      <c r="N53" s="249"/>
      <c r="O53" s="229">
        <f t="shared" si="1"/>
        <v>6</v>
      </c>
      <c r="P53" s="250">
        <v>10</v>
      </c>
      <c r="Q53" s="249">
        <v>12</v>
      </c>
      <c r="R53" s="249"/>
      <c r="S53" s="242"/>
      <c r="T53" s="229">
        <f>'[11]DLD A'!G66</f>
        <v>22</v>
      </c>
      <c r="U53" s="243">
        <f>'[11]DLD A'!H66</f>
        <v>8</v>
      </c>
      <c r="V53" s="241"/>
      <c r="W53" s="229">
        <f t="shared" si="7"/>
        <v>8</v>
      </c>
      <c r="X53" s="229">
        <f t="shared" si="3"/>
        <v>64</v>
      </c>
      <c r="Y53" s="244">
        <f t="shared" si="4"/>
        <v>0</v>
      </c>
      <c r="Z53" s="244">
        <f t="shared" si="5"/>
        <v>46</v>
      </c>
      <c r="AA53" s="244">
        <f t="shared" si="6"/>
        <v>18</v>
      </c>
      <c r="AB53" s="244">
        <f t="shared" si="8"/>
        <v>0</v>
      </c>
      <c r="AC53" s="244" t="str">
        <f t="shared" si="9"/>
        <v>Y</v>
      </c>
      <c r="AD53" s="244" t="str">
        <f t="shared" si="10"/>
        <v>Y</v>
      </c>
      <c r="AE53" s="282">
        <f t="shared" si="11"/>
        <v>65.714285714285708</v>
      </c>
      <c r="AF53" s="282">
        <f t="shared" si="12"/>
        <v>60</v>
      </c>
      <c r="AG53" s="222"/>
    </row>
    <row r="54" spans="1:33" ht="15.75" x14ac:dyDescent="0.25">
      <c r="A54" s="245"/>
      <c r="B54" s="246"/>
      <c r="C54" s="166" t="str">
        <f>'[11]DLD A'!A67</f>
        <v>2023-IT-78</v>
      </c>
      <c r="D54" s="166" t="str">
        <f>'[11]DLD A'!B67</f>
        <v>Muhammad Zaman</v>
      </c>
      <c r="E54" s="168">
        <f>'[11]DLD A'!D67</f>
        <v>5</v>
      </c>
      <c r="F54" s="168"/>
      <c r="G54" s="229">
        <f t="shared" si="0"/>
        <v>5</v>
      </c>
      <c r="H54" s="249">
        <v>6</v>
      </c>
      <c r="I54" s="249">
        <v>10</v>
      </c>
      <c r="J54" s="249"/>
      <c r="K54" s="249"/>
      <c r="L54" s="229">
        <f>'[11]DLD A'!E67</f>
        <v>16</v>
      </c>
      <c r="M54" s="168">
        <f>'[11]DLD A'!F67</f>
        <v>5</v>
      </c>
      <c r="N54" s="249"/>
      <c r="O54" s="229">
        <f t="shared" si="1"/>
        <v>5</v>
      </c>
      <c r="P54" s="250">
        <v>9</v>
      </c>
      <c r="Q54" s="249">
        <v>10</v>
      </c>
      <c r="R54" s="249"/>
      <c r="S54" s="242"/>
      <c r="T54" s="229">
        <f>'[11]DLD A'!G67</f>
        <v>19</v>
      </c>
      <c r="U54" s="243">
        <f>'[11]DLD A'!H67</f>
        <v>8</v>
      </c>
      <c r="V54" s="241"/>
      <c r="W54" s="229">
        <f t="shared" si="7"/>
        <v>8</v>
      </c>
      <c r="X54" s="229">
        <f t="shared" si="3"/>
        <v>53</v>
      </c>
      <c r="Y54" s="244">
        <f t="shared" si="4"/>
        <v>0</v>
      </c>
      <c r="Z54" s="244">
        <f t="shared" si="5"/>
        <v>38</v>
      </c>
      <c r="AA54" s="244">
        <f t="shared" si="6"/>
        <v>15</v>
      </c>
      <c r="AB54" s="244">
        <f t="shared" si="8"/>
        <v>0</v>
      </c>
      <c r="AC54" s="244" t="str">
        <f t="shared" si="9"/>
        <v>Y</v>
      </c>
      <c r="AD54" s="244" t="str">
        <f t="shared" si="10"/>
        <v>Y</v>
      </c>
      <c r="AE54" s="282">
        <f t="shared" si="11"/>
        <v>54.285714285714285</v>
      </c>
      <c r="AF54" s="282">
        <f t="shared" si="12"/>
        <v>50</v>
      </c>
      <c r="AG54" s="222"/>
    </row>
    <row r="55" spans="1:33" ht="15.75" x14ac:dyDescent="0.25">
      <c r="A55" s="245"/>
      <c r="B55" s="246"/>
      <c r="C55" s="166" t="str">
        <f>'[11]DLD A'!A68</f>
        <v>2023-IT-79</v>
      </c>
      <c r="D55" s="166" t="str">
        <f>'[11]DLD A'!B68</f>
        <v>Iqra Moeen</v>
      </c>
      <c r="E55" s="168">
        <f>'[11]DLD A'!D68</f>
        <v>4</v>
      </c>
      <c r="F55" s="168"/>
      <c r="G55" s="229">
        <f t="shared" si="0"/>
        <v>4</v>
      </c>
      <c r="H55" s="249">
        <v>5</v>
      </c>
      <c r="I55" s="249">
        <v>5</v>
      </c>
      <c r="J55" s="249"/>
      <c r="K55" s="249"/>
      <c r="L55" s="229">
        <f>'[11]DLD A'!E68</f>
        <v>10</v>
      </c>
      <c r="M55" s="168">
        <f>'[11]DLD A'!F68</f>
        <v>5</v>
      </c>
      <c r="N55" s="249"/>
      <c r="O55" s="229">
        <f t="shared" si="1"/>
        <v>5</v>
      </c>
      <c r="P55" s="249">
        <v>10</v>
      </c>
      <c r="Q55" s="249">
        <v>13</v>
      </c>
      <c r="R55" s="249"/>
      <c r="S55" s="249"/>
      <c r="T55" s="229">
        <f>'[11]DLD A'!G68</f>
        <v>23</v>
      </c>
      <c r="U55" s="243">
        <f>'[11]DLD A'!H68</f>
        <v>8</v>
      </c>
      <c r="V55" s="241"/>
      <c r="W55" s="229">
        <f t="shared" si="7"/>
        <v>8</v>
      </c>
      <c r="X55" s="229">
        <f t="shared" si="3"/>
        <v>50</v>
      </c>
      <c r="Y55" s="244">
        <f t="shared" si="4"/>
        <v>0</v>
      </c>
      <c r="Z55" s="244">
        <f t="shared" si="5"/>
        <v>32</v>
      </c>
      <c r="AA55" s="244">
        <f t="shared" si="6"/>
        <v>18</v>
      </c>
      <c r="AB55" s="244">
        <f t="shared" si="8"/>
        <v>0</v>
      </c>
      <c r="AC55" s="244" t="str">
        <f t="shared" si="9"/>
        <v>N</v>
      </c>
      <c r="AD55" s="244" t="str">
        <f t="shared" si="10"/>
        <v>Y</v>
      </c>
      <c r="AE55" s="282">
        <f t="shared" si="11"/>
        <v>45.714285714285715</v>
      </c>
      <c r="AF55" s="282">
        <f t="shared" si="12"/>
        <v>60</v>
      </c>
      <c r="AG55" s="222"/>
    </row>
    <row r="56" spans="1:33" ht="15.75" x14ac:dyDescent="0.25">
      <c r="A56" s="251"/>
      <c r="B56" s="252"/>
      <c r="C56" s="166" t="str">
        <f>'[11]DLD A'!A69</f>
        <v>2023-IT-80</v>
      </c>
      <c r="D56" s="166" t="str">
        <f>'[11]DLD A'!B69</f>
        <v>Ali Raza</v>
      </c>
      <c r="E56" s="168">
        <f>'[11]DLD A'!D69</f>
        <v>7</v>
      </c>
      <c r="F56" s="253"/>
      <c r="G56" s="229">
        <f t="shared" si="0"/>
        <v>7</v>
      </c>
      <c r="H56" s="249">
        <v>8</v>
      </c>
      <c r="I56" s="249">
        <v>13</v>
      </c>
      <c r="J56" s="249"/>
      <c r="K56" s="249"/>
      <c r="L56" s="229">
        <f>'[11]DLD A'!E69</f>
        <v>21</v>
      </c>
      <c r="M56" s="168">
        <f>'[11]DLD A'!F69</f>
        <v>7</v>
      </c>
      <c r="N56" s="253"/>
      <c r="O56" s="229">
        <f t="shared" si="1"/>
        <v>7</v>
      </c>
      <c r="P56" s="249">
        <v>10</v>
      </c>
      <c r="Q56" s="249">
        <v>13</v>
      </c>
      <c r="R56" s="249"/>
      <c r="S56" s="249"/>
      <c r="T56" s="229">
        <f>'[11]DLD A'!G69</f>
        <v>23</v>
      </c>
      <c r="U56" s="243">
        <f>'[11]DLD A'!H69</f>
        <v>8</v>
      </c>
      <c r="V56" s="241"/>
      <c r="W56" s="229">
        <f t="shared" si="7"/>
        <v>8</v>
      </c>
      <c r="X56" s="229">
        <f t="shared" si="3"/>
        <v>66</v>
      </c>
      <c r="Y56" s="244">
        <f t="shared" si="4"/>
        <v>0</v>
      </c>
      <c r="Z56" s="244">
        <f t="shared" si="5"/>
        <v>46</v>
      </c>
      <c r="AA56" s="244">
        <f t="shared" si="6"/>
        <v>20</v>
      </c>
      <c r="AB56" s="244">
        <f t="shared" si="8"/>
        <v>0</v>
      </c>
      <c r="AC56" s="244" t="str">
        <f t="shared" si="9"/>
        <v>Y</v>
      </c>
      <c r="AD56" s="244" t="str">
        <f t="shared" si="10"/>
        <v>Y</v>
      </c>
      <c r="AE56" s="282">
        <f t="shared" si="11"/>
        <v>65.714285714285708</v>
      </c>
      <c r="AF56" s="282">
        <f t="shared" si="12"/>
        <v>66.666666666666657</v>
      </c>
      <c r="AG56" s="222"/>
    </row>
    <row r="57" spans="1:33" ht="15.75" x14ac:dyDescent="0.25">
      <c r="A57" s="251"/>
      <c r="B57" s="252"/>
      <c r="C57" s="166"/>
      <c r="D57" s="166"/>
      <c r="E57" s="168"/>
      <c r="F57" s="253"/>
      <c r="G57" s="229"/>
      <c r="H57" s="249"/>
      <c r="I57" s="249"/>
      <c r="J57" s="249"/>
      <c r="K57" s="249"/>
      <c r="L57" s="229"/>
      <c r="M57" s="168"/>
      <c r="N57" s="253"/>
      <c r="O57" s="229"/>
      <c r="P57" s="249"/>
      <c r="Q57" s="249"/>
      <c r="R57" s="249"/>
      <c r="S57" s="249"/>
      <c r="T57" s="229"/>
      <c r="U57" s="243"/>
      <c r="V57" s="241"/>
      <c r="W57" s="229"/>
      <c r="X57" s="229"/>
      <c r="Y57" s="244"/>
      <c r="Z57" s="244"/>
      <c r="AA57" s="244"/>
      <c r="AB57" s="244"/>
      <c r="AC57" s="244"/>
      <c r="AD57" s="244"/>
      <c r="AE57" s="282"/>
      <c r="AF57" s="282"/>
      <c r="AG57" s="222"/>
    </row>
    <row r="58" spans="1:33" ht="15.75" x14ac:dyDescent="0.25">
      <c r="A58" s="251"/>
      <c r="B58" s="252"/>
      <c r="C58" s="253"/>
      <c r="D58" s="254"/>
      <c r="E58" s="254"/>
      <c r="F58" s="255"/>
      <c r="G58" s="255"/>
      <c r="H58" s="253"/>
      <c r="I58" s="253"/>
      <c r="J58" s="253"/>
      <c r="K58" s="253"/>
      <c r="L58" s="253"/>
      <c r="M58" s="253"/>
      <c r="N58" s="253"/>
      <c r="O58" s="253"/>
      <c r="P58" s="249"/>
      <c r="Q58" s="249"/>
      <c r="R58" s="249"/>
      <c r="S58" s="249"/>
      <c r="T58" s="257"/>
      <c r="U58" s="257"/>
      <c r="V58" s="257"/>
      <c r="W58" s="257"/>
      <c r="X58" s="258"/>
      <c r="Y58" s="258"/>
      <c r="Z58" s="258"/>
      <c r="AA58" s="258"/>
      <c r="AB58" s="259"/>
      <c r="AC58" s="259"/>
      <c r="AD58" s="259"/>
      <c r="AE58" s="222"/>
      <c r="AF58" s="222"/>
      <c r="AG58" s="222"/>
    </row>
    <row r="59" spans="1:33" ht="15.75" x14ac:dyDescent="0.25">
      <c r="A59" s="251"/>
      <c r="B59" s="252"/>
      <c r="C59" s="529" t="s">
        <v>243</v>
      </c>
      <c r="D59" s="530"/>
      <c r="E59" s="531"/>
      <c r="F59" s="260" t="str">
        <f>Y11</f>
        <v>PLO1</v>
      </c>
      <c r="G59" s="261">
        <f>COUNTIF($AB$13:$AB$55,"Y")</f>
        <v>0</v>
      </c>
      <c r="H59" s="261">
        <f>COUNTIF($AB$13:$AB$55,"N")</f>
        <v>0</v>
      </c>
      <c r="J59" s="253"/>
      <c r="K59" s="253"/>
      <c r="L59" s="253"/>
      <c r="M59" s="253"/>
      <c r="N59" s="253"/>
      <c r="O59" s="253"/>
      <c r="P59" s="256"/>
      <c r="Q59" s="253"/>
      <c r="R59" s="253"/>
      <c r="S59" s="257"/>
      <c r="T59" s="257"/>
      <c r="U59" s="257"/>
      <c r="V59" s="257"/>
      <c r="W59" s="257"/>
      <c r="X59" s="258"/>
      <c r="Y59" s="258"/>
      <c r="Z59" s="258"/>
      <c r="AA59" s="258"/>
      <c r="AB59" s="259"/>
      <c r="AC59" s="259"/>
      <c r="AD59" s="259"/>
      <c r="AE59" s="222"/>
      <c r="AF59" s="222"/>
      <c r="AG59" s="222"/>
    </row>
    <row r="60" spans="1:33" x14ac:dyDescent="0.25">
      <c r="A60" s="251"/>
      <c r="B60" s="252"/>
      <c r="C60" s="532"/>
      <c r="D60" s="533"/>
      <c r="E60" s="534"/>
      <c r="F60" s="260" t="str">
        <f>Z11</f>
        <v>PLO2</v>
      </c>
      <c r="G60" s="261">
        <f>COUNTIF($AC$13:$AC$55,"Y")</f>
        <v>28</v>
      </c>
      <c r="H60" s="261">
        <f>COUNTIF($AC$13:$AC$55,"N")</f>
        <v>15</v>
      </c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</row>
    <row r="61" spans="1:33" x14ac:dyDescent="0.25">
      <c r="A61" s="251"/>
      <c r="B61" s="252"/>
      <c r="C61" s="535"/>
      <c r="D61" s="536"/>
      <c r="E61" s="537"/>
      <c r="F61" s="260" t="str">
        <f>AA11</f>
        <v>PLO4</v>
      </c>
      <c r="G61" s="261">
        <f>COUNTIF($AD$13:$AD$55,"Y")</f>
        <v>26</v>
      </c>
      <c r="H61" s="261">
        <f>COUNTIF($AD$13:$AD$55,"N")</f>
        <v>17</v>
      </c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</row>
    <row r="62" spans="1:33" x14ac:dyDescent="0.25">
      <c r="A62" s="262">
        <v>9</v>
      </c>
      <c r="B62" s="263" t="s">
        <v>244</v>
      </c>
      <c r="C62" s="222"/>
      <c r="D62" s="264"/>
      <c r="E62" s="264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</row>
    <row r="63" spans="1:33" ht="33.950000000000003" customHeight="1" x14ac:dyDescent="0.25">
      <c r="A63" s="262">
        <v>10</v>
      </c>
      <c r="B63" s="263" t="s">
        <v>245</v>
      </c>
      <c r="C63" s="222"/>
      <c r="D63" s="264"/>
      <c r="E63" s="264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</row>
    <row r="64" spans="1:33" x14ac:dyDescent="0.25">
      <c r="A64" s="262">
        <v>11</v>
      </c>
      <c r="B64" s="263" t="s">
        <v>246</v>
      </c>
      <c r="C64" s="222"/>
      <c r="D64" s="264"/>
      <c r="E64" s="264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</row>
    <row r="65" spans="1:33" ht="31.5" customHeight="1" x14ac:dyDescent="0.25">
      <c r="A65" s="262">
        <v>12</v>
      </c>
      <c r="B65" s="263" t="s">
        <v>247</v>
      </c>
      <c r="C65" s="222"/>
      <c r="D65" s="264"/>
      <c r="E65" s="264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</row>
    <row r="66" spans="1:33" x14ac:dyDescent="0.25">
      <c r="A66" s="262">
        <v>13</v>
      </c>
      <c r="B66" s="263" t="s">
        <v>248</v>
      </c>
      <c r="C66" s="222"/>
      <c r="D66" s="264"/>
      <c r="E66" s="264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</row>
    <row r="67" spans="1:33" x14ac:dyDescent="0.25">
      <c r="A67" s="262">
        <v>14</v>
      </c>
      <c r="B67" s="263" t="s">
        <v>249</v>
      </c>
      <c r="C67" s="222"/>
      <c r="D67" s="264"/>
      <c r="E67" s="264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</row>
    <row r="68" spans="1:33" x14ac:dyDescent="0.25">
      <c r="A68" s="262">
        <v>15</v>
      </c>
      <c r="B68" s="263" t="s">
        <v>250</v>
      </c>
      <c r="C68" s="222"/>
      <c r="D68" s="264"/>
      <c r="E68" s="264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</row>
    <row r="69" spans="1:33" ht="32.1" customHeight="1" x14ac:dyDescent="0.25">
      <c r="A69" s="262">
        <v>16</v>
      </c>
      <c r="B69" s="263" t="s">
        <v>251</v>
      </c>
      <c r="C69" s="222"/>
      <c r="D69" s="264"/>
      <c r="E69" s="264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</row>
    <row r="70" spans="1:33" x14ac:dyDescent="0.25">
      <c r="A70" s="262">
        <v>17</v>
      </c>
      <c r="B70" s="263" t="s">
        <v>252</v>
      </c>
      <c r="C70" s="222"/>
      <c r="D70" s="264"/>
      <c r="E70" s="264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</row>
    <row r="71" spans="1:33" x14ac:dyDescent="0.25">
      <c r="A71" s="262">
        <v>18</v>
      </c>
      <c r="B71" s="263" t="s">
        <v>253</v>
      </c>
      <c r="C71" s="222"/>
      <c r="AE71" s="222"/>
      <c r="AF71" s="222"/>
      <c r="AG71" s="222"/>
    </row>
    <row r="72" spans="1:33" x14ac:dyDescent="0.25">
      <c r="A72" s="262">
        <v>19</v>
      </c>
      <c r="B72" s="263" t="s">
        <v>254</v>
      </c>
      <c r="C72" s="222"/>
      <c r="AE72" s="222"/>
      <c r="AF72" s="222"/>
      <c r="AG72" s="222"/>
    </row>
    <row r="73" spans="1:33" x14ac:dyDescent="0.25">
      <c r="A73" s="262">
        <v>20</v>
      </c>
      <c r="B73" s="263" t="s">
        <v>255</v>
      </c>
      <c r="C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</row>
    <row r="74" spans="1:33" x14ac:dyDescent="0.25">
      <c r="A74" s="262">
        <v>21</v>
      </c>
      <c r="B74" s="263" t="s">
        <v>256</v>
      </c>
      <c r="C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</row>
    <row r="75" spans="1:33" x14ac:dyDescent="0.25">
      <c r="A75" s="262">
        <v>22</v>
      </c>
      <c r="B75" s="263" t="s">
        <v>257</v>
      </c>
      <c r="C75" s="222"/>
      <c r="D75" s="265"/>
      <c r="E75" s="265"/>
      <c r="F75" s="538" t="s">
        <v>30</v>
      </c>
      <c r="G75" s="539"/>
      <c r="H75" s="539"/>
      <c r="I75" s="539"/>
      <c r="J75" s="539"/>
      <c r="K75" s="539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538" t="s">
        <v>31</v>
      </c>
      <c r="W75" s="538"/>
      <c r="X75" s="538"/>
      <c r="Y75" s="538"/>
      <c r="Z75" s="538"/>
      <c r="AA75" s="538"/>
      <c r="AB75" s="538"/>
      <c r="AC75" s="265"/>
      <c r="AD75" s="265"/>
      <c r="AE75" s="222"/>
      <c r="AF75" s="222"/>
      <c r="AG75" s="222"/>
    </row>
    <row r="76" spans="1:33" x14ac:dyDescent="0.25">
      <c r="A76" s="262">
        <v>23</v>
      </c>
      <c r="B76" s="263" t="s">
        <v>258</v>
      </c>
      <c r="C76" s="222"/>
      <c r="D76" s="222"/>
      <c r="E76" s="222"/>
      <c r="F76" s="539" t="str">
        <f>J5</f>
        <v>Engr. Nashitah Alwaz</v>
      </c>
      <c r="G76" s="539"/>
      <c r="H76" s="539"/>
      <c r="I76" s="539"/>
      <c r="J76" s="539"/>
      <c r="K76" s="539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539" t="s">
        <v>259</v>
      </c>
      <c r="W76" s="539"/>
      <c r="X76" s="539"/>
      <c r="Y76" s="539"/>
      <c r="Z76" s="539"/>
      <c r="AA76" s="539"/>
      <c r="AB76" s="539"/>
      <c r="AC76" s="222"/>
      <c r="AD76" s="222"/>
      <c r="AE76" s="222"/>
      <c r="AF76" s="222"/>
      <c r="AG76" s="222"/>
    </row>
    <row r="77" spans="1:33" x14ac:dyDescent="0.25">
      <c r="A77" s="262">
        <v>24</v>
      </c>
      <c r="B77" s="263" t="s">
        <v>260</v>
      </c>
      <c r="C77" s="222"/>
      <c r="D77" s="264"/>
      <c r="E77" s="264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</row>
    <row r="78" spans="1:33" x14ac:dyDescent="0.25">
      <c r="A78" s="262">
        <v>25</v>
      </c>
      <c r="B78" s="263" t="s">
        <v>261</v>
      </c>
      <c r="C78" s="222"/>
      <c r="D78" s="264"/>
      <c r="E78" s="264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</row>
    <row r="79" spans="1:33" ht="15.75" thickBot="1" x14ac:dyDescent="0.3">
      <c r="A79" s="266">
        <v>26</v>
      </c>
      <c r="B79" s="267" t="s">
        <v>262</v>
      </c>
      <c r="C79" s="222"/>
      <c r="D79" s="264"/>
      <c r="E79" s="264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</row>
    <row r="80" spans="1:33" x14ac:dyDescent="0.25">
      <c r="D80" s="264"/>
      <c r="E80" s="264"/>
    </row>
    <row r="81" spans="4:5" x14ac:dyDescent="0.25">
      <c r="D81" s="264"/>
      <c r="E81" s="264"/>
    </row>
    <row r="82" spans="4:5" x14ac:dyDescent="0.25">
      <c r="D82" s="264"/>
      <c r="E82" s="264"/>
    </row>
    <row r="83" spans="4:5" x14ac:dyDescent="0.25">
      <c r="D83" s="264"/>
      <c r="E83" s="264"/>
    </row>
    <row r="84" spans="4:5" x14ac:dyDescent="0.25">
      <c r="D84" s="264"/>
      <c r="E84" s="264"/>
    </row>
    <row r="85" spans="4:5" x14ac:dyDescent="0.25">
      <c r="D85" s="264"/>
      <c r="E85" s="264"/>
    </row>
    <row r="86" spans="4:5" x14ac:dyDescent="0.25">
      <c r="D86" s="264"/>
      <c r="E86" s="264"/>
    </row>
    <row r="87" spans="4:5" x14ac:dyDescent="0.25">
      <c r="D87" s="264"/>
      <c r="E87" s="264"/>
    </row>
    <row r="88" spans="4:5" x14ac:dyDescent="0.25">
      <c r="D88" s="264"/>
      <c r="E88" s="264"/>
    </row>
    <row r="89" spans="4:5" x14ac:dyDescent="0.25">
      <c r="D89" s="264"/>
      <c r="E89" s="264"/>
    </row>
    <row r="90" spans="4:5" x14ac:dyDescent="0.25">
      <c r="D90" s="264"/>
      <c r="E90" s="264"/>
    </row>
  </sheetData>
  <protectedRanges>
    <protectedRange sqref="P10:S57 E10:F57 H10:K57 M10:N57 U10:V57" name="questions maping clo plo"/>
    <protectedRange sqref="C3:L6" name="Course Information"/>
    <protectedRange sqref="Y11:AA11" name="plo assesment"/>
  </protectedRanges>
  <mergeCells count="38">
    <mergeCell ref="C59:E61"/>
    <mergeCell ref="F75:K75"/>
    <mergeCell ref="V75:AB75"/>
    <mergeCell ref="F76:K76"/>
    <mergeCell ref="V76:AB76"/>
    <mergeCell ref="AE10:AF10"/>
    <mergeCell ref="AB9:AD9"/>
    <mergeCell ref="C10:D10"/>
    <mergeCell ref="X10:X12"/>
    <mergeCell ref="C11:D11"/>
    <mergeCell ref="G11:G12"/>
    <mergeCell ref="L11:L12"/>
    <mergeCell ref="O11:O12"/>
    <mergeCell ref="T11:T12"/>
    <mergeCell ref="W11:W12"/>
    <mergeCell ref="AA7:AD8"/>
    <mergeCell ref="A9:A12"/>
    <mergeCell ref="B9:B12"/>
    <mergeCell ref="C9:D9"/>
    <mergeCell ref="E9:G9"/>
    <mergeCell ref="H9:L9"/>
    <mergeCell ref="M9:O9"/>
    <mergeCell ref="P9:T9"/>
    <mergeCell ref="U9:W9"/>
    <mergeCell ref="Y9:AA9"/>
    <mergeCell ref="A7:D8"/>
    <mergeCell ref="C5:C6"/>
    <mergeCell ref="D5:G5"/>
    <mergeCell ref="H5:I6"/>
    <mergeCell ref="J5:L6"/>
    <mergeCell ref="E6:G6"/>
    <mergeCell ref="C1:AD1"/>
    <mergeCell ref="C2:AD2"/>
    <mergeCell ref="D3:G3"/>
    <mergeCell ref="H3:I4"/>
    <mergeCell ref="J3:L3"/>
    <mergeCell ref="D4:G4"/>
    <mergeCell ref="J4:L4"/>
  </mergeCells>
  <pageMargins left="0.25" right="0.25" top="0.5" bottom="0.75" header="0.3" footer="0.3"/>
  <pageSetup paperSize="9" scale="4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1B53-0C04-4950-A652-395AA975FA10}">
  <dimension ref="A2:V52"/>
  <sheetViews>
    <sheetView topLeftCell="H1" workbookViewId="0">
      <selection activeCell="R6" sqref="R6"/>
    </sheetView>
  </sheetViews>
  <sheetFormatPr defaultRowHeight="15" x14ac:dyDescent="0.25"/>
  <cols>
    <col min="1" max="1" width="15.5703125" customWidth="1"/>
    <col min="2" max="2" width="26.28515625" customWidth="1"/>
    <col min="3" max="3" width="9" customWidth="1"/>
    <col min="4" max="4" width="11.28515625" customWidth="1"/>
    <col min="5" max="5" width="10.28515625" customWidth="1"/>
    <col min="6" max="6" width="9.7109375" customWidth="1"/>
    <col min="7" max="7" width="10.85546875" customWidth="1"/>
    <col min="8" max="8" width="9.28515625" customWidth="1"/>
    <col min="10" max="10" width="11.140625" customWidth="1"/>
    <col min="14" max="14" width="18.28515625" customWidth="1"/>
    <col min="17" max="17" width="17.140625" customWidth="1"/>
  </cols>
  <sheetData>
    <row r="2" spans="1:22" ht="29.25" thickBot="1" x14ac:dyDescent="0.5">
      <c r="A2" s="547" t="s">
        <v>157</v>
      </c>
      <c r="B2" s="547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22" ht="18.75" x14ac:dyDescent="0.25">
      <c r="A3" s="286"/>
      <c r="B3" s="287"/>
      <c r="C3" s="558" t="s">
        <v>179</v>
      </c>
      <c r="D3" s="559"/>
      <c r="E3" s="559"/>
      <c r="F3" s="559"/>
      <c r="G3" s="559"/>
      <c r="H3" s="559"/>
      <c r="I3" s="560"/>
      <c r="J3" s="561" t="s">
        <v>280</v>
      </c>
      <c r="K3" s="559"/>
      <c r="L3" s="559"/>
      <c r="M3" s="559"/>
      <c r="N3" s="560"/>
      <c r="O3" s="199"/>
      <c r="P3" s="199"/>
      <c r="Q3" s="212"/>
    </row>
    <row r="4" spans="1:22" ht="24" customHeight="1" x14ac:dyDescent="0.25">
      <c r="A4" s="291"/>
      <c r="C4" s="549" t="s">
        <v>264</v>
      </c>
      <c r="D4" s="550"/>
      <c r="E4" s="551" t="s">
        <v>162</v>
      </c>
      <c r="F4" s="551"/>
      <c r="G4" s="459" t="s">
        <v>273</v>
      </c>
      <c r="H4" s="461"/>
      <c r="I4" s="459" t="s">
        <v>274</v>
      </c>
      <c r="J4" s="461"/>
      <c r="K4" s="459" t="s">
        <v>277</v>
      </c>
      <c r="L4" s="460"/>
      <c r="M4" s="461"/>
      <c r="N4" s="200" t="s">
        <v>164</v>
      </c>
      <c r="O4" s="200"/>
      <c r="P4" s="200"/>
      <c r="Q4" s="212"/>
    </row>
    <row r="5" spans="1:22" ht="111" customHeight="1" x14ac:dyDescent="0.35">
      <c r="A5" s="293"/>
      <c r="B5" s="202"/>
      <c r="C5" s="545" t="s">
        <v>266</v>
      </c>
      <c r="D5" s="546"/>
      <c r="E5" s="546" t="s">
        <v>265</v>
      </c>
      <c r="F5" s="546"/>
      <c r="G5" s="552" t="s">
        <v>272</v>
      </c>
      <c r="H5" s="555"/>
      <c r="I5" s="555" t="s">
        <v>275</v>
      </c>
      <c r="J5" s="555"/>
      <c r="K5" s="546" t="s">
        <v>276</v>
      </c>
      <c r="L5" s="546"/>
      <c r="M5" s="546"/>
      <c r="N5" s="305" t="s">
        <v>279</v>
      </c>
      <c r="O5" s="305"/>
      <c r="P5" s="305"/>
      <c r="Q5" s="212"/>
      <c r="S5" s="450" t="s">
        <v>172</v>
      </c>
      <c r="T5" s="451"/>
      <c r="U5" s="451"/>
      <c r="V5" s="451"/>
    </row>
    <row r="6" spans="1:22" ht="15.75" x14ac:dyDescent="0.25">
      <c r="A6" s="293"/>
      <c r="B6" s="202"/>
      <c r="C6" s="285" t="s">
        <v>267</v>
      </c>
      <c r="D6" s="205" t="s">
        <v>268</v>
      </c>
      <c r="E6" s="205" t="s">
        <v>267</v>
      </c>
      <c r="F6" s="205" t="s">
        <v>270</v>
      </c>
      <c r="G6" s="205" t="s">
        <v>267</v>
      </c>
      <c r="H6" s="205" t="s">
        <v>270</v>
      </c>
      <c r="I6" s="205" t="s">
        <v>267</v>
      </c>
      <c r="J6" s="205" t="s">
        <v>270</v>
      </c>
      <c r="K6" s="205" t="s">
        <v>278</v>
      </c>
      <c r="L6" s="205" t="s">
        <v>267</v>
      </c>
      <c r="M6" s="205" t="s">
        <v>268</v>
      </c>
      <c r="N6" s="205" t="s">
        <v>177</v>
      </c>
      <c r="O6" s="205"/>
      <c r="P6" s="205"/>
      <c r="Q6" s="212"/>
      <c r="S6" s="206" t="s">
        <v>177</v>
      </c>
      <c r="T6" s="206" t="s">
        <v>173</v>
      </c>
      <c r="U6" s="206" t="s">
        <v>174</v>
      </c>
      <c r="V6" s="206" t="s">
        <v>180</v>
      </c>
    </row>
    <row r="7" spans="1:22" ht="18.75" x14ac:dyDescent="0.3">
      <c r="A7" s="295" t="s">
        <v>178</v>
      </c>
      <c r="B7" s="207" t="s">
        <v>27</v>
      </c>
      <c r="C7" s="270">
        <v>100</v>
      </c>
      <c r="D7" s="208">
        <v>100</v>
      </c>
      <c r="E7" s="284">
        <v>100</v>
      </c>
      <c r="F7" s="284">
        <v>100</v>
      </c>
      <c r="G7" s="284">
        <v>100</v>
      </c>
      <c r="H7" s="208">
        <v>100</v>
      </c>
      <c r="I7" s="284">
        <v>100</v>
      </c>
      <c r="J7" s="284">
        <v>100</v>
      </c>
      <c r="K7" s="208">
        <v>100</v>
      </c>
      <c r="L7" s="208">
        <v>100</v>
      </c>
      <c r="M7" s="208">
        <v>100</v>
      </c>
      <c r="N7" s="208">
        <v>100</v>
      </c>
      <c r="O7" s="208"/>
      <c r="P7" s="208"/>
      <c r="Q7" s="212"/>
      <c r="S7" s="209">
        <f>SUM(K7,N7)/2</f>
        <v>100</v>
      </c>
      <c r="T7" s="209">
        <f>SUM(C7,E7,G7,I7,L7)/5</f>
        <v>100</v>
      </c>
      <c r="U7" s="209">
        <f>SUM(D7,M7)/2</f>
        <v>100</v>
      </c>
      <c r="V7" s="209">
        <f>SUM(F7,H7,J7)/3</f>
        <v>100</v>
      </c>
    </row>
    <row r="8" spans="1:22" ht="18.75" x14ac:dyDescent="0.3">
      <c r="A8" s="296" t="s">
        <v>51</v>
      </c>
      <c r="B8" s="166" t="s">
        <v>52</v>
      </c>
      <c r="C8" s="272">
        <f>'Networking 2nd'!AE13</f>
        <v>68.333333333333329</v>
      </c>
      <c r="D8" s="212">
        <f>'Networking 2nd'!AF13</f>
        <v>82.5</v>
      </c>
      <c r="E8" s="284">
        <f>'Linear Algebra 2'!AE13</f>
        <v>74.285714285714292</v>
      </c>
      <c r="F8" s="284">
        <f>'Linear Algebra 2'!AF13</f>
        <v>76.666666666666671</v>
      </c>
      <c r="G8" s="284">
        <f>'Object Oriented Programming 2'!AE13</f>
        <v>53.333333333333336</v>
      </c>
      <c r="H8" s="208">
        <f>'Object Oriented Programming 2'!AF13</f>
        <v>67.5</v>
      </c>
      <c r="I8" s="284">
        <f>'Digital Logic Design 2'!AE13</f>
        <v>45.714285714285715</v>
      </c>
      <c r="J8" s="284">
        <f>'Digital Logic Design 2'!AF13</f>
        <v>56.666666666666664</v>
      </c>
      <c r="K8" s="212">
        <f>'Expository Writing 2'!AE13</f>
        <v>48</v>
      </c>
      <c r="L8" s="212">
        <f>'Expository Writing 2'!AF13</f>
        <v>65</v>
      </c>
      <c r="M8" s="212">
        <f>'Expository Writing 2'!AG13</f>
        <v>50</v>
      </c>
      <c r="N8" s="557">
        <f>'Islamic Studies 2'!Y13</f>
        <v>79</v>
      </c>
      <c r="O8" s="212"/>
      <c r="P8" s="212"/>
      <c r="Q8" s="212"/>
      <c r="S8" s="209">
        <f t="shared" ref="S8:S51" si="0">SUM(K8,N8)/2</f>
        <v>63.5</v>
      </c>
      <c r="T8" s="209">
        <f t="shared" ref="T8:T51" si="1">SUM(C8,E8,G8,I8,L8)/5</f>
        <v>61.333333333333336</v>
      </c>
      <c r="U8" s="209">
        <f t="shared" ref="U8:U51" si="2">SUM(D8,M8)/2</f>
        <v>66.25</v>
      </c>
      <c r="V8" s="209">
        <f t="shared" ref="V8:V51" si="3">SUM(F8,H8,J8)/3</f>
        <v>66.944444444444443</v>
      </c>
    </row>
    <row r="9" spans="1:22" ht="18.75" x14ac:dyDescent="0.3">
      <c r="A9" s="296" t="s">
        <v>54</v>
      </c>
      <c r="B9" s="166" t="s">
        <v>55</v>
      </c>
      <c r="C9" s="272">
        <f>'Networking 2nd'!AE14</f>
        <v>51.666666666666671</v>
      </c>
      <c r="D9" s="212">
        <f>'Networking 2nd'!AF14</f>
        <v>75</v>
      </c>
      <c r="E9" s="284">
        <f>'Linear Algebra 2'!AE14</f>
        <v>62.857142857142854</v>
      </c>
      <c r="F9" s="284">
        <f>'Linear Algebra 2'!AF14</f>
        <v>70</v>
      </c>
      <c r="G9" s="284">
        <f>'Object Oriented Programming 2'!AE14</f>
        <v>46.666666666666664</v>
      </c>
      <c r="H9" s="208">
        <f>'Object Oriented Programming 2'!AF14</f>
        <v>65</v>
      </c>
      <c r="I9" s="284">
        <f>'Digital Logic Design 2'!AE14</f>
        <v>37.142857142857146</v>
      </c>
      <c r="J9" s="284">
        <f>'Digital Logic Design 2'!AF14</f>
        <v>43.333333333333336</v>
      </c>
      <c r="K9" s="212">
        <f>'Expository Writing 2'!AE14</f>
        <v>32</v>
      </c>
      <c r="L9" s="212">
        <f>'Expository Writing 2'!AF14</f>
        <v>40</v>
      </c>
      <c r="M9" s="212">
        <f>'Expository Writing 2'!AG14</f>
        <v>33.333333333333329</v>
      </c>
      <c r="N9" s="557">
        <f>'Islamic Studies 2'!Y14</f>
        <v>76</v>
      </c>
      <c r="O9" s="212"/>
      <c r="P9" s="212"/>
      <c r="Q9" s="212"/>
      <c r="S9" s="209">
        <f t="shared" si="0"/>
        <v>54</v>
      </c>
      <c r="T9" s="209">
        <f t="shared" si="1"/>
        <v>47.666666666666664</v>
      </c>
      <c r="U9" s="209">
        <f t="shared" si="2"/>
        <v>54.166666666666664</v>
      </c>
      <c r="V9" s="209">
        <f t="shared" si="3"/>
        <v>59.44444444444445</v>
      </c>
    </row>
    <row r="10" spans="1:22" ht="18.75" x14ac:dyDescent="0.3">
      <c r="A10" s="296" t="s">
        <v>57</v>
      </c>
      <c r="B10" s="166" t="s">
        <v>58</v>
      </c>
      <c r="C10" s="272">
        <f>'Networking 2nd'!AE15</f>
        <v>71.666666666666671</v>
      </c>
      <c r="D10" s="212">
        <f>'Networking 2nd'!AF15</f>
        <v>67.5</v>
      </c>
      <c r="E10" s="284">
        <f>'Linear Algebra 2'!AE15</f>
        <v>58.571428571428577</v>
      </c>
      <c r="F10" s="284">
        <f>'Linear Algebra 2'!AF15</f>
        <v>76.666666666666671</v>
      </c>
      <c r="G10" s="284">
        <f>'Object Oriented Programming 2'!AE15</f>
        <v>53.333333333333336</v>
      </c>
      <c r="H10" s="208">
        <f>'Object Oriented Programming 2'!AF15</f>
        <v>82.5</v>
      </c>
      <c r="I10" s="284">
        <f>'Digital Logic Design 2'!AE15</f>
        <v>44.285714285714285</v>
      </c>
      <c r="J10" s="284">
        <f>'Digital Logic Design 2'!AF15</f>
        <v>46.666666666666664</v>
      </c>
      <c r="K10" s="212">
        <f>'Expository Writing 2'!AE15</f>
        <v>44</v>
      </c>
      <c r="L10" s="212">
        <f>'Expository Writing 2'!AF15</f>
        <v>55.000000000000007</v>
      </c>
      <c r="M10" s="212">
        <f>'Expository Writing 2'!AG15</f>
        <v>43.333333333333336</v>
      </c>
      <c r="N10" s="557">
        <f>'Islamic Studies 2'!Y15</f>
        <v>68</v>
      </c>
      <c r="O10" s="212"/>
      <c r="P10" s="212"/>
      <c r="Q10" s="212"/>
      <c r="S10" s="209">
        <f t="shared" si="0"/>
        <v>56</v>
      </c>
      <c r="T10" s="209">
        <f t="shared" si="1"/>
        <v>56.571428571428577</v>
      </c>
      <c r="U10" s="209">
        <f t="shared" si="2"/>
        <v>55.416666666666671</v>
      </c>
      <c r="V10" s="209">
        <f t="shared" si="3"/>
        <v>68.611111111111114</v>
      </c>
    </row>
    <row r="11" spans="1:22" ht="18.75" x14ac:dyDescent="0.3">
      <c r="A11" s="296" t="s">
        <v>59</v>
      </c>
      <c r="B11" s="166" t="s">
        <v>60</v>
      </c>
      <c r="C11" s="272">
        <f>'Networking 2nd'!AE16</f>
        <v>66.666666666666657</v>
      </c>
      <c r="D11" s="212">
        <f>'Networking 2nd'!AF16</f>
        <v>77.5</v>
      </c>
      <c r="E11" s="284">
        <f>'Linear Algebra 2'!AE16</f>
        <v>67.142857142857139</v>
      </c>
      <c r="F11" s="284">
        <f>'Linear Algebra 2'!AF16</f>
        <v>90</v>
      </c>
      <c r="G11" s="284">
        <f>'Object Oriented Programming 2'!AE16</f>
        <v>53.333333333333336</v>
      </c>
      <c r="H11" s="208">
        <f>'Object Oriented Programming 2'!AF16</f>
        <v>80</v>
      </c>
      <c r="I11" s="284">
        <f>'Digital Logic Design 2'!AE16</f>
        <v>54.285714285714285</v>
      </c>
      <c r="J11" s="284">
        <f>'Digital Logic Design 2'!AF16</f>
        <v>46.666666666666664</v>
      </c>
      <c r="K11" s="212">
        <f>'Expository Writing 2'!AE16</f>
        <v>44</v>
      </c>
      <c r="L11" s="212">
        <f>'Expository Writing 2'!AF16</f>
        <v>35</v>
      </c>
      <c r="M11" s="212">
        <f>'Expository Writing 2'!AG16</f>
        <v>46.666666666666664</v>
      </c>
      <c r="N11" s="557">
        <f>'Islamic Studies 2'!Y16</f>
        <v>78</v>
      </c>
      <c r="O11" s="212"/>
      <c r="P11" s="212"/>
      <c r="Q11" s="212"/>
      <c r="S11" s="209">
        <f t="shared" si="0"/>
        <v>61</v>
      </c>
      <c r="T11" s="209">
        <f t="shared" si="1"/>
        <v>55.285714285714292</v>
      </c>
      <c r="U11" s="209">
        <f t="shared" si="2"/>
        <v>62.083333333333329</v>
      </c>
      <c r="V11" s="209">
        <f t="shared" si="3"/>
        <v>72.222222222222214</v>
      </c>
    </row>
    <row r="12" spans="1:22" ht="18.75" x14ac:dyDescent="0.3">
      <c r="A12" s="296" t="s">
        <v>62</v>
      </c>
      <c r="B12" s="166" t="s">
        <v>63</v>
      </c>
      <c r="C12" s="272">
        <f>'Networking 2nd'!AE17</f>
        <v>65</v>
      </c>
      <c r="D12" s="212">
        <f>'Networking 2nd'!AF17</f>
        <v>67.5</v>
      </c>
      <c r="E12" s="284">
        <f>'Linear Algebra 2'!AE17</f>
        <v>62.857142857142854</v>
      </c>
      <c r="F12" s="284">
        <f>'Linear Algebra 2'!AF17</f>
        <v>90</v>
      </c>
      <c r="G12" s="284">
        <f>'Object Oriented Programming 2'!AE17</f>
        <v>51.666666666666671</v>
      </c>
      <c r="H12" s="208">
        <f>'Object Oriented Programming 2'!AF17</f>
        <v>77.5</v>
      </c>
      <c r="I12" s="284">
        <f>'Digital Logic Design 2'!AE17</f>
        <v>57.142857142857139</v>
      </c>
      <c r="J12" s="284">
        <f>'Digital Logic Design 2'!AF17</f>
        <v>46.666666666666664</v>
      </c>
      <c r="K12" s="212">
        <f>'Expository Writing 2'!AE17</f>
        <v>38</v>
      </c>
      <c r="L12" s="212">
        <f>'Expository Writing 2'!AF17</f>
        <v>40</v>
      </c>
      <c r="M12" s="212">
        <f>'Expository Writing 2'!AG17</f>
        <v>33.333333333333329</v>
      </c>
      <c r="N12" s="557">
        <f>'Islamic Studies 2'!Y17</f>
        <v>72</v>
      </c>
      <c r="O12" s="212"/>
      <c r="P12" s="212"/>
      <c r="Q12" s="212"/>
      <c r="S12" s="209">
        <f t="shared" si="0"/>
        <v>55</v>
      </c>
      <c r="T12" s="209">
        <f t="shared" si="1"/>
        <v>55.333333333333329</v>
      </c>
      <c r="U12" s="209">
        <f t="shared" si="2"/>
        <v>50.416666666666664</v>
      </c>
      <c r="V12" s="209">
        <f t="shared" si="3"/>
        <v>71.388888888888886</v>
      </c>
    </row>
    <row r="13" spans="1:22" ht="18.75" x14ac:dyDescent="0.3">
      <c r="A13" s="296" t="s">
        <v>65</v>
      </c>
      <c r="B13" s="166" t="s">
        <v>66</v>
      </c>
      <c r="C13" s="272">
        <f>'Networking 2nd'!AE18</f>
        <v>71.666666666666671</v>
      </c>
      <c r="D13" s="212">
        <f>'Networking 2nd'!AF18</f>
        <v>95</v>
      </c>
      <c r="E13" s="284">
        <f>'Linear Algebra 2'!AE18</f>
        <v>77.142857142857153</v>
      </c>
      <c r="F13" s="284">
        <f>'Linear Algebra 2'!AF18</f>
        <v>86.666666666666671</v>
      </c>
      <c r="G13" s="284">
        <f>'Object Oriented Programming 2'!AE18</f>
        <v>70</v>
      </c>
      <c r="H13" s="208">
        <f>'Object Oriented Programming 2'!AF18</f>
        <v>82.5</v>
      </c>
      <c r="I13" s="284">
        <f>'Digital Logic Design 2'!AE18</f>
        <v>82.857142857142861</v>
      </c>
      <c r="J13" s="284">
        <f>'Digital Logic Design 2'!AF18</f>
        <v>90</v>
      </c>
      <c r="K13" s="212">
        <f>'Expository Writing 2'!AE18</f>
        <v>60</v>
      </c>
      <c r="L13" s="212">
        <f>'Expository Writing 2'!AF18</f>
        <v>70</v>
      </c>
      <c r="M13" s="212">
        <f>'Expository Writing 2'!AG18</f>
        <v>40</v>
      </c>
      <c r="N13" s="557">
        <f>'Islamic Studies 2'!Y18</f>
        <v>80</v>
      </c>
      <c r="O13" s="212"/>
      <c r="P13" s="212"/>
      <c r="Q13" s="212"/>
      <c r="S13" s="209">
        <f t="shared" si="0"/>
        <v>70</v>
      </c>
      <c r="T13" s="209">
        <f t="shared" si="1"/>
        <v>74.333333333333343</v>
      </c>
      <c r="U13" s="209">
        <f t="shared" si="2"/>
        <v>67.5</v>
      </c>
      <c r="V13" s="209">
        <f t="shared" si="3"/>
        <v>86.3888888888889</v>
      </c>
    </row>
    <row r="14" spans="1:22" ht="18.75" x14ac:dyDescent="0.3">
      <c r="A14" s="296" t="s">
        <v>68</v>
      </c>
      <c r="B14" s="166" t="s">
        <v>69</v>
      </c>
      <c r="C14" s="272">
        <f>'Networking 2nd'!AE19</f>
        <v>78.333333333333329</v>
      </c>
      <c r="D14" s="212">
        <f>'Networking 2nd'!AF19</f>
        <v>77.5</v>
      </c>
      <c r="E14" s="284">
        <f>'Linear Algebra 2'!AE19</f>
        <v>84.285714285714292</v>
      </c>
      <c r="F14" s="284">
        <f>'Linear Algebra 2'!AF19</f>
        <v>93.333333333333329</v>
      </c>
      <c r="G14" s="284">
        <f>'Object Oriented Programming 2'!AE19</f>
        <v>60</v>
      </c>
      <c r="H14" s="208">
        <f>'Object Oriented Programming 2'!AF19</f>
        <v>77.5</v>
      </c>
      <c r="I14" s="284">
        <f>'Digital Logic Design 2'!AE19</f>
        <v>54.285714285714285</v>
      </c>
      <c r="J14" s="284">
        <f>'Digital Logic Design 2'!AF19</f>
        <v>60</v>
      </c>
      <c r="K14" s="212">
        <f>'Expository Writing 2'!AE19</f>
        <v>66</v>
      </c>
      <c r="L14" s="212">
        <f>'Expository Writing 2'!AF19</f>
        <v>60</v>
      </c>
      <c r="M14" s="212">
        <f>'Expository Writing 2'!AG19</f>
        <v>43.333333333333336</v>
      </c>
      <c r="N14" s="557">
        <f>'Islamic Studies 2'!Y19</f>
        <v>80</v>
      </c>
      <c r="O14" s="212"/>
      <c r="P14" s="212"/>
      <c r="Q14" s="212"/>
      <c r="S14" s="209">
        <f t="shared" si="0"/>
        <v>73</v>
      </c>
      <c r="T14" s="209">
        <f t="shared" si="1"/>
        <v>67.38095238095238</v>
      </c>
      <c r="U14" s="209">
        <f t="shared" si="2"/>
        <v>60.416666666666671</v>
      </c>
      <c r="V14" s="209">
        <f t="shared" si="3"/>
        <v>76.944444444444443</v>
      </c>
    </row>
    <row r="15" spans="1:22" ht="18.75" x14ac:dyDescent="0.3">
      <c r="A15" s="296" t="s">
        <v>70</v>
      </c>
      <c r="B15" s="166" t="s">
        <v>71</v>
      </c>
      <c r="C15" s="272">
        <f>'Networking 2nd'!AE20</f>
        <v>0</v>
      </c>
      <c r="D15" s="212">
        <f>'Networking 2nd'!AF20</f>
        <v>0</v>
      </c>
      <c r="E15" s="284">
        <f>'Linear Algebra 2'!AE20</f>
        <v>0</v>
      </c>
      <c r="F15" s="284">
        <f>'Linear Algebra 2'!AF20</f>
        <v>0</v>
      </c>
      <c r="G15" s="284">
        <f>'Object Oriented Programming 2'!AE20</f>
        <v>0</v>
      </c>
      <c r="H15" s="208">
        <f>'Object Oriented Programming 2'!AF20</f>
        <v>0</v>
      </c>
      <c r="I15" s="284">
        <f>'Digital Logic Design 2'!AE20</f>
        <v>0</v>
      </c>
      <c r="J15" s="284">
        <f>'Digital Logic Design 2'!AF20</f>
        <v>0</v>
      </c>
      <c r="K15" s="212">
        <f>'Expository Writing 2'!AE20</f>
        <v>0</v>
      </c>
      <c r="L15" s="212">
        <f>'Expository Writing 2'!AF20</f>
        <v>0</v>
      </c>
      <c r="M15" s="212">
        <f>'Expository Writing 2'!AG20</f>
        <v>0</v>
      </c>
      <c r="N15" s="557">
        <f>'Islamic Studies 2'!Y20</f>
        <v>0</v>
      </c>
      <c r="O15" s="212"/>
      <c r="P15" s="212"/>
      <c r="Q15" s="212"/>
      <c r="S15" s="209">
        <f t="shared" si="0"/>
        <v>0</v>
      </c>
      <c r="T15" s="209">
        <f t="shared" si="1"/>
        <v>0</v>
      </c>
      <c r="U15" s="209">
        <f t="shared" si="2"/>
        <v>0</v>
      </c>
      <c r="V15" s="209">
        <f t="shared" si="3"/>
        <v>0</v>
      </c>
    </row>
    <row r="16" spans="1:22" ht="18.75" x14ac:dyDescent="0.3">
      <c r="A16" s="296" t="s">
        <v>73</v>
      </c>
      <c r="B16" s="166" t="s">
        <v>74</v>
      </c>
      <c r="C16" s="272">
        <f>'Networking 2nd'!AE21</f>
        <v>68.333333333333329</v>
      </c>
      <c r="D16" s="212">
        <f>'Networking 2nd'!AF21</f>
        <v>62.5</v>
      </c>
      <c r="E16" s="284">
        <f>'Linear Algebra 2'!AE21</f>
        <v>62.857142857142854</v>
      </c>
      <c r="F16" s="284">
        <f>'Linear Algebra 2'!AF21</f>
        <v>53.333333333333336</v>
      </c>
      <c r="G16" s="284">
        <f>'Object Oriented Programming 2'!AE21</f>
        <v>56.666666666666664</v>
      </c>
      <c r="H16" s="208">
        <f>'Object Oriented Programming 2'!AF21</f>
        <v>75</v>
      </c>
      <c r="I16" s="284">
        <f>'Digital Logic Design 2'!AE21</f>
        <v>58.571428571428577</v>
      </c>
      <c r="J16" s="284">
        <f>'Digital Logic Design 2'!AF21</f>
        <v>46.666666666666664</v>
      </c>
      <c r="K16" s="212">
        <f>'Expository Writing 2'!AE21</f>
        <v>64</v>
      </c>
      <c r="L16" s="212">
        <f>'Expository Writing 2'!AF21</f>
        <v>65</v>
      </c>
      <c r="M16" s="212">
        <f>'Expository Writing 2'!AG21</f>
        <v>40</v>
      </c>
      <c r="N16" s="557">
        <f>'Islamic Studies 2'!Y21</f>
        <v>62</v>
      </c>
      <c r="O16" s="212"/>
      <c r="P16" s="212"/>
      <c r="Q16" s="212"/>
      <c r="S16" s="209">
        <f t="shared" si="0"/>
        <v>63</v>
      </c>
      <c r="T16" s="209">
        <f t="shared" si="1"/>
        <v>62.285714285714292</v>
      </c>
      <c r="U16" s="209">
        <f t="shared" si="2"/>
        <v>51.25</v>
      </c>
      <c r="V16" s="209">
        <f t="shared" si="3"/>
        <v>58.333333333333336</v>
      </c>
    </row>
    <row r="17" spans="1:22" ht="18.75" x14ac:dyDescent="0.3">
      <c r="A17" s="296" t="s">
        <v>75</v>
      </c>
      <c r="B17" s="166" t="s">
        <v>76</v>
      </c>
      <c r="C17" s="272">
        <f>'Networking 2nd'!AE22</f>
        <v>70</v>
      </c>
      <c r="D17" s="212">
        <f>'Networking 2nd'!AF22</f>
        <v>67.5</v>
      </c>
      <c r="E17" s="284">
        <f>'Linear Algebra 2'!AE22</f>
        <v>67.142857142857139</v>
      </c>
      <c r="F17" s="284">
        <f>'Linear Algebra 2'!AF22</f>
        <v>80</v>
      </c>
      <c r="G17" s="284">
        <f>'Object Oriented Programming 2'!AE22</f>
        <v>56.666666666666664</v>
      </c>
      <c r="H17" s="208">
        <f>'Object Oriented Programming 2'!AF22</f>
        <v>60</v>
      </c>
      <c r="I17" s="284">
        <f>'Digital Logic Design 2'!AE22</f>
        <v>68.571428571428569</v>
      </c>
      <c r="J17" s="284">
        <f>'Digital Logic Design 2'!AF22</f>
        <v>56.666666666666664</v>
      </c>
      <c r="K17" s="212">
        <f>'Expository Writing 2'!AE22</f>
        <v>52</v>
      </c>
      <c r="L17" s="212">
        <f>'Expository Writing 2'!AF22</f>
        <v>50</v>
      </c>
      <c r="M17" s="212">
        <f>'Expository Writing 2'!AG22</f>
        <v>43.333333333333336</v>
      </c>
      <c r="N17" s="557">
        <f>'Islamic Studies 2'!Y22</f>
        <v>63</v>
      </c>
      <c r="O17" s="212"/>
      <c r="P17" s="212"/>
      <c r="Q17" s="212"/>
      <c r="S17" s="209">
        <f t="shared" si="0"/>
        <v>57.5</v>
      </c>
      <c r="T17" s="209">
        <f t="shared" si="1"/>
        <v>62.476190476190467</v>
      </c>
      <c r="U17" s="209">
        <f t="shared" si="2"/>
        <v>55.416666666666671</v>
      </c>
      <c r="V17" s="209">
        <f t="shared" si="3"/>
        <v>65.555555555555557</v>
      </c>
    </row>
    <row r="18" spans="1:22" ht="18.75" x14ac:dyDescent="0.3">
      <c r="A18" s="296" t="s">
        <v>77</v>
      </c>
      <c r="B18" s="166" t="s">
        <v>78</v>
      </c>
      <c r="C18" s="272">
        <f>'Networking 2nd'!AE23</f>
        <v>70</v>
      </c>
      <c r="D18" s="212">
        <f>'Networking 2nd'!AF23</f>
        <v>60</v>
      </c>
      <c r="E18" s="284">
        <f>'Linear Algebra 2'!AE23</f>
        <v>65.714285714285708</v>
      </c>
      <c r="F18" s="284">
        <f>'Linear Algebra 2'!AF23</f>
        <v>66.666666666666657</v>
      </c>
      <c r="G18" s="284">
        <f>'Object Oriented Programming 2'!AE23</f>
        <v>53.333333333333336</v>
      </c>
      <c r="H18" s="208">
        <f>'Object Oriented Programming 2'!AF23</f>
        <v>67.5</v>
      </c>
      <c r="I18" s="284">
        <f>'Digital Logic Design 2'!AE23</f>
        <v>60</v>
      </c>
      <c r="J18" s="284">
        <f>'Digital Logic Design 2'!AF23</f>
        <v>63.333333333333329</v>
      </c>
      <c r="K18" s="212">
        <f>'Expository Writing 2'!AE23</f>
        <v>57.999999999999993</v>
      </c>
      <c r="L18" s="212">
        <f>'Expository Writing 2'!AF23</f>
        <v>45</v>
      </c>
      <c r="M18" s="212">
        <f>'Expository Writing 2'!AG23</f>
        <v>53.333333333333336</v>
      </c>
      <c r="N18" s="557">
        <f>'Islamic Studies 2'!Y23</f>
        <v>75</v>
      </c>
      <c r="O18" s="212"/>
      <c r="P18" s="212"/>
      <c r="Q18" s="212"/>
      <c r="S18" s="209">
        <f t="shared" si="0"/>
        <v>66.5</v>
      </c>
      <c r="T18" s="209">
        <f t="shared" si="1"/>
        <v>58.80952380952381</v>
      </c>
      <c r="U18" s="209">
        <f t="shared" si="2"/>
        <v>56.666666666666671</v>
      </c>
      <c r="V18" s="209">
        <f t="shared" si="3"/>
        <v>65.833333333333329</v>
      </c>
    </row>
    <row r="19" spans="1:22" ht="18.75" x14ac:dyDescent="0.3">
      <c r="A19" s="297" t="s">
        <v>79</v>
      </c>
      <c r="B19" s="215" t="s">
        <v>80</v>
      </c>
      <c r="C19" s="272">
        <f>'Networking 2nd'!AE24</f>
        <v>70</v>
      </c>
      <c r="D19" s="212">
        <f>'Networking 2nd'!AF24</f>
        <v>62.5</v>
      </c>
      <c r="E19" s="284">
        <f>'Linear Algebra 2'!AE24</f>
        <v>62.857142857142854</v>
      </c>
      <c r="F19" s="284">
        <f>'Linear Algebra 2'!AF24</f>
        <v>76.666666666666671</v>
      </c>
      <c r="G19" s="284">
        <f>'Object Oriented Programming 2'!AE24</f>
        <v>58.333333333333336</v>
      </c>
      <c r="H19" s="208">
        <f>'Object Oriented Programming 2'!AF24</f>
        <v>77.5</v>
      </c>
      <c r="I19" s="284">
        <f>'Digital Logic Design 2'!AE24</f>
        <v>41.428571428571431</v>
      </c>
      <c r="J19" s="284">
        <f>'Digital Logic Design 2'!AF24</f>
        <v>36.666666666666664</v>
      </c>
      <c r="K19" s="212">
        <f>'Expository Writing 2'!AE24</f>
        <v>62</v>
      </c>
      <c r="L19" s="212">
        <f>'Expository Writing 2'!AF24</f>
        <v>45</v>
      </c>
      <c r="M19" s="212">
        <f>'Expository Writing 2'!AG24</f>
        <v>46.666666666666664</v>
      </c>
      <c r="N19" s="557">
        <f>'Islamic Studies 2'!Y24</f>
        <v>66</v>
      </c>
      <c r="O19" s="212"/>
      <c r="P19" s="212"/>
      <c r="Q19" s="212"/>
      <c r="S19" s="209">
        <f t="shared" si="0"/>
        <v>64</v>
      </c>
      <c r="T19" s="209">
        <f t="shared" si="1"/>
        <v>55.523809523809533</v>
      </c>
      <c r="U19" s="209">
        <f t="shared" si="2"/>
        <v>54.583333333333329</v>
      </c>
      <c r="V19" s="209">
        <f t="shared" si="3"/>
        <v>63.611111111111114</v>
      </c>
    </row>
    <row r="20" spans="1:22" ht="18.75" x14ac:dyDescent="0.3">
      <c r="A20" s="296" t="s">
        <v>81</v>
      </c>
      <c r="B20" s="166" t="s">
        <v>82</v>
      </c>
      <c r="C20" s="272">
        <f>'Networking 2nd'!AE25</f>
        <v>71.666666666666671</v>
      </c>
      <c r="D20" s="212">
        <f>'Networking 2nd'!AF25</f>
        <v>75</v>
      </c>
      <c r="E20" s="284">
        <f>'Linear Algebra 2'!AE25</f>
        <v>65.714285714285708</v>
      </c>
      <c r="F20" s="284">
        <f>'Linear Algebra 2'!AF25</f>
        <v>90</v>
      </c>
      <c r="G20" s="284">
        <f>'Object Oriented Programming 2'!AE25</f>
        <v>58.333333333333336</v>
      </c>
      <c r="H20" s="208">
        <f>'Object Oriented Programming 2'!AF25</f>
        <v>80</v>
      </c>
      <c r="I20" s="284">
        <f>'Digital Logic Design 2'!AE25</f>
        <v>45.714285714285715</v>
      </c>
      <c r="J20" s="284">
        <f>'Digital Logic Design 2'!AF25</f>
        <v>33.333333333333329</v>
      </c>
      <c r="K20" s="212">
        <f>'Expository Writing 2'!AE25</f>
        <v>64</v>
      </c>
      <c r="L20" s="212">
        <f>'Expository Writing 2'!AF25</f>
        <v>55.000000000000007</v>
      </c>
      <c r="M20" s="212">
        <f>'Expository Writing 2'!AG25</f>
        <v>43.333333333333336</v>
      </c>
      <c r="N20" s="557">
        <f>'Islamic Studies 2'!Y25</f>
        <v>78</v>
      </c>
      <c r="O20" s="212"/>
      <c r="P20" s="212"/>
      <c r="Q20" s="212"/>
      <c r="S20" s="209">
        <f t="shared" si="0"/>
        <v>71</v>
      </c>
      <c r="T20" s="209">
        <f t="shared" si="1"/>
        <v>59.285714285714292</v>
      </c>
      <c r="U20" s="209">
        <f t="shared" si="2"/>
        <v>59.166666666666671</v>
      </c>
      <c r="V20" s="209">
        <f t="shared" si="3"/>
        <v>67.777777777777771</v>
      </c>
    </row>
    <row r="21" spans="1:22" ht="18.75" x14ac:dyDescent="0.3">
      <c r="A21" s="296" t="s">
        <v>83</v>
      </c>
      <c r="B21" s="166" t="s">
        <v>84</v>
      </c>
      <c r="C21" s="272">
        <f>'Networking 2nd'!AE26</f>
        <v>0</v>
      </c>
      <c r="D21" s="212">
        <f>'Networking 2nd'!AF26</f>
        <v>0</v>
      </c>
      <c r="E21" s="284">
        <f>'Linear Algebra 2'!AE26</f>
        <v>0</v>
      </c>
      <c r="F21" s="284">
        <f>'Linear Algebra 2'!AF26</f>
        <v>0</v>
      </c>
      <c r="G21" s="284">
        <f>'Object Oriented Programming 2'!AE26</f>
        <v>0</v>
      </c>
      <c r="H21" s="208">
        <f>'Object Oriented Programming 2'!AF26</f>
        <v>0</v>
      </c>
      <c r="I21" s="284">
        <f>'Digital Logic Design 2'!AE26</f>
        <v>0</v>
      </c>
      <c r="J21" s="284">
        <f>'Digital Logic Design 2'!AF26</f>
        <v>0</v>
      </c>
      <c r="K21" s="212">
        <f>'Expository Writing 2'!AE26</f>
        <v>0</v>
      </c>
      <c r="L21" s="212">
        <f>'Expository Writing 2'!AF26</f>
        <v>35</v>
      </c>
      <c r="M21" s="212">
        <f>'Expository Writing 2'!AG26</f>
        <v>0</v>
      </c>
      <c r="N21" s="557">
        <f>'Islamic Studies 2'!Y26</f>
        <v>0</v>
      </c>
      <c r="O21" s="212"/>
      <c r="P21" s="212"/>
      <c r="Q21" s="212"/>
      <c r="S21" s="209">
        <f t="shared" si="0"/>
        <v>0</v>
      </c>
      <c r="T21" s="209">
        <f t="shared" si="1"/>
        <v>7</v>
      </c>
      <c r="U21" s="209">
        <f t="shared" si="2"/>
        <v>0</v>
      </c>
      <c r="V21" s="209">
        <f t="shared" si="3"/>
        <v>0</v>
      </c>
    </row>
    <row r="22" spans="1:22" ht="18.75" x14ac:dyDescent="0.3">
      <c r="A22" s="296" t="s">
        <v>85</v>
      </c>
      <c r="B22" s="166" t="s">
        <v>86</v>
      </c>
      <c r="C22" s="272">
        <f>'Networking 2nd'!AE27</f>
        <v>71.666666666666671</v>
      </c>
      <c r="D22" s="212">
        <f>'Networking 2nd'!AF27</f>
        <v>57.499999999999993</v>
      </c>
      <c r="E22" s="284">
        <f>'Linear Algebra 2'!AE27</f>
        <v>70</v>
      </c>
      <c r="F22" s="284">
        <f>'Linear Algebra 2'!AF27</f>
        <v>76.666666666666671</v>
      </c>
      <c r="G22" s="284">
        <f>'Object Oriented Programming 2'!AE27</f>
        <v>56.666666666666664</v>
      </c>
      <c r="H22" s="208">
        <f>'Object Oriented Programming 2'!AF27</f>
        <v>85</v>
      </c>
      <c r="I22" s="284">
        <f>'Digital Logic Design 2'!AE27</f>
        <v>54.285714285714285</v>
      </c>
      <c r="J22" s="284">
        <f>'Digital Logic Design 2'!AF27</f>
        <v>56.666666666666664</v>
      </c>
      <c r="K22" s="212">
        <f>'Expository Writing 2'!AE27</f>
        <v>50</v>
      </c>
      <c r="L22" s="212">
        <f>'Expository Writing 2'!AF27</f>
        <v>50</v>
      </c>
      <c r="M22" s="212">
        <f>'Expository Writing 2'!AG27</f>
        <v>53.333333333333336</v>
      </c>
      <c r="N22" s="557">
        <f>'Islamic Studies 2'!Y27</f>
        <v>70</v>
      </c>
      <c r="O22" s="212"/>
      <c r="P22" s="212"/>
      <c r="Q22" s="212"/>
      <c r="S22" s="209">
        <f t="shared" si="0"/>
        <v>60</v>
      </c>
      <c r="T22" s="209">
        <f t="shared" si="1"/>
        <v>60.523809523809518</v>
      </c>
      <c r="U22" s="209">
        <f t="shared" si="2"/>
        <v>55.416666666666664</v>
      </c>
      <c r="V22" s="209">
        <f t="shared" si="3"/>
        <v>72.777777777777786</v>
      </c>
    </row>
    <row r="23" spans="1:22" ht="18.75" x14ac:dyDescent="0.3">
      <c r="A23" s="297" t="s">
        <v>87</v>
      </c>
      <c r="B23" s="215" t="s">
        <v>88</v>
      </c>
      <c r="C23" s="272">
        <f>'Networking 2nd'!AE28</f>
        <v>70</v>
      </c>
      <c r="D23" s="212">
        <f>'Networking 2nd'!AF28</f>
        <v>77.5</v>
      </c>
      <c r="E23" s="284">
        <f>'Linear Algebra 2'!AE28</f>
        <v>75.714285714285708</v>
      </c>
      <c r="F23" s="284">
        <f>'Linear Algebra 2'!AF28</f>
        <v>76.666666666666671</v>
      </c>
      <c r="G23" s="284">
        <f>'Object Oriented Programming 2'!AE28</f>
        <v>68.333333333333329</v>
      </c>
      <c r="H23" s="208">
        <f>'Object Oriented Programming 2'!AF28</f>
        <v>80</v>
      </c>
      <c r="I23" s="284">
        <f>'Digital Logic Design 2'!AE28</f>
        <v>57.142857142857139</v>
      </c>
      <c r="J23" s="284">
        <f>'Digital Logic Design 2'!AF28</f>
        <v>53.333333333333336</v>
      </c>
      <c r="K23" s="212">
        <f>'Expository Writing 2'!AE28</f>
        <v>52</v>
      </c>
      <c r="L23" s="212">
        <f>'Expository Writing 2'!AF28</f>
        <v>50</v>
      </c>
      <c r="M23" s="212">
        <f>'Expository Writing 2'!AG28</f>
        <v>50</v>
      </c>
      <c r="N23" s="557">
        <f>'Islamic Studies 2'!Y28</f>
        <v>81</v>
      </c>
      <c r="O23" s="212"/>
      <c r="P23" s="212"/>
      <c r="Q23" s="212"/>
      <c r="S23" s="209">
        <f t="shared" si="0"/>
        <v>66.5</v>
      </c>
      <c r="T23" s="209">
        <f t="shared" si="1"/>
        <v>64.238095238095227</v>
      </c>
      <c r="U23" s="209">
        <f t="shared" si="2"/>
        <v>63.75</v>
      </c>
      <c r="V23" s="209">
        <f t="shared" si="3"/>
        <v>70.000000000000014</v>
      </c>
    </row>
    <row r="24" spans="1:22" ht="18.75" x14ac:dyDescent="0.3">
      <c r="A24" s="298" t="s">
        <v>89</v>
      </c>
      <c r="B24" s="219" t="s">
        <v>90</v>
      </c>
      <c r="C24" s="272">
        <f>'Networking 2nd'!AE29</f>
        <v>63.333333333333329</v>
      </c>
      <c r="D24" s="212">
        <f>'Networking 2nd'!AF29</f>
        <v>67.5</v>
      </c>
      <c r="E24" s="284">
        <f>'Linear Algebra 2'!AE29</f>
        <v>70</v>
      </c>
      <c r="F24" s="284">
        <f>'Linear Algebra 2'!AF29</f>
        <v>76.666666666666671</v>
      </c>
      <c r="G24" s="284">
        <f>'Object Oriented Programming 2'!AE29</f>
        <v>65</v>
      </c>
      <c r="H24" s="208">
        <f>'Object Oriented Programming 2'!AF29</f>
        <v>75</v>
      </c>
      <c r="I24" s="284">
        <f>'Digital Logic Design 2'!AE29</f>
        <v>64.285714285714292</v>
      </c>
      <c r="J24" s="284">
        <f>'Digital Logic Design 2'!AF29</f>
        <v>76.666666666666671</v>
      </c>
      <c r="K24" s="212">
        <f>'Expository Writing 2'!AE29</f>
        <v>60</v>
      </c>
      <c r="L24" s="212">
        <f>'Expository Writing 2'!AF29</f>
        <v>60</v>
      </c>
      <c r="M24" s="212">
        <f>'Expository Writing 2'!AG29</f>
        <v>46.666666666666664</v>
      </c>
      <c r="N24" s="557">
        <f>'Islamic Studies 2'!Y29</f>
        <v>72</v>
      </c>
      <c r="O24" s="212"/>
      <c r="P24" s="212"/>
      <c r="Q24" s="212"/>
      <c r="S24" s="209">
        <f t="shared" si="0"/>
        <v>66</v>
      </c>
      <c r="T24" s="209">
        <f t="shared" si="1"/>
        <v>64.523809523809518</v>
      </c>
      <c r="U24" s="209">
        <f t="shared" si="2"/>
        <v>57.083333333333329</v>
      </c>
      <c r="V24" s="209">
        <f t="shared" si="3"/>
        <v>76.111111111111128</v>
      </c>
    </row>
    <row r="25" spans="1:22" ht="18.75" x14ac:dyDescent="0.3">
      <c r="A25" s="298" t="s">
        <v>91</v>
      </c>
      <c r="B25" s="219" t="s">
        <v>92</v>
      </c>
      <c r="C25" s="272">
        <f>'Networking 2nd'!AE30</f>
        <v>63.333333333333329</v>
      </c>
      <c r="D25" s="212">
        <f>'Networking 2nd'!AF30</f>
        <v>62.5</v>
      </c>
      <c r="E25" s="284">
        <f>'Linear Algebra 2'!AE30</f>
        <v>82.857142857142861</v>
      </c>
      <c r="F25" s="284">
        <f>'Linear Algebra 2'!AF30</f>
        <v>83.333333333333343</v>
      </c>
      <c r="G25" s="284">
        <f>'Object Oriented Programming 2'!AE30</f>
        <v>48.333333333333336</v>
      </c>
      <c r="H25" s="208">
        <f>'Object Oriented Programming 2'!AF30</f>
        <v>72.5</v>
      </c>
      <c r="I25" s="284">
        <f>'Digital Logic Design 2'!AE30</f>
        <v>55.714285714285715</v>
      </c>
      <c r="J25" s="284">
        <f>'Digital Logic Design 2'!AF30</f>
        <v>56.666666666666664</v>
      </c>
      <c r="K25" s="212">
        <f>'Expository Writing 2'!AE30</f>
        <v>57.999999999999993</v>
      </c>
      <c r="L25" s="212">
        <f>'Expository Writing 2'!AF30</f>
        <v>85</v>
      </c>
      <c r="M25" s="212">
        <f>'Expository Writing 2'!AG30</f>
        <v>73.333333333333329</v>
      </c>
      <c r="N25" s="557">
        <f>'Islamic Studies 2'!Y30</f>
        <v>79</v>
      </c>
      <c r="O25" s="212"/>
      <c r="P25" s="212"/>
      <c r="Q25" s="212"/>
      <c r="S25" s="209">
        <f t="shared" si="0"/>
        <v>68.5</v>
      </c>
      <c r="T25" s="209">
        <f t="shared" si="1"/>
        <v>67.047619047619065</v>
      </c>
      <c r="U25" s="209">
        <f t="shared" si="2"/>
        <v>67.916666666666657</v>
      </c>
      <c r="V25" s="209">
        <f t="shared" si="3"/>
        <v>70.833333333333329</v>
      </c>
    </row>
    <row r="26" spans="1:22" ht="18.75" x14ac:dyDescent="0.3">
      <c r="A26" s="298" t="s">
        <v>93</v>
      </c>
      <c r="B26" s="219" t="s">
        <v>94</v>
      </c>
      <c r="C26" s="272">
        <f>'Networking 2nd'!AE31</f>
        <v>0</v>
      </c>
      <c r="D26" s="212">
        <f>'Networking 2nd'!AF31</f>
        <v>0</v>
      </c>
      <c r="E26" s="284">
        <f>'Linear Algebra 2'!AE31</f>
        <v>0</v>
      </c>
      <c r="F26" s="284">
        <f>'Linear Algebra 2'!AF31</f>
        <v>0</v>
      </c>
      <c r="G26" s="284">
        <f>'Object Oriented Programming 2'!AE31</f>
        <v>0</v>
      </c>
      <c r="H26" s="208">
        <f>'Object Oriented Programming 2'!AF31</f>
        <v>0</v>
      </c>
      <c r="I26" s="284">
        <f>'Digital Logic Design 2'!AE31</f>
        <v>0</v>
      </c>
      <c r="J26" s="284">
        <f>'Digital Logic Design 2'!AF31</f>
        <v>0</v>
      </c>
      <c r="K26" s="212">
        <f>'Expository Writing 2'!AE31</f>
        <v>0</v>
      </c>
      <c r="L26" s="212">
        <f>'Expository Writing 2'!AF31</f>
        <v>0</v>
      </c>
      <c r="M26" s="212">
        <f>'Expository Writing 2'!AG31</f>
        <v>0</v>
      </c>
      <c r="N26" s="557">
        <f>'Islamic Studies 2'!Y31</f>
        <v>0</v>
      </c>
      <c r="O26" s="212"/>
      <c r="P26" s="212"/>
      <c r="Q26" s="212"/>
      <c r="S26" s="209">
        <f t="shared" si="0"/>
        <v>0</v>
      </c>
      <c r="T26" s="209">
        <f t="shared" si="1"/>
        <v>0</v>
      </c>
      <c r="U26" s="209">
        <f t="shared" si="2"/>
        <v>0</v>
      </c>
      <c r="V26" s="209">
        <f t="shared" si="3"/>
        <v>0</v>
      </c>
    </row>
    <row r="27" spans="1:22" ht="18.75" x14ac:dyDescent="0.3">
      <c r="A27" s="298" t="s">
        <v>95</v>
      </c>
      <c r="B27" s="219" t="s">
        <v>96</v>
      </c>
      <c r="C27" s="272">
        <f>'Networking 2nd'!AE32</f>
        <v>56.666666666666664</v>
      </c>
      <c r="D27" s="212">
        <f>'Networking 2nd'!AF32</f>
        <v>70</v>
      </c>
      <c r="E27" s="284">
        <f>'Linear Algebra 2'!AE32</f>
        <v>71.428571428571431</v>
      </c>
      <c r="F27" s="284">
        <f>'Linear Algebra 2'!AF32</f>
        <v>56.666666666666664</v>
      </c>
      <c r="G27" s="284">
        <f>'Object Oriented Programming 2'!AE32</f>
        <v>60</v>
      </c>
      <c r="H27" s="208">
        <f>'Object Oriented Programming 2'!AF32</f>
        <v>70</v>
      </c>
      <c r="I27" s="284">
        <f>'Digital Logic Design 2'!AE32</f>
        <v>62.857142857142854</v>
      </c>
      <c r="J27" s="284">
        <f>'Digital Logic Design 2'!AF32</f>
        <v>50</v>
      </c>
      <c r="K27" s="212">
        <f>'Expository Writing 2'!AE32</f>
        <v>52</v>
      </c>
      <c r="L27" s="212">
        <f>'Expository Writing 2'!AF32</f>
        <v>70</v>
      </c>
      <c r="M27" s="212">
        <f>'Expository Writing 2'!AG32</f>
        <v>46.666666666666664</v>
      </c>
      <c r="N27" s="557">
        <f>'Islamic Studies 2'!Y32</f>
        <v>64</v>
      </c>
      <c r="O27" s="212"/>
      <c r="P27" s="212"/>
      <c r="Q27" s="212"/>
      <c r="S27" s="209">
        <f t="shared" si="0"/>
        <v>58</v>
      </c>
      <c r="T27" s="209">
        <f t="shared" si="1"/>
        <v>64.19047619047619</v>
      </c>
      <c r="U27" s="209">
        <f t="shared" si="2"/>
        <v>58.333333333333329</v>
      </c>
      <c r="V27" s="209">
        <f t="shared" si="3"/>
        <v>58.888888888888886</v>
      </c>
    </row>
    <row r="28" spans="1:22" ht="18.75" x14ac:dyDescent="0.3">
      <c r="A28" s="296" t="s">
        <v>97</v>
      </c>
      <c r="B28" s="166" t="s">
        <v>98</v>
      </c>
      <c r="C28" s="272">
        <f>'Networking 2nd'!AE33</f>
        <v>70</v>
      </c>
      <c r="D28" s="212">
        <f>'Networking 2nd'!AF33</f>
        <v>70</v>
      </c>
      <c r="E28" s="284">
        <f>'Linear Algebra 2'!AE33</f>
        <v>78.571428571428569</v>
      </c>
      <c r="F28" s="284">
        <f>'Linear Algebra 2'!AF33</f>
        <v>83.333333333333343</v>
      </c>
      <c r="G28" s="284">
        <f>'Object Oriented Programming 2'!AE33</f>
        <v>68.333333333333329</v>
      </c>
      <c r="H28" s="208">
        <f>'Object Oriented Programming 2'!AF33</f>
        <v>75</v>
      </c>
      <c r="I28" s="284">
        <f>'Digital Logic Design 2'!AE33</f>
        <v>65.714285714285708</v>
      </c>
      <c r="J28" s="284">
        <f>'Digital Logic Design 2'!AF33</f>
        <v>63.333333333333329</v>
      </c>
      <c r="K28" s="212">
        <f>'Expository Writing 2'!AE33</f>
        <v>46</v>
      </c>
      <c r="L28" s="212">
        <f>'Expository Writing 2'!AF33</f>
        <v>45</v>
      </c>
      <c r="M28" s="212">
        <f>'Expository Writing 2'!AG33</f>
        <v>50</v>
      </c>
      <c r="N28" s="557">
        <f>'Islamic Studies 2'!Y33</f>
        <v>78</v>
      </c>
      <c r="O28" s="212"/>
      <c r="P28" s="212"/>
      <c r="Q28" s="212"/>
      <c r="S28" s="209">
        <f t="shared" si="0"/>
        <v>62</v>
      </c>
      <c r="T28" s="209">
        <f t="shared" si="1"/>
        <v>65.523809523809518</v>
      </c>
      <c r="U28" s="209">
        <f t="shared" si="2"/>
        <v>60</v>
      </c>
      <c r="V28" s="209">
        <f t="shared" si="3"/>
        <v>73.8888888888889</v>
      </c>
    </row>
    <row r="29" spans="1:22" ht="18.75" x14ac:dyDescent="0.3">
      <c r="A29" s="296" t="s">
        <v>99</v>
      </c>
      <c r="B29" s="166" t="s">
        <v>100</v>
      </c>
      <c r="C29" s="272">
        <f>'Networking 2nd'!AE34</f>
        <v>48.333333333333336</v>
      </c>
      <c r="D29" s="212">
        <f>'Networking 2nd'!AF34</f>
        <v>55.000000000000007</v>
      </c>
      <c r="E29" s="284">
        <f>'Linear Algebra 2'!AE34</f>
        <v>22.857142857142858</v>
      </c>
      <c r="F29" s="284">
        <f>'Linear Algebra 2'!AF34</f>
        <v>33.333333333333329</v>
      </c>
      <c r="G29" s="284">
        <f>'Object Oriented Programming 2'!AE34</f>
        <v>50</v>
      </c>
      <c r="H29" s="208">
        <f>'Object Oriented Programming 2'!AF34</f>
        <v>67.5</v>
      </c>
      <c r="I29" s="284">
        <f>'Digital Logic Design 2'!AE34</f>
        <v>55.714285714285715</v>
      </c>
      <c r="J29" s="284">
        <f>'Digital Logic Design 2'!AF34</f>
        <v>53.333333333333336</v>
      </c>
      <c r="K29" s="212">
        <f>'Expository Writing 2'!AE34</f>
        <v>46</v>
      </c>
      <c r="L29" s="212">
        <f>'Expository Writing 2'!AF34</f>
        <v>50</v>
      </c>
      <c r="M29" s="212">
        <f>'Expository Writing 2'!AG34</f>
        <v>50</v>
      </c>
      <c r="N29" s="557">
        <f>'Islamic Studies 2'!Y34</f>
        <v>79</v>
      </c>
      <c r="O29" s="212"/>
      <c r="P29" s="212"/>
      <c r="Q29" s="212"/>
      <c r="S29" s="209">
        <f t="shared" si="0"/>
        <v>62.5</v>
      </c>
      <c r="T29" s="209">
        <f t="shared" si="1"/>
        <v>45.38095238095238</v>
      </c>
      <c r="U29" s="209">
        <f t="shared" si="2"/>
        <v>52.5</v>
      </c>
      <c r="V29" s="209">
        <f t="shared" si="3"/>
        <v>51.388888888888886</v>
      </c>
    </row>
    <row r="30" spans="1:22" ht="18.75" x14ac:dyDescent="0.3">
      <c r="A30" s="296" t="s">
        <v>101</v>
      </c>
      <c r="B30" s="166" t="s">
        <v>102</v>
      </c>
      <c r="C30" s="272">
        <f>'Networking 2nd'!AE35</f>
        <v>55.000000000000007</v>
      </c>
      <c r="D30" s="212">
        <f>'Networking 2nd'!AF35</f>
        <v>62.5</v>
      </c>
      <c r="E30" s="284">
        <f>'Linear Algebra 2'!AE35</f>
        <v>65.714285714285708</v>
      </c>
      <c r="F30" s="284">
        <f>'Linear Algebra 2'!AF35</f>
        <v>73.333333333333329</v>
      </c>
      <c r="G30" s="284">
        <f>'Object Oriented Programming 2'!AE35</f>
        <v>56.666666666666664</v>
      </c>
      <c r="H30" s="208">
        <f>'Object Oriented Programming 2'!AF35</f>
        <v>75</v>
      </c>
      <c r="I30" s="284">
        <f>'Digital Logic Design 2'!AE35</f>
        <v>54.285714285714285</v>
      </c>
      <c r="J30" s="284">
        <f>'Digital Logic Design 2'!AF35</f>
        <v>60</v>
      </c>
      <c r="K30" s="212">
        <f>'Expository Writing 2'!AE35</f>
        <v>36</v>
      </c>
      <c r="L30" s="212">
        <f>'Expository Writing 2'!AF35</f>
        <v>40</v>
      </c>
      <c r="M30" s="212">
        <f>'Expository Writing 2'!AG35</f>
        <v>26.666666666666668</v>
      </c>
      <c r="N30" s="557">
        <f>'Islamic Studies 2'!Y35</f>
        <v>65</v>
      </c>
      <c r="O30" s="212"/>
      <c r="P30" s="212"/>
      <c r="Q30" s="212"/>
      <c r="S30" s="209">
        <f t="shared" si="0"/>
        <v>50.5</v>
      </c>
      <c r="T30" s="209">
        <f t="shared" si="1"/>
        <v>54.333333333333329</v>
      </c>
      <c r="U30" s="209">
        <f t="shared" si="2"/>
        <v>44.583333333333336</v>
      </c>
      <c r="V30" s="209">
        <f t="shared" si="3"/>
        <v>69.444444444444443</v>
      </c>
    </row>
    <row r="31" spans="1:22" ht="18.75" x14ac:dyDescent="0.3">
      <c r="A31" s="297" t="s">
        <v>103</v>
      </c>
      <c r="B31" s="215" t="s">
        <v>104</v>
      </c>
      <c r="C31" s="272">
        <f>'Networking 2nd'!AE36</f>
        <v>56.666666666666664</v>
      </c>
      <c r="D31" s="212">
        <f>'Networking 2nd'!AF36</f>
        <v>70</v>
      </c>
      <c r="E31" s="284">
        <f>'Linear Algebra 2'!AE36</f>
        <v>64.285714285714292</v>
      </c>
      <c r="F31" s="284">
        <f>'Linear Algebra 2'!AF36</f>
        <v>80</v>
      </c>
      <c r="G31" s="284">
        <f>'Object Oriented Programming 2'!AE36</f>
        <v>63.333333333333329</v>
      </c>
      <c r="H31" s="208">
        <f>'Object Oriented Programming 2'!AF36</f>
        <v>70</v>
      </c>
      <c r="I31" s="284">
        <f>'Digital Logic Design 2'!AE36</f>
        <v>64.285714285714292</v>
      </c>
      <c r="J31" s="284">
        <f>'Digital Logic Design 2'!AF36</f>
        <v>56.666666666666664</v>
      </c>
      <c r="K31" s="212">
        <f>'Expository Writing 2'!AE36</f>
        <v>42</v>
      </c>
      <c r="L31" s="212">
        <f>'Expository Writing 2'!AF36</f>
        <v>35</v>
      </c>
      <c r="M31" s="212">
        <f>'Expository Writing 2'!AG36</f>
        <v>50</v>
      </c>
      <c r="N31" s="557">
        <f>'Islamic Studies 2'!Y36</f>
        <v>73</v>
      </c>
      <c r="O31" s="212"/>
      <c r="P31" s="212"/>
      <c r="Q31" s="212"/>
      <c r="S31" s="209">
        <f t="shared" si="0"/>
        <v>57.5</v>
      </c>
      <c r="T31" s="209">
        <f t="shared" si="1"/>
        <v>56.714285714285708</v>
      </c>
      <c r="U31" s="209">
        <f t="shared" si="2"/>
        <v>60</v>
      </c>
      <c r="V31" s="209">
        <f t="shared" si="3"/>
        <v>68.888888888888886</v>
      </c>
    </row>
    <row r="32" spans="1:22" ht="18.75" x14ac:dyDescent="0.3">
      <c r="A32" s="299" t="s">
        <v>105</v>
      </c>
      <c r="B32" s="215" t="s">
        <v>106</v>
      </c>
      <c r="C32" s="272">
        <f>'Networking 2nd'!AE37</f>
        <v>0</v>
      </c>
      <c r="D32" s="212">
        <f>'Networking 2nd'!AF37</f>
        <v>0</v>
      </c>
      <c r="E32" s="284">
        <f>'Linear Algebra 2'!AE37</f>
        <v>0</v>
      </c>
      <c r="F32" s="284">
        <f>'Linear Algebra 2'!AF37</f>
        <v>0</v>
      </c>
      <c r="G32" s="284">
        <f>'Object Oriented Programming 2'!AE37</f>
        <v>0</v>
      </c>
      <c r="H32" s="208">
        <f>'Object Oriented Programming 2'!AF37</f>
        <v>0</v>
      </c>
      <c r="I32" s="284">
        <f>'Digital Logic Design 2'!AE37</f>
        <v>0</v>
      </c>
      <c r="J32" s="284">
        <f>'Digital Logic Design 2'!AF37</f>
        <v>0</v>
      </c>
      <c r="K32" s="212">
        <f>'Expository Writing 2'!AE37</f>
        <v>0</v>
      </c>
      <c r="L32" s="212">
        <f>'Expository Writing 2'!AF37</f>
        <v>0</v>
      </c>
      <c r="M32" s="212">
        <f>'Expository Writing 2'!AG37</f>
        <v>0</v>
      </c>
      <c r="N32" s="557">
        <f>'Islamic Studies 2'!Y37</f>
        <v>21</v>
      </c>
      <c r="O32" s="212"/>
      <c r="P32" s="212"/>
      <c r="Q32" s="212"/>
      <c r="S32" s="209">
        <f t="shared" si="0"/>
        <v>10.5</v>
      </c>
      <c r="T32" s="209">
        <f t="shared" si="1"/>
        <v>0</v>
      </c>
      <c r="U32" s="209">
        <f t="shared" si="2"/>
        <v>0</v>
      </c>
      <c r="V32" s="209">
        <f t="shared" si="3"/>
        <v>0</v>
      </c>
    </row>
    <row r="33" spans="1:22" ht="18.75" x14ac:dyDescent="0.3">
      <c r="A33" s="296" t="s">
        <v>107</v>
      </c>
      <c r="B33" s="166" t="s">
        <v>108</v>
      </c>
      <c r="C33" s="272">
        <f>'Networking 2nd'!AE38</f>
        <v>50</v>
      </c>
      <c r="D33" s="212">
        <f>'Networking 2nd'!AF38</f>
        <v>67.5</v>
      </c>
      <c r="E33" s="284">
        <f>'Linear Algebra 2'!AE38</f>
        <v>67.142857142857139</v>
      </c>
      <c r="F33" s="284">
        <f>'Linear Algebra 2'!AF38</f>
        <v>66.666666666666657</v>
      </c>
      <c r="G33" s="284">
        <f>'Object Oriented Programming 2'!AE38</f>
        <v>48.333333333333336</v>
      </c>
      <c r="H33" s="208">
        <f>'Object Oriented Programming 2'!AF38</f>
        <v>67.5</v>
      </c>
      <c r="I33" s="284">
        <f>'Digital Logic Design 2'!AE38</f>
        <v>58.571428571428577</v>
      </c>
      <c r="J33" s="284">
        <f>'Digital Logic Design 2'!AF38</f>
        <v>53.333333333333336</v>
      </c>
      <c r="K33" s="212">
        <f>'Expository Writing 2'!AE38</f>
        <v>70</v>
      </c>
      <c r="L33" s="212">
        <f>'Expository Writing 2'!AF38</f>
        <v>50</v>
      </c>
      <c r="M33" s="212">
        <f>'Expository Writing 2'!AG38</f>
        <v>50</v>
      </c>
      <c r="N33" s="557">
        <f>'Islamic Studies 2'!Y38</f>
        <v>73</v>
      </c>
      <c r="O33" s="212"/>
      <c r="P33" s="212"/>
      <c r="Q33" s="212"/>
      <c r="S33" s="209">
        <f t="shared" si="0"/>
        <v>71.5</v>
      </c>
      <c r="T33" s="209">
        <f t="shared" si="1"/>
        <v>54.80952380952381</v>
      </c>
      <c r="U33" s="209">
        <f t="shared" si="2"/>
        <v>58.75</v>
      </c>
      <c r="V33" s="209">
        <f t="shared" si="3"/>
        <v>62.5</v>
      </c>
    </row>
    <row r="34" spans="1:22" ht="18.75" x14ac:dyDescent="0.3">
      <c r="A34" s="296" t="s">
        <v>109</v>
      </c>
      <c r="B34" s="166" t="s">
        <v>110</v>
      </c>
      <c r="C34" s="272">
        <f>'Networking 2nd'!AE39</f>
        <v>71.666666666666671</v>
      </c>
      <c r="D34" s="212">
        <f>'Networking 2nd'!AF39</f>
        <v>72.5</v>
      </c>
      <c r="E34" s="284">
        <f>'Linear Algebra 2'!AE39</f>
        <v>57.142857142857139</v>
      </c>
      <c r="F34" s="284">
        <f>'Linear Algebra 2'!AF39</f>
        <v>76.666666666666671</v>
      </c>
      <c r="G34" s="284">
        <f>'Object Oriented Programming 2'!AE39</f>
        <v>63.333333333333329</v>
      </c>
      <c r="H34" s="208">
        <f>'Object Oriented Programming 2'!AF39</f>
        <v>77.5</v>
      </c>
      <c r="I34" s="284">
        <f>'Digital Logic Design 2'!AE39</f>
        <v>55.714285714285715</v>
      </c>
      <c r="J34" s="284">
        <f>'Digital Logic Design 2'!AF39</f>
        <v>60</v>
      </c>
      <c r="K34" s="212">
        <f>'Expository Writing 2'!AE39</f>
        <v>46</v>
      </c>
      <c r="L34" s="212">
        <f>'Expository Writing 2'!AF39</f>
        <v>50</v>
      </c>
      <c r="M34" s="212">
        <f>'Expository Writing 2'!AG39</f>
        <v>46.666666666666664</v>
      </c>
      <c r="N34" s="557">
        <f>'Islamic Studies 2'!Y39</f>
        <v>77</v>
      </c>
      <c r="O34" s="212"/>
      <c r="P34" s="212"/>
      <c r="Q34" s="212"/>
      <c r="S34" s="209">
        <f t="shared" si="0"/>
        <v>61.5</v>
      </c>
      <c r="T34" s="209">
        <f t="shared" si="1"/>
        <v>59.571428571428569</v>
      </c>
      <c r="U34" s="209">
        <f t="shared" si="2"/>
        <v>59.583333333333329</v>
      </c>
      <c r="V34" s="209">
        <f t="shared" si="3"/>
        <v>71.3888888888889</v>
      </c>
    </row>
    <row r="35" spans="1:22" ht="18.75" x14ac:dyDescent="0.3">
      <c r="A35" s="296" t="s">
        <v>111</v>
      </c>
      <c r="B35" s="166" t="s">
        <v>112</v>
      </c>
      <c r="C35" s="272">
        <f>'Networking 2nd'!AE40</f>
        <v>75</v>
      </c>
      <c r="D35" s="212">
        <f>'Networking 2nd'!AF40</f>
        <v>67.5</v>
      </c>
      <c r="E35" s="284">
        <f>'Linear Algebra 2'!AE40</f>
        <v>92.857142857142861</v>
      </c>
      <c r="F35" s="284">
        <f>'Linear Algebra 2'!AF40</f>
        <v>83.333333333333343</v>
      </c>
      <c r="G35" s="284">
        <f>'Object Oriented Programming 2'!AE40</f>
        <v>58.333333333333336</v>
      </c>
      <c r="H35" s="208">
        <f>'Object Oriented Programming 2'!AF40</f>
        <v>80</v>
      </c>
      <c r="I35" s="284">
        <f>'Digital Logic Design 2'!AE40</f>
        <v>64.285714285714292</v>
      </c>
      <c r="J35" s="284">
        <f>'Digital Logic Design 2'!AF40</f>
        <v>46.666666666666664</v>
      </c>
      <c r="K35" s="212">
        <f>'Expository Writing 2'!AE40</f>
        <v>72</v>
      </c>
      <c r="L35" s="212">
        <f>'Expository Writing 2'!AF40</f>
        <v>65</v>
      </c>
      <c r="M35" s="212">
        <f>'Expository Writing 2'!AG40</f>
        <v>40</v>
      </c>
      <c r="N35" s="557">
        <f>'Islamic Studies 2'!Y40</f>
        <v>76</v>
      </c>
      <c r="O35" s="212"/>
      <c r="P35" s="212"/>
      <c r="Q35" s="212"/>
      <c r="S35" s="209">
        <f t="shared" si="0"/>
        <v>74</v>
      </c>
      <c r="T35" s="209">
        <f t="shared" si="1"/>
        <v>71.095238095238102</v>
      </c>
      <c r="U35" s="209">
        <f t="shared" si="2"/>
        <v>53.75</v>
      </c>
      <c r="V35" s="209">
        <f t="shared" si="3"/>
        <v>70</v>
      </c>
    </row>
    <row r="36" spans="1:22" ht="18.75" x14ac:dyDescent="0.3">
      <c r="A36" s="296" t="s">
        <v>114</v>
      </c>
      <c r="B36" s="166" t="s">
        <v>115</v>
      </c>
      <c r="C36" s="272">
        <f>'Networking 2nd'!AE41</f>
        <v>71.666666666666671</v>
      </c>
      <c r="D36" s="212">
        <f>'Networking 2nd'!AF41</f>
        <v>67.5</v>
      </c>
      <c r="E36" s="284">
        <f>'Linear Algebra 2'!AE41</f>
        <v>65.714285714285708</v>
      </c>
      <c r="F36" s="284">
        <f>'Linear Algebra 2'!AF41</f>
        <v>76.666666666666671</v>
      </c>
      <c r="G36" s="284">
        <f>'Object Oriented Programming 2'!AE41</f>
        <v>58.333333333333336</v>
      </c>
      <c r="H36" s="208">
        <f>'Object Oriented Programming 2'!AF41</f>
        <v>65</v>
      </c>
      <c r="I36" s="284">
        <f>'Digital Logic Design 2'!AE41</f>
        <v>47.142857142857139</v>
      </c>
      <c r="J36" s="284">
        <f>'Digital Logic Design 2'!AF41</f>
        <v>50</v>
      </c>
      <c r="K36" s="212">
        <f>'Expository Writing 2'!AE41</f>
        <v>64</v>
      </c>
      <c r="L36" s="212">
        <f>'Expository Writing 2'!AF41</f>
        <v>65</v>
      </c>
      <c r="M36" s="212">
        <f>'Expository Writing 2'!AG41</f>
        <v>43.333333333333336</v>
      </c>
      <c r="N36" s="557">
        <f>'Islamic Studies 2'!Y41</f>
        <v>50</v>
      </c>
      <c r="O36" s="212"/>
      <c r="P36" s="212"/>
      <c r="Q36" s="212"/>
      <c r="S36" s="209">
        <f t="shared" si="0"/>
        <v>57</v>
      </c>
      <c r="T36" s="209">
        <f t="shared" si="1"/>
        <v>61.571428571428577</v>
      </c>
      <c r="U36" s="209">
        <f t="shared" si="2"/>
        <v>55.416666666666671</v>
      </c>
      <c r="V36" s="209">
        <f t="shared" si="3"/>
        <v>63.888888888888893</v>
      </c>
    </row>
    <row r="37" spans="1:22" ht="18.75" x14ac:dyDescent="0.3">
      <c r="A37" s="297" t="s">
        <v>116</v>
      </c>
      <c r="B37" s="215" t="s">
        <v>117</v>
      </c>
      <c r="C37" s="272">
        <f>'Networking 2nd'!AE42</f>
        <v>68.333333333333329</v>
      </c>
      <c r="D37" s="212">
        <f>'Networking 2nd'!AF42</f>
        <v>72.5</v>
      </c>
      <c r="E37" s="284">
        <f>'Linear Algebra 2'!AE42</f>
        <v>65.714285714285708</v>
      </c>
      <c r="F37" s="284">
        <f>'Linear Algebra 2'!AF42</f>
        <v>76.666666666666671</v>
      </c>
      <c r="G37" s="284">
        <f>'Object Oriented Programming 2'!AE42</f>
        <v>55.000000000000007</v>
      </c>
      <c r="H37" s="208">
        <f>'Object Oriented Programming 2'!AF42</f>
        <v>65</v>
      </c>
      <c r="I37" s="284">
        <f>'Digital Logic Design 2'!AE42</f>
        <v>64.285714285714292</v>
      </c>
      <c r="J37" s="284">
        <f>'Digital Logic Design 2'!AF42</f>
        <v>80</v>
      </c>
      <c r="K37" s="212">
        <f>'Expository Writing 2'!AE42</f>
        <v>64</v>
      </c>
      <c r="L37" s="212">
        <f>'Expository Writing 2'!AF42</f>
        <v>60</v>
      </c>
      <c r="M37" s="212">
        <f>'Expository Writing 2'!AG42</f>
        <v>43.333333333333336</v>
      </c>
      <c r="N37" s="557">
        <f>'Islamic Studies 2'!Y42</f>
        <v>49</v>
      </c>
      <c r="O37" s="212"/>
      <c r="P37" s="212"/>
      <c r="Q37" s="212"/>
      <c r="S37" s="209">
        <f t="shared" si="0"/>
        <v>56.5</v>
      </c>
      <c r="T37" s="209">
        <f t="shared" si="1"/>
        <v>62.666666666666664</v>
      </c>
      <c r="U37" s="209">
        <f t="shared" si="2"/>
        <v>57.916666666666671</v>
      </c>
      <c r="V37" s="209">
        <f t="shared" si="3"/>
        <v>73.8888888888889</v>
      </c>
    </row>
    <row r="38" spans="1:22" ht="18.75" x14ac:dyDescent="0.3">
      <c r="A38" s="296" t="s">
        <v>118</v>
      </c>
      <c r="B38" s="166" t="s">
        <v>119</v>
      </c>
      <c r="C38" s="272">
        <f>'Networking 2nd'!AE43</f>
        <v>71.666666666666671</v>
      </c>
      <c r="D38" s="212">
        <f>'Networking 2nd'!AF43</f>
        <v>65</v>
      </c>
      <c r="E38" s="284">
        <f>'Linear Algebra 2'!AE43</f>
        <v>64.285714285714292</v>
      </c>
      <c r="F38" s="284">
        <f>'Linear Algebra 2'!AF43</f>
        <v>80</v>
      </c>
      <c r="G38" s="284">
        <f>'Object Oriented Programming 2'!AE43</f>
        <v>48.333333333333336</v>
      </c>
      <c r="H38" s="208">
        <f>'Object Oriented Programming 2'!AF43</f>
        <v>65</v>
      </c>
      <c r="I38" s="284">
        <f>'Digital Logic Design 2'!AE43</f>
        <v>47.142857142857139</v>
      </c>
      <c r="J38" s="284">
        <f>'Digital Logic Design 2'!AF43</f>
        <v>40</v>
      </c>
      <c r="K38" s="212">
        <f>'Expository Writing 2'!AE43</f>
        <v>78</v>
      </c>
      <c r="L38" s="212">
        <f>'Expository Writing 2'!AF43</f>
        <v>80</v>
      </c>
      <c r="M38" s="212">
        <f>'Expository Writing 2'!AG43</f>
        <v>53.333333333333336</v>
      </c>
      <c r="N38" s="557">
        <f>'Islamic Studies 2'!Y43</f>
        <v>78</v>
      </c>
      <c r="O38" s="212"/>
      <c r="P38" s="212"/>
      <c r="Q38" s="212"/>
      <c r="S38" s="209">
        <f t="shared" si="0"/>
        <v>78</v>
      </c>
      <c r="T38" s="209">
        <f t="shared" si="1"/>
        <v>62.285714285714292</v>
      </c>
      <c r="U38" s="209">
        <f t="shared" si="2"/>
        <v>59.166666666666671</v>
      </c>
      <c r="V38" s="209">
        <f t="shared" si="3"/>
        <v>61.666666666666664</v>
      </c>
    </row>
    <row r="39" spans="1:22" ht="18.75" x14ac:dyDescent="0.3">
      <c r="A39" s="296" t="s">
        <v>120</v>
      </c>
      <c r="B39" s="166" t="s">
        <v>121</v>
      </c>
      <c r="C39" s="272">
        <f>'Networking 2nd'!AE44</f>
        <v>51.666666666666671</v>
      </c>
      <c r="D39" s="212">
        <f>'Networking 2nd'!AF44</f>
        <v>55.000000000000007</v>
      </c>
      <c r="E39" s="284">
        <f>'Linear Algebra 2'!AE44</f>
        <v>45.714285714285715</v>
      </c>
      <c r="F39" s="284">
        <f>'Linear Algebra 2'!AF44</f>
        <v>66.666666666666657</v>
      </c>
      <c r="G39" s="284">
        <f>'Object Oriented Programming 2'!AE44</f>
        <v>51.666666666666671</v>
      </c>
      <c r="H39" s="208">
        <f>'Object Oriented Programming 2'!AF44</f>
        <v>70</v>
      </c>
      <c r="I39" s="284">
        <f>'Digital Logic Design 2'!AE44</f>
        <v>27.142857142857142</v>
      </c>
      <c r="J39" s="284">
        <f>'Digital Logic Design 2'!AF44</f>
        <v>23.333333333333332</v>
      </c>
      <c r="K39" s="212">
        <f>'Expository Writing 2'!AE44</f>
        <v>52</v>
      </c>
      <c r="L39" s="212">
        <f>'Expository Writing 2'!AF44</f>
        <v>55.000000000000007</v>
      </c>
      <c r="M39" s="212">
        <f>'Expository Writing 2'!AG44</f>
        <v>53.333333333333336</v>
      </c>
      <c r="N39" s="557">
        <f>'Islamic Studies 2'!Y44</f>
        <v>78</v>
      </c>
      <c r="O39" s="212"/>
      <c r="P39" s="212"/>
      <c r="Q39" s="212"/>
      <c r="S39" s="209">
        <f t="shared" si="0"/>
        <v>65</v>
      </c>
      <c r="T39" s="209">
        <f t="shared" si="1"/>
        <v>46.238095238095234</v>
      </c>
      <c r="U39" s="209">
        <f t="shared" si="2"/>
        <v>54.166666666666671</v>
      </c>
      <c r="V39" s="209">
        <f t="shared" si="3"/>
        <v>53.333333333333336</v>
      </c>
    </row>
    <row r="40" spans="1:22" ht="18.75" x14ac:dyDescent="0.3">
      <c r="A40" s="296" t="s">
        <v>122</v>
      </c>
      <c r="B40" s="166" t="s">
        <v>123</v>
      </c>
      <c r="C40" s="272">
        <f>'Networking 2nd'!AE45</f>
        <v>68.333333333333329</v>
      </c>
      <c r="D40" s="212">
        <f>'Networking 2nd'!AF45</f>
        <v>57.499999999999993</v>
      </c>
      <c r="E40" s="284">
        <f>'Linear Algebra 2'!AE45</f>
        <v>67.142857142857139</v>
      </c>
      <c r="F40" s="284">
        <f>'Linear Algebra 2'!AF45</f>
        <v>76.666666666666671</v>
      </c>
      <c r="G40" s="284">
        <f>'Object Oriented Programming 2'!AE45</f>
        <v>63.333333333333329</v>
      </c>
      <c r="H40" s="208">
        <f>'Object Oriented Programming 2'!AF45</f>
        <v>57.499999999999993</v>
      </c>
      <c r="I40" s="284">
        <f>'Digital Logic Design 2'!AE45</f>
        <v>54.285714285714285</v>
      </c>
      <c r="J40" s="284">
        <f>'Digital Logic Design 2'!AF45</f>
        <v>40</v>
      </c>
      <c r="K40" s="212">
        <f>'Expository Writing 2'!AE45</f>
        <v>56.000000000000007</v>
      </c>
      <c r="L40" s="212">
        <f>'Expository Writing 2'!AF45</f>
        <v>50</v>
      </c>
      <c r="M40" s="212">
        <f>'Expository Writing 2'!AG45</f>
        <v>40</v>
      </c>
      <c r="N40" s="557">
        <f>'Islamic Studies 2'!Y45</f>
        <v>70</v>
      </c>
      <c r="O40" s="212"/>
      <c r="P40" s="212"/>
      <c r="Q40" s="212"/>
      <c r="S40" s="209">
        <f t="shared" si="0"/>
        <v>63</v>
      </c>
      <c r="T40" s="209">
        <f t="shared" si="1"/>
        <v>60.619047619047613</v>
      </c>
      <c r="U40" s="209">
        <f t="shared" si="2"/>
        <v>48.75</v>
      </c>
      <c r="V40" s="209">
        <f t="shared" si="3"/>
        <v>58.05555555555555</v>
      </c>
    </row>
    <row r="41" spans="1:22" ht="18.75" x14ac:dyDescent="0.3">
      <c r="A41" s="296" t="s">
        <v>124</v>
      </c>
      <c r="B41" s="166" t="s">
        <v>125</v>
      </c>
      <c r="C41" s="272">
        <f>'Networking 2nd'!AE46</f>
        <v>71.666666666666671</v>
      </c>
      <c r="D41" s="212">
        <f>'Networking 2nd'!AF46</f>
        <v>57.499999999999993</v>
      </c>
      <c r="E41" s="284">
        <f>'Linear Algebra 2'!AE46</f>
        <v>60</v>
      </c>
      <c r="F41" s="284">
        <f>'Linear Algebra 2'!AF46</f>
        <v>80</v>
      </c>
      <c r="G41" s="284">
        <f>'Object Oriented Programming 2'!AE46</f>
        <v>63.333333333333329</v>
      </c>
      <c r="H41" s="208">
        <f>'Object Oriented Programming 2'!AF46</f>
        <v>67.5</v>
      </c>
      <c r="I41" s="284">
        <f>'Digital Logic Design 2'!AE46</f>
        <v>60</v>
      </c>
      <c r="J41" s="284">
        <f>'Digital Logic Design 2'!AF46</f>
        <v>56.666666666666664</v>
      </c>
      <c r="K41" s="212">
        <f>'Expository Writing 2'!AE46</f>
        <v>64</v>
      </c>
      <c r="L41" s="212">
        <f>'Expository Writing 2'!AF46</f>
        <v>50</v>
      </c>
      <c r="M41" s="212">
        <f>'Expository Writing 2'!AG46</f>
        <v>46.666666666666664</v>
      </c>
      <c r="N41" s="557">
        <f>'Islamic Studies 2'!Y46</f>
        <v>61</v>
      </c>
      <c r="O41" s="212"/>
      <c r="P41" s="212"/>
      <c r="Q41" s="212"/>
      <c r="S41" s="209">
        <f t="shared" si="0"/>
        <v>62.5</v>
      </c>
      <c r="T41" s="209">
        <f t="shared" si="1"/>
        <v>61</v>
      </c>
      <c r="U41" s="209">
        <f t="shared" si="2"/>
        <v>52.083333333333329</v>
      </c>
      <c r="V41" s="209">
        <f t="shared" si="3"/>
        <v>68.055555555555557</v>
      </c>
    </row>
    <row r="42" spans="1:22" ht="18.75" x14ac:dyDescent="0.3">
      <c r="A42" s="296" t="s">
        <v>126</v>
      </c>
      <c r="B42" s="166" t="s">
        <v>94</v>
      </c>
      <c r="C42" s="272">
        <f>'Networking 2nd'!AE47</f>
        <v>0</v>
      </c>
      <c r="D42" s="212">
        <f>'Networking 2nd'!AF47</f>
        <v>0</v>
      </c>
      <c r="E42" s="284">
        <f>'Linear Algebra 2'!AE47</f>
        <v>0</v>
      </c>
      <c r="F42" s="284">
        <f>'Linear Algebra 2'!AF47</f>
        <v>0</v>
      </c>
      <c r="G42" s="284">
        <f>'Object Oriented Programming 2'!AE47</f>
        <v>0</v>
      </c>
      <c r="H42" s="208">
        <f>'Object Oriented Programming 2'!AF47</f>
        <v>0</v>
      </c>
      <c r="I42" s="284">
        <f>'Digital Logic Design 2'!AE47</f>
        <v>0</v>
      </c>
      <c r="J42" s="284">
        <f>'Digital Logic Design 2'!AF47</f>
        <v>0</v>
      </c>
      <c r="K42" s="212">
        <f>'Expository Writing 2'!AE47</f>
        <v>0</v>
      </c>
      <c r="L42" s="212">
        <f>'Expository Writing 2'!AF47</f>
        <v>0</v>
      </c>
      <c r="M42" s="212">
        <f>'Expository Writing 2'!AG47</f>
        <v>0</v>
      </c>
      <c r="N42" s="557">
        <f>'Islamic Studies 2'!Y47</f>
        <v>0</v>
      </c>
      <c r="O42" s="212"/>
      <c r="P42" s="212"/>
      <c r="Q42" s="212"/>
      <c r="S42" s="209">
        <f t="shared" si="0"/>
        <v>0</v>
      </c>
      <c r="T42" s="209">
        <f t="shared" si="1"/>
        <v>0</v>
      </c>
      <c r="U42" s="209">
        <f t="shared" si="2"/>
        <v>0</v>
      </c>
      <c r="V42" s="209">
        <f t="shared" si="3"/>
        <v>0</v>
      </c>
    </row>
    <row r="43" spans="1:22" ht="18.75" x14ac:dyDescent="0.3">
      <c r="A43" s="296" t="s">
        <v>127</v>
      </c>
      <c r="B43" s="166" t="s">
        <v>128</v>
      </c>
      <c r="C43" s="272">
        <f>'Networking 2nd'!AE48</f>
        <v>56.666666666666664</v>
      </c>
      <c r="D43" s="212">
        <f>'Networking 2nd'!AF48</f>
        <v>85</v>
      </c>
      <c r="E43" s="284">
        <f>'Linear Algebra 2'!AE48</f>
        <v>64.285714285714292</v>
      </c>
      <c r="F43" s="284">
        <f>'Linear Algebra 2'!AF48</f>
        <v>86.666666666666671</v>
      </c>
      <c r="G43" s="284">
        <f>'Object Oriented Programming 2'!AE48</f>
        <v>61.666666666666671</v>
      </c>
      <c r="H43" s="208">
        <f>'Object Oriented Programming 2'!AF48</f>
        <v>70</v>
      </c>
      <c r="I43" s="284">
        <f>'Digital Logic Design 2'!AE48</f>
        <v>74.285714285714292</v>
      </c>
      <c r="J43" s="284">
        <f>'Digital Logic Design 2'!AF48</f>
        <v>76.666666666666671</v>
      </c>
      <c r="K43" s="212">
        <f>'Expository Writing 2'!AE48</f>
        <v>68</v>
      </c>
      <c r="L43" s="212">
        <f>'Expository Writing 2'!AF48</f>
        <v>80</v>
      </c>
      <c r="M43" s="212">
        <f>'Expository Writing 2'!AG48</f>
        <v>60</v>
      </c>
      <c r="N43" s="557">
        <f>'Islamic Studies 2'!Y48</f>
        <v>67</v>
      </c>
      <c r="O43" s="212"/>
      <c r="P43" s="212"/>
      <c r="Q43" s="212"/>
      <c r="S43" s="209">
        <f t="shared" si="0"/>
        <v>67.5</v>
      </c>
      <c r="T43" s="209">
        <f t="shared" si="1"/>
        <v>67.38095238095238</v>
      </c>
      <c r="U43" s="209">
        <f t="shared" si="2"/>
        <v>72.5</v>
      </c>
      <c r="V43" s="209">
        <f t="shared" si="3"/>
        <v>77.777777777777786</v>
      </c>
    </row>
    <row r="44" spans="1:22" ht="18.75" x14ac:dyDescent="0.3">
      <c r="A44" s="296" t="s">
        <v>129</v>
      </c>
      <c r="B44" s="166" t="s">
        <v>130</v>
      </c>
      <c r="C44" s="272">
        <f>'Networking 2nd'!AE49</f>
        <v>75</v>
      </c>
      <c r="D44" s="212">
        <f>'Networking 2nd'!AF49</f>
        <v>72.5</v>
      </c>
      <c r="E44" s="284">
        <f>'Linear Algebra 2'!AE49</f>
        <v>60</v>
      </c>
      <c r="F44" s="284">
        <f>'Linear Algebra 2'!AF49</f>
        <v>83.333333333333343</v>
      </c>
      <c r="G44" s="284">
        <f>'Object Oriented Programming 2'!AE49</f>
        <v>63.333333333333329</v>
      </c>
      <c r="H44" s="208">
        <f>'Object Oriented Programming 2'!AF49</f>
        <v>62.5</v>
      </c>
      <c r="I44" s="284">
        <f>'Digital Logic Design 2'!AE49</f>
        <v>67.142857142857139</v>
      </c>
      <c r="J44" s="284">
        <f>'Digital Logic Design 2'!AF49</f>
        <v>76.666666666666671</v>
      </c>
      <c r="K44" s="212">
        <f>'Expository Writing 2'!AE49</f>
        <v>64</v>
      </c>
      <c r="L44" s="212">
        <f>'Expository Writing 2'!AF49</f>
        <v>55.000000000000007</v>
      </c>
      <c r="M44" s="212">
        <f>'Expository Writing 2'!AG49</f>
        <v>53.333333333333336</v>
      </c>
      <c r="N44" s="557">
        <f>'Islamic Studies 2'!Y49</f>
        <v>79</v>
      </c>
      <c r="O44" s="212"/>
      <c r="P44" s="212"/>
      <c r="Q44" s="212"/>
      <c r="S44" s="209">
        <f t="shared" si="0"/>
        <v>71.5</v>
      </c>
      <c r="T44" s="209">
        <f t="shared" si="1"/>
        <v>64.095238095238102</v>
      </c>
      <c r="U44" s="209">
        <f t="shared" si="2"/>
        <v>62.916666666666671</v>
      </c>
      <c r="V44" s="209">
        <f t="shared" si="3"/>
        <v>74.166666666666671</v>
      </c>
    </row>
    <row r="45" spans="1:22" ht="18.75" x14ac:dyDescent="0.3">
      <c r="A45" s="296" t="s">
        <v>132</v>
      </c>
      <c r="B45" s="166" t="s">
        <v>133</v>
      </c>
      <c r="C45" s="272">
        <f>'Networking 2nd'!AE50</f>
        <v>0</v>
      </c>
      <c r="D45" s="212">
        <f>'Networking 2nd'!AF50</f>
        <v>0</v>
      </c>
      <c r="E45" s="284">
        <f>'Linear Algebra 2'!AE50</f>
        <v>0</v>
      </c>
      <c r="F45" s="284">
        <f>'Linear Algebra 2'!AF50</f>
        <v>0</v>
      </c>
      <c r="G45" s="284">
        <f>'Object Oriented Programming 2'!AE50</f>
        <v>0</v>
      </c>
      <c r="H45" s="208">
        <f>'Object Oriented Programming 2'!AF50</f>
        <v>0</v>
      </c>
      <c r="I45" s="284">
        <f>'Digital Logic Design 2'!AE50</f>
        <v>0</v>
      </c>
      <c r="J45" s="284">
        <f>'Digital Logic Design 2'!AF50</f>
        <v>0</v>
      </c>
      <c r="K45" s="212">
        <f>'Expository Writing 2'!AE50</f>
        <v>0</v>
      </c>
      <c r="L45" s="212">
        <f>'Expository Writing 2'!AF50</f>
        <v>0</v>
      </c>
      <c r="M45" s="212">
        <f>'Expository Writing 2'!AG50</f>
        <v>0</v>
      </c>
      <c r="N45" s="557">
        <f>'Islamic Studies 2'!Y50</f>
        <v>0</v>
      </c>
      <c r="O45" s="212"/>
      <c r="P45" s="212"/>
      <c r="Q45" s="212"/>
      <c r="S45" s="209">
        <f t="shared" si="0"/>
        <v>0</v>
      </c>
      <c r="T45" s="209">
        <f t="shared" si="1"/>
        <v>0</v>
      </c>
      <c r="U45" s="209">
        <f t="shared" si="2"/>
        <v>0</v>
      </c>
      <c r="V45" s="209">
        <f t="shared" si="3"/>
        <v>0</v>
      </c>
    </row>
    <row r="46" spans="1:22" ht="18.75" x14ac:dyDescent="0.3">
      <c r="A46" s="296" t="s">
        <v>134</v>
      </c>
      <c r="B46" s="166" t="s">
        <v>135</v>
      </c>
      <c r="C46" s="272">
        <f>'Networking 2nd'!AE51</f>
        <v>58.333333333333336</v>
      </c>
      <c r="D46" s="212">
        <f>'Networking 2nd'!AF51</f>
        <v>77.5</v>
      </c>
      <c r="E46" s="284">
        <f>'Linear Algebra 2'!AE51</f>
        <v>72.857142857142847</v>
      </c>
      <c r="F46" s="284">
        <f>'Linear Algebra 2'!AF51</f>
        <v>73.333333333333329</v>
      </c>
      <c r="G46" s="284">
        <f>'Object Oriented Programming 2'!AE51</f>
        <v>61.666666666666671</v>
      </c>
      <c r="H46" s="208">
        <f>'Object Oriented Programming 2'!AF51</f>
        <v>70</v>
      </c>
      <c r="I46" s="284">
        <f>'Digital Logic Design 2'!AE51</f>
        <v>72.857142857142847</v>
      </c>
      <c r="J46" s="284">
        <f>'Digital Logic Design 2'!AF51</f>
        <v>83.333333333333343</v>
      </c>
      <c r="K46" s="212">
        <f>'Expository Writing 2'!AE51</f>
        <v>54</v>
      </c>
      <c r="L46" s="212">
        <f>'Expository Writing 2'!AF51</f>
        <v>65</v>
      </c>
      <c r="M46" s="212">
        <f>'Expository Writing 2'!AG51</f>
        <v>63.333333333333329</v>
      </c>
      <c r="N46" s="557">
        <f>'Islamic Studies 2'!Y51</f>
        <v>71</v>
      </c>
      <c r="O46" s="212"/>
      <c r="P46" s="212"/>
      <c r="Q46" s="212"/>
      <c r="S46" s="209">
        <f t="shared" si="0"/>
        <v>62.5</v>
      </c>
      <c r="T46" s="209">
        <f t="shared" si="1"/>
        <v>66.142857142857139</v>
      </c>
      <c r="U46" s="209">
        <f t="shared" si="2"/>
        <v>70.416666666666657</v>
      </c>
      <c r="V46" s="209">
        <f t="shared" si="3"/>
        <v>75.555555555555557</v>
      </c>
    </row>
    <row r="47" spans="1:22" ht="18.75" x14ac:dyDescent="0.3">
      <c r="A47" s="296" t="s">
        <v>136</v>
      </c>
      <c r="B47" s="166" t="s">
        <v>137</v>
      </c>
      <c r="C47" s="272">
        <f>'Networking 2nd'!AE52</f>
        <v>60</v>
      </c>
      <c r="D47" s="212">
        <f>'Networking 2nd'!AF52</f>
        <v>75</v>
      </c>
      <c r="E47" s="284">
        <f>'Linear Algebra 2'!AE52</f>
        <v>70</v>
      </c>
      <c r="F47" s="284">
        <f>'Linear Algebra 2'!AF52</f>
        <v>70</v>
      </c>
      <c r="G47" s="284">
        <f>'Object Oriented Programming 2'!AE52</f>
        <v>45</v>
      </c>
      <c r="H47" s="208">
        <f>'Object Oriented Programming 2'!AF52</f>
        <v>65</v>
      </c>
      <c r="I47" s="284">
        <f>'Digital Logic Design 2'!AE52</f>
        <v>62.857142857142854</v>
      </c>
      <c r="J47" s="284">
        <f>'Digital Logic Design 2'!AF52</f>
        <v>70</v>
      </c>
      <c r="K47" s="212">
        <f>'Expository Writing 2'!AE52</f>
        <v>62</v>
      </c>
      <c r="L47" s="212">
        <f>'Expository Writing 2'!AF52</f>
        <v>55.000000000000007</v>
      </c>
      <c r="M47" s="212">
        <f>'Expository Writing 2'!AG52</f>
        <v>60</v>
      </c>
      <c r="N47" s="557">
        <f>'Islamic Studies 2'!Y52</f>
        <v>80</v>
      </c>
      <c r="O47" s="212"/>
      <c r="P47" s="212"/>
      <c r="Q47" s="212"/>
      <c r="S47" s="209">
        <f t="shared" si="0"/>
        <v>71</v>
      </c>
      <c r="T47" s="209">
        <f t="shared" si="1"/>
        <v>58.571428571428577</v>
      </c>
      <c r="U47" s="209">
        <f t="shared" si="2"/>
        <v>67.5</v>
      </c>
      <c r="V47" s="209">
        <f t="shared" si="3"/>
        <v>68.333333333333329</v>
      </c>
    </row>
    <row r="48" spans="1:22" ht="18.75" x14ac:dyDescent="0.3">
      <c r="A48" s="296" t="s">
        <v>138</v>
      </c>
      <c r="B48" s="166" t="s">
        <v>139</v>
      </c>
      <c r="C48" s="272">
        <f>'Networking 2nd'!AE53</f>
        <v>50</v>
      </c>
      <c r="D48" s="212">
        <f>'Networking 2nd'!AF53</f>
        <v>67.5</v>
      </c>
      <c r="E48" s="284">
        <f>'Linear Algebra 2'!AE53</f>
        <v>38.571428571428577</v>
      </c>
      <c r="F48" s="284">
        <f>'Linear Algebra 2'!AF53</f>
        <v>53.333333333333336</v>
      </c>
      <c r="G48" s="284">
        <f>'Object Oriented Programming 2'!AE53</f>
        <v>58.333333333333336</v>
      </c>
      <c r="H48" s="208">
        <f>'Object Oriented Programming 2'!AF53</f>
        <v>75</v>
      </c>
      <c r="I48" s="284">
        <f>'Digital Logic Design 2'!AE53</f>
        <v>65.714285714285708</v>
      </c>
      <c r="J48" s="284">
        <f>'Digital Logic Design 2'!AF53</f>
        <v>60</v>
      </c>
      <c r="K48" s="212">
        <f>'Expository Writing 2'!AE53</f>
        <v>42</v>
      </c>
      <c r="L48" s="212">
        <f>'Expository Writing 2'!AF53</f>
        <v>60</v>
      </c>
      <c r="M48" s="212">
        <f>'Expository Writing 2'!AG53</f>
        <v>60</v>
      </c>
      <c r="N48" s="557">
        <f>'Islamic Studies 2'!Y53</f>
        <v>59</v>
      </c>
      <c r="O48" s="212"/>
      <c r="P48" s="212"/>
      <c r="Q48" s="212"/>
      <c r="S48" s="209">
        <f t="shared" si="0"/>
        <v>50.5</v>
      </c>
      <c r="T48" s="209">
        <f t="shared" si="1"/>
        <v>54.523809523809533</v>
      </c>
      <c r="U48" s="209">
        <f t="shared" si="2"/>
        <v>63.75</v>
      </c>
      <c r="V48" s="209">
        <f t="shared" si="3"/>
        <v>62.777777777777779</v>
      </c>
    </row>
    <row r="49" spans="1:22" ht="18.75" x14ac:dyDescent="0.3">
      <c r="A49" s="300" t="s">
        <v>140</v>
      </c>
      <c r="B49" s="166" t="s">
        <v>141</v>
      </c>
      <c r="C49" s="272">
        <f>'Networking 2nd'!AE54</f>
        <v>46.666666666666664</v>
      </c>
      <c r="D49" s="212">
        <f>'Networking 2nd'!AF54</f>
        <v>62.5</v>
      </c>
      <c r="E49" s="284">
        <f>'Linear Algebra 2'!AE54</f>
        <v>68.571428571428569</v>
      </c>
      <c r="F49" s="284">
        <f>'Linear Algebra 2'!AF54</f>
        <v>73.333333333333329</v>
      </c>
      <c r="G49" s="284">
        <f>'Object Oriented Programming 2'!AE54</f>
        <v>48.333333333333336</v>
      </c>
      <c r="H49" s="208">
        <f>'Object Oriented Programming 2'!AF54</f>
        <v>75</v>
      </c>
      <c r="I49" s="284">
        <f>'Digital Logic Design 2'!AE54</f>
        <v>54.285714285714285</v>
      </c>
      <c r="J49" s="284">
        <f>'Digital Logic Design 2'!AF54</f>
        <v>50</v>
      </c>
      <c r="K49" s="212">
        <f>'Expository Writing 2'!AE54</f>
        <v>56.000000000000007</v>
      </c>
      <c r="L49" s="212">
        <f>'Expository Writing 2'!AF54</f>
        <v>55.000000000000007</v>
      </c>
      <c r="M49" s="212">
        <f>'Expository Writing 2'!AG54</f>
        <v>60</v>
      </c>
      <c r="N49" s="557">
        <f>'Islamic Studies 2'!Y54</f>
        <v>74</v>
      </c>
      <c r="O49" s="212"/>
      <c r="P49" s="212"/>
      <c r="Q49" s="212"/>
      <c r="S49" s="209">
        <f t="shared" si="0"/>
        <v>65</v>
      </c>
      <c r="T49" s="209">
        <f t="shared" si="1"/>
        <v>54.571428571428577</v>
      </c>
      <c r="U49" s="209">
        <f t="shared" si="2"/>
        <v>61.25</v>
      </c>
      <c r="V49" s="209">
        <f t="shared" si="3"/>
        <v>66.1111111111111</v>
      </c>
    </row>
    <row r="50" spans="1:22" ht="18.75" x14ac:dyDescent="0.3">
      <c r="A50" s="300" t="s">
        <v>142</v>
      </c>
      <c r="B50" s="166" t="s">
        <v>143</v>
      </c>
      <c r="C50" s="272">
        <f>'Networking 2nd'!AE55</f>
        <v>51.666666666666671</v>
      </c>
      <c r="D50" s="212">
        <f>'Networking 2nd'!AF55</f>
        <v>62.5</v>
      </c>
      <c r="E50" s="284">
        <f>'Linear Algebra 2'!AE55</f>
        <v>85.714285714285708</v>
      </c>
      <c r="F50" s="284">
        <f>'Linear Algebra 2'!AF55</f>
        <v>96.666666666666671</v>
      </c>
      <c r="G50" s="284">
        <f>'Object Oriented Programming 2'!AE55</f>
        <v>66.666666666666657</v>
      </c>
      <c r="H50" s="208">
        <f>'Object Oriented Programming 2'!AF55</f>
        <v>75</v>
      </c>
      <c r="I50" s="284">
        <f>'Digital Logic Design 2'!AE55</f>
        <v>45.714285714285715</v>
      </c>
      <c r="J50" s="284">
        <f>'Digital Logic Design 2'!AF55</f>
        <v>60</v>
      </c>
      <c r="K50" s="212">
        <f>'Expository Writing 2'!AE55</f>
        <v>42</v>
      </c>
      <c r="L50" s="212">
        <f>'Expository Writing 2'!AF55</f>
        <v>55.000000000000007</v>
      </c>
      <c r="M50" s="212">
        <f>'Expository Writing 2'!AG55</f>
        <v>60</v>
      </c>
      <c r="N50" s="557">
        <f>'Islamic Studies 2'!Y55</f>
        <v>77</v>
      </c>
      <c r="O50" s="212"/>
      <c r="P50" s="212"/>
      <c r="Q50" s="212"/>
      <c r="S50" s="209">
        <f t="shared" si="0"/>
        <v>59.5</v>
      </c>
      <c r="T50" s="209">
        <f t="shared" si="1"/>
        <v>60.952380952380949</v>
      </c>
      <c r="U50" s="209">
        <f t="shared" si="2"/>
        <v>61.25</v>
      </c>
      <c r="V50" s="209">
        <f t="shared" si="3"/>
        <v>77.222222222222229</v>
      </c>
    </row>
    <row r="51" spans="1:22" ht="19.5" thickBot="1" x14ac:dyDescent="0.35">
      <c r="A51" s="301" t="s">
        <v>144</v>
      </c>
      <c r="B51" s="302" t="s">
        <v>145</v>
      </c>
      <c r="C51" s="272">
        <f>'Networking 2nd'!AE56</f>
        <v>65</v>
      </c>
      <c r="D51" s="212">
        <f>'Networking 2nd'!AF56</f>
        <v>75</v>
      </c>
      <c r="E51" s="284">
        <f>'Linear Algebra 2'!AE56</f>
        <v>72.857142857142847</v>
      </c>
      <c r="F51" s="284">
        <f>'Linear Algebra 2'!AF56</f>
        <v>73.333333333333329</v>
      </c>
      <c r="G51" s="284">
        <f>'Object Oriented Programming 2'!AE56</f>
        <v>51.666666666666671</v>
      </c>
      <c r="H51" s="208">
        <f>'Object Oriented Programming 2'!AF56</f>
        <v>82.5</v>
      </c>
      <c r="I51" s="284">
        <f>'Digital Logic Design 2'!AE56</f>
        <v>65.714285714285708</v>
      </c>
      <c r="J51" s="284">
        <f>'Digital Logic Design 2'!AF56</f>
        <v>66.666666666666657</v>
      </c>
      <c r="K51" s="212">
        <f>'Expository Writing 2'!AE56</f>
        <v>62</v>
      </c>
      <c r="L51" s="212">
        <f>'Expository Writing 2'!AF56</f>
        <v>65</v>
      </c>
      <c r="M51" s="212">
        <f>'Expository Writing 2'!AG56</f>
        <v>46.666666666666664</v>
      </c>
      <c r="N51" s="557">
        <f>'Islamic Studies 2'!Y56</f>
        <v>80</v>
      </c>
      <c r="O51" s="212"/>
      <c r="P51" s="212"/>
      <c r="Q51" s="213"/>
      <c r="S51" s="209">
        <f t="shared" si="0"/>
        <v>71</v>
      </c>
      <c r="T51" s="209">
        <f t="shared" si="1"/>
        <v>64.047619047619051</v>
      </c>
      <c r="U51" s="209">
        <f t="shared" si="2"/>
        <v>60.833333333333329</v>
      </c>
      <c r="V51" s="209">
        <f t="shared" si="3"/>
        <v>74.166666666666657</v>
      </c>
    </row>
    <row r="52" spans="1:22" x14ac:dyDescent="0.25">
      <c r="A52" s="276"/>
      <c r="B52" s="214"/>
    </row>
  </sheetData>
  <mergeCells count="14">
    <mergeCell ref="K5:M5"/>
    <mergeCell ref="K4:M4"/>
    <mergeCell ref="C3:I3"/>
    <mergeCell ref="J3:N3"/>
    <mergeCell ref="G5:H5"/>
    <mergeCell ref="G4:H4"/>
    <mergeCell ref="I5:J5"/>
    <mergeCell ref="I4:J4"/>
    <mergeCell ref="S5:V5"/>
    <mergeCell ref="C5:D5"/>
    <mergeCell ref="E5:F5"/>
    <mergeCell ref="A2:Q2"/>
    <mergeCell ref="C4:D4"/>
    <mergeCell ref="E4:F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7A12-146B-4310-9452-9F8184A06CE9}">
  <dimension ref="A2:AE52"/>
  <sheetViews>
    <sheetView tabSelected="1" topLeftCell="A2" workbookViewId="0">
      <selection activeCell="Y7" sqref="Y7"/>
    </sheetView>
  </sheetViews>
  <sheetFormatPr defaultRowHeight="15" x14ac:dyDescent="0.25"/>
  <cols>
    <col min="1" max="1" width="15.5703125" customWidth="1"/>
    <col min="2" max="2" width="26.28515625" customWidth="1"/>
    <col min="3" max="3" width="11.28515625" customWidth="1"/>
    <col min="4" max="4" width="6.140625" customWidth="1"/>
    <col min="5" max="5" width="7.85546875" customWidth="1"/>
    <col min="6" max="6" width="15.140625" customWidth="1"/>
    <col min="9" max="9" width="11.28515625" customWidth="1"/>
    <col min="13" max="13" width="16.85546875" bestFit="1" customWidth="1"/>
    <col min="14" max="14" width="9" customWidth="1"/>
    <col min="15" max="15" width="11.28515625" customWidth="1"/>
    <col min="16" max="16" width="10.28515625" customWidth="1"/>
    <col min="17" max="17" width="9.7109375" customWidth="1"/>
    <col min="18" max="18" width="10.85546875" customWidth="1"/>
    <col min="19" max="19" width="9.28515625" customWidth="1"/>
    <col min="21" max="21" width="11.140625" customWidth="1"/>
    <col min="25" max="25" width="16.85546875" customWidth="1"/>
  </cols>
  <sheetData>
    <row r="2" spans="1:31" ht="29.25" thickBot="1" x14ac:dyDescent="0.5">
      <c r="A2" s="547" t="s">
        <v>157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</row>
    <row r="3" spans="1:31" ht="18.75" x14ac:dyDescent="0.3">
      <c r="A3" s="286"/>
      <c r="B3" s="287"/>
      <c r="C3" s="287"/>
      <c r="D3" s="548" t="s">
        <v>179</v>
      </c>
      <c r="E3" s="548"/>
      <c r="F3" s="548"/>
      <c r="G3" s="288"/>
      <c r="H3" s="553" t="s">
        <v>158</v>
      </c>
      <c r="I3" s="553"/>
      <c r="J3" s="553"/>
      <c r="K3" s="554"/>
      <c r="L3" s="289"/>
      <c r="M3" s="290"/>
      <c r="N3" s="268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</row>
    <row r="4" spans="1:31" ht="24" customHeight="1" x14ac:dyDescent="0.25">
      <c r="A4" s="291"/>
      <c r="C4" s="457" t="s">
        <v>159</v>
      </c>
      <c r="D4" s="458"/>
      <c r="E4" s="459" t="s">
        <v>160</v>
      </c>
      <c r="F4" s="460"/>
      <c r="G4" s="459" t="s">
        <v>161</v>
      </c>
      <c r="H4" s="460"/>
      <c r="I4" s="459" t="s">
        <v>162</v>
      </c>
      <c r="J4" s="461"/>
      <c r="K4" s="459" t="s">
        <v>163</v>
      </c>
      <c r="L4" s="461"/>
      <c r="M4" s="292" t="s">
        <v>164</v>
      </c>
      <c r="N4" s="549" t="s">
        <v>264</v>
      </c>
      <c r="O4" s="550"/>
      <c r="P4" s="551" t="s">
        <v>162</v>
      </c>
      <c r="Q4" s="551"/>
      <c r="R4" s="459" t="s">
        <v>273</v>
      </c>
      <c r="S4" s="461"/>
      <c r="T4" s="459" t="s">
        <v>274</v>
      </c>
      <c r="U4" s="461"/>
      <c r="V4" s="459" t="s">
        <v>277</v>
      </c>
      <c r="W4" s="460"/>
      <c r="X4" s="461"/>
      <c r="Y4" s="200" t="s">
        <v>164</v>
      </c>
    </row>
    <row r="5" spans="1:31" ht="111" customHeight="1" x14ac:dyDescent="0.35">
      <c r="A5" s="293"/>
      <c r="B5" s="202"/>
      <c r="C5" s="462" t="s">
        <v>165</v>
      </c>
      <c r="D5" s="463"/>
      <c r="E5" s="464" t="s">
        <v>166</v>
      </c>
      <c r="F5" s="464"/>
      <c r="G5" s="452" t="s">
        <v>167</v>
      </c>
      <c r="H5" s="453"/>
      <c r="I5" s="452" t="s">
        <v>168</v>
      </c>
      <c r="J5" s="453" t="s">
        <v>169</v>
      </c>
      <c r="K5" s="552" t="s">
        <v>170</v>
      </c>
      <c r="L5" s="545"/>
      <c r="M5" s="294" t="s">
        <v>171</v>
      </c>
      <c r="N5" s="545" t="s">
        <v>266</v>
      </c>
      <c r="O5" s="546"/>
      <c r="P5" s="546" t="s">
        <v>265</v>
      </c>
      <c r="Q5" s="546"/>
      <c r="R5" s="552" t="s">
        <v>272</v>
      </c>
      <c r="S5" s="555"/>
      <c r="T5" s="555" t="s">
        <v>275</v>
      </c>
      <c r="U5" s="555"/>
      <c r="V5" s="546" t="s">
        <v>276</v>
      </c>
      <c r="W5" s="546"/>
      <c r="X5" s="546"/>
      <c r="Y5" s="305" t="s">
        <v>279</v>
      </c>
      <c r="AA5" s="450" t="s">
        <v>172</v>
      </c>
      <c r="AB5" s="451"/>
      <c r="AC5" s="451"/>
      <c r="AD5" s="451"/>
      <c r="AE5" s="451"/>
    </row>
    <row r="6" spans="1:31" ht="15.75" x14ac:dyDescent="0.25">
      <c r="A6" s="293"/>
      <c r="B6" s="202"/>
      <c r="C6" s="205" t="s">
        <v>173</v>
      </c>
      <c r="D6" s="205" t="s">
        <v>174</v>
      </c>
      <c r="E6" s="205" t="s">
        <v>173</v>
      </c>
      <c r="F6" s="205" t="s">
        <v>180</v>
      </c>
      <c r="G6" s="205" t="s">
        <v>173</v>
      </c>
      <c r="H6" s="205" t="s">
        <v>174</v>
      </c>
      <c r="I6" s="205" t="s">
        <v>173</v>
      </c>
      <c r="J6" s="205" t="s">
        <v>174</v>
      </c>
      <c r="K6" s="205" t="s">
        <v>177</v>
      </c>
      <c r="L6" s="205" t="s">
        <v>176</v>
      </c>
      <c r="M6" s="269" t="s">
        <v>177</v>
      </c>
      <c r="N6" s="285" t="s">
        <v>267</v>
      </c>
      <c r="O6" s="205" t="s">
        <v>268</v>
      </c>
      <c r="P6" s="205" t="s">
        <v>267</v>
      </c>
      <c r="Q6" s="205" t="s">
        <v>270</v>
      </c>
      <c r="R6" s="205" t="s">
        <v>267</v>
      </c>
      <c r="S6" s="205" t="s">
        <v>270</v>
      </c>
      <c r="T6" s="205" t="s">
        <v>267</v>
      </c>
      <c r="U6" s="205" t="s">
        <v>270</v>
      </c>
      <c r="V6" s="205" t="s">
        <v>278</v>
      </c>
      <c r="W6" s="205" t="s">
        <v>267</v>
      </c>
      <c r="X6" s="205" t="s">
        <v>268</v>
      </c>
      <c r="Y6" s="205" t="s">
        <v>177</v>
      </c>
      <c r="AA6" s="206" t="s">
        <v>177</v>
      </c>
      <c r="AB6" s="206" t="s">
        <v>173</v>
      </c>
      <c r="AC6" s="206" t="s">
        <v>174</v>
      </c>
      <c r="AD6" s="206" t="s">
        <v>180</v>
      </c>
      <c r="AE6" s="206" t="s">
        <v>176</v>
      </c>
    </row>
    <row r="7" spans="1:31" ht="18.75" x14ac:dyDescent="0.3">
      <c r="A7" s="295" t="s">
        <v>178</v>
      </c>
      <c r="B7" s="207" t="s">
        <v>27</v>
      </c>
      <c r="C7" s="208">
        <v>100</v>
      </c>
      <c r="D7" s="208">
        <v>100</v>
      </c>
      <c r="E7" s="208">
        <v>100</v>
      </c>
      <c r="F7" s="208">
        <v>100</v>
      </c>
      <c r="G7" s="208">
        <v>100</v>
      </c>
      <c r="H7" s="208">
        <v>100</v>
      </c>
      <c r="I7" s="208">
        <v>100</v>
      </c>
      <c r="J7" s="208">
        <v>100</v>
      </c>
      <c r="K7" s="208">
        <v>100</v>
      </c>
      <c r="L7" s="208">
        <v>100</v>
      </c>
      <c r="M7" s="271">
        <v>100</v>
      </c>
      <c r="N7" s="270">
        <v>100</v>
      </c>
      <c r="O7" s="208">
        <v>100</v>
      </c>
      <c r="P7" s="284">
        <v>100</v>
      </c>
      <c r="Q7" s="284">
        <v>100</v>
      </c>
      <c r="R7" s="284">
        <v>100</v>
      </c>
      <c r="S7" s="208">
        <v>100</v>
      </c>
      <c r="T7" s="284">
        <v>100</v>
      </c>
      <c r="U7" s="284">
        <v>100</v>
      </c>
      <c r="V7" s="208">
        <v>100</v>
      </c>
      <c r="W7" s="208">
        <v>100</v>
      </c>
      <c r="X7" s="208">
        <v>100</v>
      </c>
      <c r="Y7" s="208">
        <v>100</v>
      </c>
      <c r="AA7" s="209">
        <f>SUM(K7,M7,V7,Y7)/4</f>
        <v>100</v>
      </c>
      <c r="AB7" s="209">
        <f>SUM(C7,E7,G7,I7,N7,P7,R7,T7,W7)/9</f>
        <v>100</v>
      </c>
      <c r="AC7" s="209">
        <f>SUM(D7,J7,H7,O7,X7)/5</f>
        <v>100</v>
      </c>
      <c r="AD7" s="209">
        <f>SUM(F7,Q7,S7,U7)/4</f>
        <v>100</v>
      </c>
      <c r="AE7" s="209">
        <v>100</v>
      </c>
    </row>
    <row r="8" spans="1:31" ht="18.75" x14ac:dyDescent="0.3">
      <c r="A8" s="296" t="s">
        <v>51</v>
      </c>
      <c r="B8" s="166" t="s">
        <v>52</v>
      </c>
      <c r="C8" s="211">
        <f>'Discrete Structure'!V11</f>
        <v>77.142857142857153</v>
      </c>
      <c r="D8" s="212">
        <f>'Discrete Structure'!W11</f>
        <v>70</v>
      </c>
      <c r="E8" s="212">
        <f>'Programmming Fundamental'!W11</f>
        <v>56.81818181818182</v>
      </c>
      <c r="F8" s="212">
        <f>'Programmming Fundamental'!X11</f>
        <v>57.692307692307686</v>
      </c>
      <c r="G8" s="212">
        <f>'Application of Information &amp; Co'!R12</f>
        <v>60</v>
      </c>
      <c r="H8" s="212">
        <f>'Application of Information &amp; Co'!T12</f>
        <v>55.000000000000007</v>
      </c>
      <c r="I8" s="212">
        <f>'Calculus and Analytic Geometry'!V11</f>
        <v>75</v>
      </c>
      <c r="J8" s="212">
        <f>'Calculus and Analytic Geometry'!W11</f>
        <v>77.272727272727266</v>
      </c>
      <c r="K8" s="212">
        <f>'Functional English'!V11</f>
        <v>61.764705882352942</v>
      </c>
      <c r="L8" s="212">
        <f>'Functional English'!W11</f>
        <v>57.575757575757578</v>
      </c>
      <c r="M8" s="273">
        <f>'Teaching of Holy Quran with Tra'!V11</f>
        <v>74</v>
      </c>
      <c r="N8" s="272">
        <f>'Networking 2nd'!AE13</f>
        <v>68.333333333333329</v>
      </c>
      <c r="O8" s="212">
        <f>'Networking 2nd'!AF13</f>
        <v>82.5</v>
      </c>
      <c r="P8" s="284">
        <f>'Linear Algebra 2'!AE13</f>
        <v>74.285714285714292</v>
      </c>
      <c r="Q8" s="284">
        <f>'Linear Algebra 2'!AF13</f>
        <v>76.666666666666671</v>
      </c>
      <c r="R8" s="284">
        <f>'Object Oriented Programming 2'!AE13</f>
        <v>53.333333333333336</v>
      </c>
      <c r="S8" s="208">
        <f>'Object Oriented Programming 2'!AF13</f>
        <v>67.5</v>
      </c>
      <c r="T8" s="284">
        <f>'Digital Logic Design 2'!AE13</f>
        <v>45.714285714285715</v>
      </c>
      <c r="U8" s="284">
        <f>'Digital Logic Design 2'!AF13</f>
        <v>56.666666666666664</v>
      </c>
      <c r="V8" s="212">
        <f>'Expository Writing 2'!AE13</f>
        <v>48</v>
      </c>
      <c r="W8" s="212">
        <f>'Expository Writing 2'!AF13</f>
        <v>65</v>
      </c>
      <c r="X8" s="212">
        <f>'Expository Writing 2'!AG13</f>
        <v>50</v>
      </c>
      <c r="Y8" s="557">
        <f>'Islamic Studies 2'!Y13</f>
        <v>79</v>
      </c>
      <c r="AA8" s="209">
        <f t="shared" ref="AA8:AA51" si="0">SUM(K8,M8,V8,Y8)/4</f>
        <v>65.691176470588232</v>
      </c>
      <c r="AB8" s="209">
        <f t="shared" ref="AB8:AB51" si="1">SUM(C8,E8,G8,I8,N8,P8,R8,T8,W8)/9</f>
        <v>63.958633958633953</v>
      </c>
      <c r="AC8" s="209">
        <f t="shared" ref="AC8:AC51" si="2">SUM(D8,J8,H8,O8,X8)/5</f>
        <v>66.954545454545453</v>
      </c>
      <c r="AD8" s="209">
        <f t="shared" ref="AD8:AD51" si="3">SUM(F8,Q8,S8,U8)/4</f>
        <v>64.631410256410263</v>
      </c>
      <c r="AE8" s="209">
        <f>L8</f>
        <v>57.575757575757578</v>
      </c>
    </row>
    <row r="9" spans="1:31" ht="18.75" x14ac:dyDescent="0.3">
      <c r="A9" s="296" t="s">
        <v>54</v>
      </c>
      <c r="B9" s="166" t="s">
        <v>55</v>
      </c>
      <c r="C9" s="211">
        <f>'Discrete Structure'!V12</f>
        <v>0</v>
      </c>
      <c r="D9" s="212">
        <f>'Discrete Structure'!W12</f>
        <v>0</v>
      </c>
      <c r="E9" s="212">
        <f>'Programmming Fundamental'!W12</f>
        <v>63.636363636363633</v>
      </c>
      <c r="F9" s="212">
        <f>'Programmming Fundamental'!X12</f>
        <v>61.53846153846154</v>
      </c>
      <c r="G9" s="212">
        <f>'Application of Information &amp; Co'!R13</f>
        <v>50</v>
      </c>
      <c r="H9" s="212">
        <f>'Application of Information &amp; Co'!T13</f>
        <v>55.000000000000007</v>
      </c>
      <c r="I9" s="212">
        <f>'Calculus and Analytic Geometry'!V12</f>
        <v>64.285714285714292</v>
      </c>
      <c r="J9" s="212">
        <f>'Calculus and Analytic Geometry'!W12</f>
        <v>52.272727272727273</v>
      </c>
      <c r="K9" s="212">
        <f>'Functional English'!V12</f>
        <v>35.294117647058826</v>
      </c>
      <c r="L9" s="212">
        <f>'Functional English'!W12</f>
        <v>42.424242424242422</v>
      </c>
      <c r="M9" s="273">
        <f>'Teaching of Holy Quran with Tra'!V12</f>
        <v>70</v>
      </c>
      <c r="N9" s="272">
        <f>'Networking 2nd'!AE14</f>
        <v>51.666666666666671</v>
      </c>
      <c r="O9" s="212">
        <f>'Networking 2nd'!AF14</f>
        <v>75</v>
      </c>
      <c r="P9" s="284">
        <f>'Linear Algebra 2'!AE14</f>
        <v>62.857142857142854</v>
      </c>
      <c r="Q9" s="284">
        <f>'Linear Algebra 2'!AF14</f>
        <v>70</v>
      </c>
      <c r="R9" s="284">
        <f>'Object Oriented Programming 2'!AE14</f>
        <v>46.666666666666664</v>
      </c>
      <c r="S9" s="208">
        <f>'Object Oriented Programming 2'!AF14</f>
        <v>65</v>
      </c>
      <c r="T9" s="284">
        <f>'Digital Logic Design 2'!AE14</f>
        <v>37.142857142857146</v>
      </c>
      <c r="U9" s="284">
        <f>'Digital Logic Design 2'!AF14</f>
        <v>43.333333333333336</v>
      </c>
      <c r="V9" s="212">
        <f>'Expository Writing 2'!AE14</f>
        <v>32</v>
      </c>
      <c r="W9" s="212">
        <f>'Expository Writing 2'!AF14</f>
        <v>40</v>
      </c>
      <c r="X9" s="212">
        <f>'Expository Writing 2'!AG14</f>
        <v>33.333333333333329</v>
      </c>
      <c r="Y9" s="557">
        <f>'Islamic Studies 2'!Y14</f>
        <v>76</v>
      </c>
      <c r="AA9" s="209">
        <f t="shared" si="0"/>
        <v>53.32352941176471</v>
      </c>
      <c r="AB9" s="209">
        <f t="shared" si="1"/>
        <v>46.25060125060125</v>
      </c>
      <c r="AC9" s="209">
        <f t="shared" si="2"/>
        <v>43.121212121212125</v>
      </c>
      <c r="AD9" s="209">
        <f t="shared" si="3"/>
        <v>59.967948717948723</v>
      </c>
      <c r="AE9" s="209">
        <f t="shared" ref="AE9:AE51" si="4">L9</f>
        <v>42.424242424242422</v>
      </c>
    </row>
    <row r="10" spans="1:31" ht="18.75" x14ac:dyDescent="0.3">
      <c r="A10" s="296" t="s">
        <v>57</v>
      </c>
      <c r="B10" s="166" t="s">
        <v>58</v>
      </c>
      <c r="C10" s="211">
        <f>'Discrete Structure'!V13</f>
        <v>88.571428571428569</v>
      </c>
      <c r="D10" s="212">
        <f>'Discrete Structure'!W13</f>
        <v>76.666666666666671</v>
      </c>
      <c r="E10" s="212">
        <f>'Programmming Fundamental'!W13</f>
        <v>59.090909090909093</v>
      </c>
      <c r="F10" s="212">
        <f>'Programmming Fundamental'!X13</f>
        <v>65.384615384615387</v>
      </c>
      <c r="G10" s="212">
        <f>'Application of Information &amp; Co'!R14</f>
        <v>55.000000000000007</v>
      </c>
      <c r="H10" s="212">
        <f>'Application of Information &amp; Co'!T14</f>
        <v>60</v>
      </c>
      <c r="I10" s="212">
        <f>'Calculus and Analytic Geometry'!V13</f>
        <v>57.142857142857139</v>
      </c>
      <c r="J10" s="212">
        <f>'Calculus and Analytic Geometry'!W13</f>
        <v>70.454545454545453</v>
      </c>
      <c r="K10" s="212">
        <f>'Functional English'!V13</f>
        <v>64.705882352941174</v>
      </c>
      <c r="L10" s="212">
        <f>'Functional English'!W13</f>
        <v>59.090909090909093</v>
      </c>
      <c r="M10" s="273">
        <f>'Teaching of Holy Quran with Tra'!V13</f>
        <v>68</v>
      </c>
      <c r="N10" s="272">
        <f>'Networking 2nd'!AE15</f>
        <v>71.666666666666671</v>
      </c>
      <c r="O10" s="212">
        <f>'Networking 2nd'!AF15</f>
        <v>67.5</v>
      </c>
      <c r="P10" s="284">
        <f>'Linear Algebra 2'!AE15</f>
        <v>58.571428571428577</v>
      </c>
      <c r="Q10" s="284">
        <f>'Linear Algebra 2'!AF15</f>
        <v>76.666666666666671</v>
      </c>
      <c r="R10" s="284">
        <f>'Object Oriented Programming 2'!AE15</f>
        <v>53.333333333333336</v>
      </c>
      <c r="S10" s="208">
        <f>'Object Oriented Programming 2'!AF15</f>
        <v>82.5</v>
      </c>
      <c r="T10" s="284">
        <f>'Digital Logic Design 2'!AE15</f>
        <v>44.285714285714285</v>
      </c>
      <c r="U10" s="284">
        <f>'Digital Logic Design 2'!AF15</f>
        <v>46.666666666666664</v>
      </c>
      <c r="V10" s="212">
        <f>'Expository Writing 2'!AE15</f>
        <v>44</v>
      </c>
      <c r="W10" s="212">
        <f>'Expository Writing 2'!AF15</f>
        <v>55.000000000000007</v>
      </c>
      <c r="X10" s="212">
        <f>'Expository Writing 2'!AG15</f>
        <v>43.333333333333336</v>
      </c>
      <c r="Y10" s="557">
        <f>'Islamic Studies 2'!Y15</f>
        <v>68</v>
      </c>
      <c r="AA10" s="209">
        <f t="shared" si="0"/>
        <v>61.17647058823529</v>
      </c>
      <c r="AB10" s="209">
        <f t="shared" si="1"/>
        <v>60.295815295815295</v>
      </c>
      <c r="AC10" s="209">
        <f t="shared" si="2"/>
        <v>63.590909090909086</v>
      </c>
      <c r="AD10" s="209">
        <f t="shared" si="3"/>
        <v>67.804487179487182</v>
      </c>
      <c r="AE10" s="209">
        <f t="shared" si="4"/>
        <v>59.090909090909093</v>
      </c>
    </row>
    <row r="11" spans="1:31" ht="18.75" x14ac:dyDescent="0.3">
      <c r="A11" s="296" t="s">
        <v>59</v>
      </c>
      <c r="B11" s="166" t="s">
        <v>60</v>
      </c>
      <c r="C11" s="211">
        <f>'Discrete Structure'!V14</f>
        <v>85.714285714285708</v>
      </c>
      <c r="D11" s="212">
        <f>'Discrete Structure'!W14</f>
        <v>90</v>
      </c>
      <c r="E11" s="212">
        <f>'Programmming Fundamental'!W14</f>
        <v>70.454545454545453</v>
      </c>
      <c r="F11" s="212">
        <f>'Programmming Fundamental'!X14</f>
        <v>57.692307692307686</v>
      </c>
      <c r="G11" s="212">
        <f>'Application of Information &amp; Co'!R15</f>
        <v>70</v>
      </c>
      <c r="H11" s="212">
        <f>'Application of Information &amp; Co'!T15</f>
        <v>65</v>
      </c>
      <c r="I11" s="212">
        <f>'Calculus and Analytic Geometry'!V14</f>
        <v>58.928571428571431</v>
      </c>
      <c r="J11" s="212">
        <f>'Calculus and Analytic Geometry'!W14</f>
        <v>54.54545454545454</v>
      </c>
      <c r="K11" s="212">
        <f>'Functional English'!V14</f>
        <v>79.411764705882348</v>
      </c>
      <c r="L11" s="212">
        <f>'Functional English'!W14</f>
        <v>71.212121212121218</v>
      </c>
      <c r="M11" s="273">
        <f>'Teaching of Holy Quran with Tra'!V14</f>
        <v>72</v>
      </c>
      <c r="N11" s="272">
        <f>'Networking 2nd'!AE16</f>
        <v>66.666666666666657</v>
      </c>
      <c r="O11" s="212">
        <f>'Networking 2nd'!AF16</f>
        <v>77.5</v>
      </c>
      <c r="P11" s="284">
        <f>'Linear Algebra 2'!AE16</f>
        <v>67.142857142857139</v>
      </c>
      <c r="Q11" s="284">
        <f>'Linear Algebra 2'!AF16</f>
        <v>90</v>
      </c>
      <c r="R11" s="284">
        <f>'Object Oriented Programming 2'!AE16</f>
        <v>53.333333333333336</v>
      </c>
      <c r="S11" s="208">
        <f>'Object Oriented Programming 2'!AF16</f>
        <v>80</v>
      </c>
      <c r="T11" s="284">
        <f>'Digital Logic Design 2'!AE16</f>
        <v>54.285714285714285</v>
      </c>
      <c r="U11" s="284">
        <f>'Digital Logic Design 2'!AF16</f>
        <v>46.666666666666664</v>
      </c>
      <c r="V11" s="212">
        <f>'Expository Writing 2'!AE16</f>
        <v>44</v>
      </c>
      <c r="W11" s="212">
        <f>'Expository Writing 2'!AF16</f>
        <v>35</v>
      </c>
      <c r="X11" s="212">
        <f>'Expository Writing 2'!AG16</f>
        <v>46.666666666666664</v>
      </c>
      <c r="Y11" s="557">
        <f>'Islamic Studies 2'!Y16</f>
        <v>78</v>
      </c>
      <c r="AA11" s="209">
        <f t="shared" si="0"/>
        <v>68.35294117647058</v>
      </c>
      <c r="AB11" s="209">
        <f t="shared" si="1"/>
        <v>62.39177489177488</v>
      </c>
      <c r="AC11" s="209">
        <f t="shared" si="2"/>
        <v>66.742424242424235</v>
      </c>
      <c r="AD11" s="209">
        <f t="shared" si="3"/>
        <v>68.589743589743591</v>
      </c>
      <c r="AE11" s="209">
        <f t="shared" si="4"/>
        <v>71.212121212121218</v>
      </c>
    </row>
    <row r="12" spans="1:31" ht="18.75" x14ac:dyDescent="0.3">
      <c r="A12" s="296" t="s">
        <v>62</v>
      </c>
      <c r="B12" s="166" t="s">
        <v>63</v>
      </c>
      <c r="C12" s="211">
        <f>'Discrete Structure'!V15</f>
        <v>81.428571428571431</v>
      </c>
      <c r="D12" s="212">
        <f>'Discrete Structure'!W15</f>
        <v>83.333333333333343</v>
      </c>
      <c r="E12" s="212">
        <f>'Programmming Fundamental'!W15</f>
        <v>54.54545454545454</v>
      </c>
      <c r="F12" s="212">
        <f>'Programmming Fundamental'!X15</f>
        <v>53.846153846153847</v>
      </c>
      <c r="G12" s="212">
        <f>'Application of Information &amp; Co'!R16</f>
        <v>55.000000000000007</v>
      </c>
      <c r="H12" s="212">
        <f>'Application of Information &amp; Co'!T16</f>
        <v>52.5</v>
      </c>
      <c r="I12" s="212">
        <f>'Calculus and Analytic Geometry'!V15</f>
        <v>64.285714285714292</v>
      </c>
      <c r="J12" s="212">
        <f>'Calculus and Analytic Geometry'!W15</f>
        <v>63.636363636363633</v>
      </c>
      <c r="K12" s="212">
        <f>'Functional English'!V15</f>
        <v>67.64705882352942</v>
      </c>
      <c r="L12" s="212">
        <f>'Functional English'!W15</f>
        <v>62.121212121212125</v>
      </c>
      <c r="M12" s="273">
        <f>'Teaching of Holy Quran with Tra'!V15</f>
        <v>64</v>
      </c>
      <c r="N12" s="272">
        <f>'Networking 2nd'!AE17</f>
        <v>65</v>
      </c>
      <c r="O12" s="212">
        <f>'Networking 2nd'!AF17</f>
        <v>67.5</v>
      </c>
      <c r="P12" s="284">
        <f>'Linear Algebra 2'!AE17</f>
        <v>62.857142857142854</v>
      </c>
      <c r="Q12" s="284">
        <f>'Linear Algebra 2'!AF17</f>
        <v>90</v>
      </c>
      <c r="R12" s="284">
        <f>'Object Oriented Programming 2'!AE17</f>
        <v>51.666666666666671</v>
      </c>
      <c r="S12" s="208">
        <f>'Object Oriented Programming 2'!AF17</f>
        <v>77.5</v>
      </c>
      <c r="T12" s="284">
        <f>'Digital Logic Design 2'!AE17</f>
        <v>57.142857142857139</v>
      </c>
      <c r="U12" s="284">
        <f>'Digital Logic Design 2'!AF17</f>
        <v>46.666666666666664</v>
      </c>
      <c r="V12" s="212">
        <f>'Expository Writing 2'!AE17</f>
        <v>38</v>
      </c>
      <c r="W12" s="212">
        <f>'Expository Writing 2'!AF17</f>
        <v>40</v>
      </c>
      <c r="X12" s="212">
        <f>'Expository Writing 2'!AG17</f>
        <v>33.333333333333329</v>
      </c>
      <c r="Y12" s="557">
        <f>'Islamic Studies 2'!Y17</f>
        <v>72</v>
      </c>
      <c r="AA12" s="209">
        <f t="shared" si="0"/>
        <v>60.411764705882355</v>
      </c>
      <c r="AB12" s="209">
        <f t="shared" si="1"/>
        <v>59.1029341029341</v>
      </c>
      <c r="AC12" s="209">
        <f t="shared" si="2"/>
        <v>60.060606060606062</v>
      </c>
      <c r="AD12" s="209">
        <f t="shared" si="3"/>
        <v>67.003205128205124</v>
      </c>
      <c r="AE12" s="209">
        <f t="shared" si="4"/>
        <v>62.121212121212125</v>
      </c>
    </row>
    <row r="13" spans="1:31" ht="18.75" x14ac:dyDescent="0.3">
      <c r="A13" s="296" t="s">
        <v>65</v>
      </c>
      <c r="B13" s="166" t="s">
        <v>66</v>
      </c>
      <c r="C13" s="211">
        <f>'Discrete Structure'!V16</f>
        <v>71.428571428571431</v>
      </c>
      <c r="D13" s="212">
        <f>'Discrete Structure'!W16</f>
        <v>83.333333333333343</v>
      </c>
      <c r="E13" s="212">
        <f>'Programmming Fundamental'!W16</f>
        <v>90.909090909090907</v>
      </c>
      <c r="F13" s="212">
        <f>'Programmming Fundamental'!X16</f>
        <v>76.923076923076934</v>
      </c>
      <c r="G13" s="212">
        <f>'Application of Information &amp; Co'!R17</f>
        <v>75</v>
      </c>
      <c r="H13" s="212">
        <f>'Application of Information &amp; Co'!T17</f>
        <v>80</v>
      </c>
      <c r="I13" s="212">
        <f>'Calculus and Analytic Geometry'!V16</f>
        <v>80.357142857142861</v>
      </c>
      <c r="J13" s="212">
        <f>'Calculus and Analytic Geometry'!W16</f>
        <v>88.63636363636364</v>
      </c>
      <c r="K13" s="212">
        <f>'Functional English'!V16</f>
        <v>73.529411764705884</v>
      </c>
      <c r="L13" s="212">
        <f>'Functional English'!W16</f>
        <v>72.727272727272734</v>
      </c>
      <c r="M13" s="273">
        <f>'Teaching of Holy Quran with Tra'!V16</f>
        <v>73</v>
      </c>
      <c r="N13" s="272">
        <f>'Networking 2nd'!AE18</f>
        <v>71.666666666666671</v>
      </c>
      <c r="O13" s="212">
        <f>'Networking 2nd'!AF18</f>
        <v>95</v>
      </c>
      <c r="P13" s="284">
        <f>'Linear Algebra 2'!AE18</f>
        <v>77.142857142857153</v>
      </c>
      <c r="Q13" s="284">
        <f>'Linear Algebra 2'!AF18</f>
        <v>86.666666666666671</v>
      </c>
      <c r="R13" s="284">
        <f>'Object Oriented Programming 2'!AE18</f>
        <v>70</v>
      </c>
      <c r="S13" s="208">
        <f>'Object Oriented Programming 2'!AF18</f>
        <v>82.5</v>
      </c>
      <c r="T13" s="284">
        <f>'Digital Logic Design 2'!AE18</f>
        <v>82.857142857142861</v>
      </c>
      <c r="U13" s="284">
        <f>'Digital Logic Design 2'!AF18</f>
        <v>90</v>
      </c>
      <c r="V13" s="212">
        <f>'Expository Writing 2'!AE18</f>
        <v>60</v>
      </c>
      <c r="W13" s="212">
        <f>'Expository Writing 2'!AF18</f>
        <v>70</v>
      </c>
      <c r="X13" s="212">
        <f>'Expository Writing 2'!AG18</f>
        <v>40</v>
      </c>
      <c r="Y13" s="557">
        <f>'Islamic Studies 2'!Y18</f>
        <v>80</v>
      </c>
      <c r="AA13" s="209">
        <f t="shared" si="0"/>
        <v>71.632352941176464</v>
      </c>
      <c r="AB13" s="209">
        <f t="shared" si="1"/>
        <v>76.595719095719105</v>
      </c>
      <c r="AC13" s="209">
        <f t="shared" si="2"/>
        <v>77.393939393939405</v>
      </c>
      <c r="AD13" s="209">
        <f t="shared" si="3"/>
        <v>84.022435897435898</v>
      </c>
      <c r="AE13" s="209">
        <f t="shared" si="4"/>
        <v>72.727272727272734</v>
      </c>
    </row>
    <row r="14" spans="1:31" ht="18.75" x14ac:dyDescent="0.3">
      <c r="A14" s="296" t="s">
        <v>68</v>
      </c>
      <c r="B14" s="166" t="s">
        <v>69</v>
      </c>
      <c r="C14" s="211">
        <f>'Discrete Structure'!V17</f>
        <v>65.714285714285708</v>
      </c>
      <c r="D14" s="212">
        <f>'Discrete Structure'!W17</f>
        <v>73.333333333333329</v>
      </c>
      <c r="E14" s="212">
        <f>'Programmming Fundamental'!W17</f>
        <v>59.090909090909093</v>
      </c>
      <c r="F14" s="212">
        <f>'Programmming Fundamental'!X17</f>
        <v>53.846153846153847</v>
      </c>
      <c r="G14" s="212">
        <f>'Application of Information &amp; Co'!R18</f>
        <v>65</v>
      </c>
      <c r="H14" s="212">
        <f>'Application of Information &amp; Co'!T18</f>
        <v>77.5</v>
      </c>
      <c r="I14" s="212">
        <f>'Calculus and Analytic Geometry'!V17</f>
        <v>66.071428571428569</v>
      </c>
      <c r="J14" s="212">
        <f>'Calculus and Analytic Geometry'!W17</f>
        <v>65.909090909090907</v>
      </c>
      <c r="K14" s="212">
        <f>'Functional English'!V17</f>
        <v>85.294117647058826</v>
      </c>
      <c r="L14" s="212">
        <f>'Functional English'!W17</f>
        <v>74.242424242424249</v>
      </c>
      <c r="M14" s="273">
        <f>'Teaching of Holy Quran with Tra'!V17</f>
        <v>82</v>
      </c>
      <c r="N14" s="272">
        <f>'Networking 2nd'!AE19</f>
        <v>78.333333333333329</v>
      </c>
      <c r="O14" s="212">
        <f>'Networking 2nd'!AF19</f>
        <v>77.5</v>
      </c>
      <c r="P14" s="284">
        <f>'Linear Algebra 2'!AE19</f>
        <v>84.285714285714292</v>
      </c>
      <c r="Q14" s="284">
        <f>'Linear Algebra 2'!AF19</f>
        <v>93.333333333333329</v>
      </c>
      <c r="R14" s="284">
        <f>'Object Oriented Programming 2'!AE19</f>
        <v>60</v>
      </c>
      <c r="S14" s="208">
        <f>'Object Oriented Programming 2'!AF19</f>
        <v>77.5</v>
      </c>
      <c r="T14" s="284">
        <f>'Digital Logic Design 2'!AE19</f>
        <v>54.285714285714285</v>
      </c>
      <c r="U14" s="284">
        <f>'Digital Logic Design 2'!AF19</f>
        <v>60</v>
      </c>
      <c r="V14" s="212">
        <f>'Expository Writing 2'!AE19</f>
        <v>66</v>
      </c>
      <c r="W14" s="212">
        <f>'Expository Writing 2'!AF19</f>
        <v>60</v>
      </c>
      <c r="X14" s="212">
        <f>'Expository Writing 2'!AG19</f>
        <v>43.333333333333336</v>
      </c>
      <c r="Y14" s="557">
        <f>'Islamic Studies 2'!Y19</f>
        <v>80</v>
      </c>
      <c r="AA14" s="209">
        <f t="shared" si="0"/>
        <v>78.32352941176471</v>
      </c>
      <c r="AB14" s="209">
        <f t="shared" si="1"/>
        <v>65.864598364598365</v>
      </c>
      <c r="AC14" s="209">
        <f t="shared" si="2"/>
        <v>67.515151515151516</v>
      </c>
      <c r="AD14" s="209">
        <f t="shared" si="3"/>
        <v>71.169871794871796</v>
      </c>
      <c r="AE14" s="209">
        <f t="shared" si="4"/>
        <v>74.242424242424249</v>
      </c>
    </row>
    <row r="15" spans="1:31" ht="18.75" x14ac:dyDescent="0.3">
      <c r="A15" s="296" t="s">
        <v>70</v>
      </c>
      <c r="B15" s="166" t="s">
        <v>71</v>
      </c>
      <c r="C15" s="211">
        <f>'Discrete Structure'!V18</f>
        <v>90</v>
      </c>
      <c r="D15" s="212">
        <f>'Discrete Structure'!W18</f>
        <v>93.333333333333329</v>
      </c>
      <c r="E15" s="212">
        <f>'Programmming Fundamental'!W18</f>
        <v>0</v>
      </c>
      <c r="F15" s="212">
        <f>'Programmming Fundamental'!X18</f>
        <v>0</v>
      </c>
      <c r="G15" s="212">
        <f>'Application of Information &amp; Co'!R19</f>
        <v>0</v>
      </c>
      <c r="H15" s="212">
        <f>'Application of Information &amp; Co'!T19</f>
        <v>0</v>
      </c>
      <c r="I15" s="212">
        <f>'Calculus and Analytic Geometry'!V18</f>
        <v>0</v>
      </c>
      <c r="J15" s="212">
        <f>'Calculus and Analytic Geometry'!W18</f>
        <v>0</v>
      </c>
      <c r="K15" s="212">
        <f>'Functional English'!V18</f>
        <v>0</v>
      </c>
      <c r="L15" s="212">
        <f>'Functional English'!W18</f>
        <v>0</v>
      </c>
      <c r="M15" s="273">
        <f>'Teaching of Holy Quran with Tra'!V18</f>
        <v>0</v>
      </c>
      <c r="N15" s="272">
        <f>'Networking 2nd'!AE20</f>
        <v>0</v>
      </c>
      <c r="O15" s="212">
        <f>'Networking 2nd'!AF20</f>
        <v>0</v>
      </c>
      <c r="P15" s="284">
        <f>'Linear Algebra 2'!AE20</f>
        <v>0</v>
      </c>
      <c r="Q15" s="284">
        <f>'Linear Algebra 2'!AF20</f>
        <v>0</v>
      </c>
      <c r="R15" s="284">
        <f>'Object Oriented Programming 2'!AE20</f>
        <v>0</v>
      </c>
      <c r="S15" s="208">
        <f>'Object Oriented Programming 2'!AF20</f>
        <v>0</v>
      </c>
      <c r="T15" s="284">
        <f>'Digital Logic Design 2'!AE20</f>
        <v>0</v>
      </c>
      <c r="U15" s="284">
        <f>'Digital Logic Design 2'!AF20</f>
        <v>0</v>
      </c>
      <c r="V15" s="212">
        <f>'Expository Writing 2'!AE20</f>
        <v>0</v>
      </c>
      <c r="W15" s="212">
        <f>'Expository Writing 2'!AF20</f>
        <v>0</v>
      </c>
      <c r="X15" s="212">
        <f>'Expository Writing 2'!AG20</f>
        <v>0</v>
      </c>
      <c r="Y15" s="557">
        <f>'Islamic Studies 2'!Y20</f>
        <v>0</v>
      </c>
      <c r="AA15" s="209">
        <f t="shared" si="0"/>
        <v>0</v>
      </c>
      <c r="AB15" s="209">
        <f t="shared" si="1"/>
        <v>10</v>
      </c>
      <c r="AC15" s="209">
        <f t="shared" si="2"/>
        <v>18.666666666666664</v>
      </c>
      <c r="AD15" s="209">
        <f t="shared" si="3"/>
        <v>0</v>
      </c>
      <c r="AE15" s="209">
        <f t="shared" si="4"/>
        <v>0</v>
      </c>
    </row>
    <row r="16" spans="1:31" ht="18.75" x14ac:dyDescent="0.3">
      <c r="A16" s="296" t="s">
        <v>73</v>
      </c>
      <c r="B16" s="166" t="s">
        <v>74</v>
      </c>
      <c r="C16" s="211">
        <f>'Discrete Structure'!V19</f>
        <v>71.428571428571431</v>
      </c>
      <c r="D16" s="212">
        <f>'Discrete Structure'!W19</f>
        <v>86.666666666666671</v>
      </c>
      <c r="E16" s="212">
        <f>'Programmming Fundamental'!W19</f>
        <v>59.090909090909093</v>
      </c>
      <c r="F16" s="212">
        <f>'Programmming Fundamental'!X19</f>
        <v>53.846153846153847</v>
      </c>
      <c r="G16" s="212">
        <f>'Application of Information &amp; Co'!R20</f>
        <v>75</v>
      </c>
      <c r="H16" s="212">
        <f>'Application of Information &amp; Co'!T20</f>
        <v>65</v>
      </c>
      <c r="I16" s="212">
        <f>'Calculus and Analytic Geometry'!V19</f>
        <v>42.857142857142854</v>
      </c>
      <c r="J16" s="212">
        <f>'Calculus and Analytic Geometry'!W19</f>
        <v>25</v>
      </c>
      <c r="K16" s="212">
        <f>'Functional English'!V19</f>
        <v>70.588235294117652</v>
      </c>
      <c r="L16" s="212">
        <f>'Functional English'!W19</f>
        <v>63.636363636363633</v>
      </c>
      <c r="M16" s="273">
        <f>'Teaching of Holy Quran with Tra'!V19</f>
        <v>76</v>
      </c>
      <c r="N16" s="272">
        <f>'Networking 2nd'!AE21</f>
        <v>68.333333333333329</v>
      </c>
      <c r="O16" s="212">
        <f>'Networking 2nd'!AF21</f>
        <v>62.5</v>
      </c>
      <c r="P16" s="284">
        <f>'Linear Algebra 2'!AE21</f>
        <v>62.857142857142854</v>
      </c>
      <c r="Q16" s="284">
        <f>'Linear Algebra 2'!AF21</f>
        <v>53.333333333333336</v>
      </c>
      <c r="R16" s="284">
        <f>'Object Oriented Programming 2'!AE21</f>
        <v>56.666666666666664</v>
      </c>
      <c r="S16" s="208">
        <f>'Object Oriented Programming 2'!AF21</f>
        <v>75</v>
      </c>
      <c r="T16" s="284">
        <f>'Digital Logic Design 2'!AE21</f>
        <v>58.571428571428577</v>
      </c>
      <c r="U16" s="284">
        <f>'Digital Logic Design 2'!AF21</f>
        <v>46.666666666666664</v>
      </c>
      <c r="V16" s="212">
        <f>'Expository Writing 2'!AE21</f>
        <v>64</v>
      </c>
      <c r="W16" s="212">
        <f>'Expository Writing 2'!AF21</f>
        <v>65</v>
      </c>
      <c r="X16" s="212">
        <f>'Expository Writing 2'!AG21</f>
        <v>40</v>
      </c>
      <c r="Y16" s="557">
        <f>'Islamic Studies 2'!Y21</f>
        <v>62</v>
      </c>
      <c r="AA16" s="209">
        <f t="shared" si="0"/>
        <v>68.14705882352942</v>
      </c>
      <c r="AB16" s="209">
        <f t="shared" si="1"/>
        <v>62.2005772005772</v>
      </c>
      <c r="AC16" s="209">
        <f t="shared" si="2"/>
        <v>55.833333333333336</v>
      </c>
      <c r="AD16" s="209">
        <f t="shared" si="3"/>
        <v>57.21153846153846</v>
      </c>
      <c r="AE16" s="209">
        <f t="shared" si="4"/>
        <v>63.636363636363633</v>
      </c>
    </row>
    <row r="17" spans="1:31" ht="18.75" x14ac:dyDescent="0.3">
      <c r="A17" s="296" t="s">
        <v>75</v>
      </c>
      <c r="B17" s="166" t="s">
        <v>76</v>
      </c>
      <c r="C17" s="211">
        <f>'Discrete Structure'!V20</f>
        <v>68.571428571428569</v>
      </c>
      <c r="D17" s="212">
        <f>'Discrete Structure'!W20</f>
        <v>73.333333333333329</v>
      </c>
      <c r="E17" s="212">
        <f>'Programmming Fundamental'!W20</f>
        <v>54.54545454545454</v>
      </c>
      <c r="F17" s="212">
        <f>'Programmming Fundamental'!X20</f>
        <v>42.307692307692307</v>
      </c>
      <c r="G17" s="212">
        <f>'Application of Information &amp; Co'!R21</f>
        <v>70</v>
      </c>
      <c r="H17" s="212">
        <f>'Application of Information &amp; Co'!T21</f>
        <v>60</v>
      </c>
      <c r="I17" s="212">
        <f>'Calculus and Analytic Geometry'!V20</f>
        <v>62.5</v>
      </c>
      <c r="J17" s="212">
        <f>'Calculus and Analytic Geometry'!W20</f>
        <v>56.81818181818182</v>
      </c>
      <c r="K17" s="212">
        <f>'Functional English'!V20</f>
        <v>70.588235294117652</v>
      </c>
      <c r="L17" s="212">
        <f>'Functional English'!W20</f>
        <v>75.757575757575751</v>
      </c>
      <c r="M17" s="273">
        <f>'Teaching of Holy Quran with Tra'!V20</f>
        <v>75</v>
      </c>
      <c r="N17" s="272">
        <f>'Networking 2nd'!AE22</f>
        <v>70</v>
      </c>
      <c r="O17" s="212">
        <f>'Networking 2nd'!AF22</f>
        <v>67.5</v>
      </c>
      <c r="P17" s="284">
        <f>'Linear Algebra 2'!AE22</f>
        <v>67.142857142857139</v>
      </c>
      <c r="Q17" s="284">
        <f>'Linear Algebra 2'!AF22</f>
        <v>80</v>
      </c>
      <c r="R17" s="284">
        <f>'Object Oriented Programming 2'!AE22</f>
        <v>56.666666666666664</v>
      </c>
      <c r="S17" s="208">
        <f>'Object Oriented Programming 2'!AF22</f>
        <v>60</v>
      </c>
      <c r="T17" s="284">
        <f>'Digital Logic Design 2'!AE22</f>
        <v>68.571428571428569</v>
      </c>
      <c r="U17" s="284">
        <f>'Digital Logic Design 2'!AF22</f>
        <v>56.666666666666664</v>
      </c>
      <c r="V17" s="212">
        <f>'Expository Writing 2'!AE22</f>
        <v>52</v>
      </c>
      <c r="W17" s="212">
        <f>'Expository Writing 2'!AF22</f>
        <v>50</v>
      </c>
      <c r="X17" s="212">
        <f>'Expository Writing 2'!AG22</f>
        <v>43.333333333333336</v>
      </c>
      <c r="Y17" s="557">
        <f>'Islamic Studies 2'!Y22</f>
        <v>63</v>
      </c>
      <c r="AA17" s="209">
        <f t="shared" si="0"/>
        <v>65.14705882352942</v>
      </c>
      <c r="AB17" s="209">
        <f t="shared" si="1"/>
        <v>63.11087061087062</v>
      </c>
      <c r="AC17" s="209">
        <f t="shared" si="2"/>
        <v>60.196969696969688</v>
      </c>
      <c r="AD17" s="209">
        <f t="shared" si="3"/>
        <v>59.743589743589745</v>
      </c>
      <c r="AE17" s="209">
        <f t="shared" si="4"/>
        <v>75.757575757575751</v>
      </c>
    </row>
    <row r="18" spans="1:31" ht="18.75" x14ac:dyDescent="0.3">
      <c r="A18" s="296" t="s">
        <v>77</v>
      </c>
      <c r="B18" s="166" t="s">
        <v>78</v>
      </c>
      <c r="C18" s="211">
        <f>'Discrete Structure'!V21</f>
        <v>72.857142857142847</v>
      </c>
      <c r="D18" s="212">
        <f>'Discrete Structure'!W21</f>
        <v>80</v>
      </c>
      <c r="E18" s="212">
        <f>'Programmming Fundamental'!W21</f>
        <v>54.54545454545454</v>
      </c>
      <c r="F18" s="212">
        <f>'Programmming Fundamental'!X21</f>
        <v>57.692307692307686</v>
      </c>
      <c r="G18" s="212">
        <f>'Application of Information &amp; Co'!R22</f>
        <v>50</v>
      </c>
      <c r="H18" s="212">
        <f>'Application of Information &amp; Co'!T22</f>
        <v>60</v>
      </c>
      <c r="I18" s="212">
        <f>'Calculus and Analytic Geometry'!V21</f>
        <v>60.714285714285708</v>
      </c>
      <c r="J18" s="212">
        <f>'Calculus and Analytic Geometry'!W21</f>
        <v>54.54545454545454</v>
      </c>
      <c r="K18" s="212">
        <f>'Functional English'!V21</f>
        <v>58.82352941176471</v>
      </c>
      <c r="L18" s="212">
        <f>'Functional English'!W21</f>
        <v>63.636363636363633</v>
      </c>
      <c r="M18" s="273">
        <f>'Teaching of Holy Quran with Tra'!V21</f>
        <v>80</v>
      </c>
      <c r="N18" s="272">
        <f>'Networking 2nd'!AE23</f>
        <v>70</v>
      </c>
      <c r="O18" s="212">
        <f>'Networking 2nd'!AF23</f>
        <v>60</v>
      </c>
      <c r="P18" s="284">
        <f>'Linear Algebra 2'!AE23</f>
        <v>65.714285714285708</v>
      </c>
      <c r="Q18" s="284">
        <f>'Linear Algebra 2'!AF23</f>
        <v>66.666666666666657</v>
      </c>
      <c r="R18" s="284">
        <f>'Object Oriented Programming 2'!AE23</f>
        <v>53.333333333333336</v>
      </c>
      <c r="S18" s="208">
        <f>'Object Oriented Programming 2'!AF23</f>
        <v>67.5</v>
      </c>
      <c r="T18" s="284">
        <f>'Digital Logic Design 2'!AE23</f>
        <v>60</v>
      </c>
      <c r="U18" s="284">
        <f>'Digital Logic Design 2'!AF23</f>
        <v>63.333333333333329</v>
      </c>
      <c r="V18" s="212">
        <f>'Expository Writing 2'!AE23</f>
        <v>57.999999999999993</v>
      </c>
      <c r="W18" s="212">
        <f>'Expository Writing 2'!AF23</f>
        <v>45</v>
      </c>
      <c r="X18" s="212">
        <f>'Expository Writing 2'!AG23</f>
        <v>53.333333333333336</v>
      </c>
      <c r="Y18" s="557">
        <f>'Islamic Studies 2'!Y23</f>
        <v>75</v>
      </c>
      <c r="AA18" s="209">
        <f t="shared" si="0"/>
        <v>67.955882352941174</v>
      </c>
      <c r="AB18" s="209">
        <f t="shared" si="1"/>
        <v>59.129389129389132</v>
      </c>
      <c r="AC18" s="209">
        <f t="shared" si="2"/>
        <v>61.575757575757578</v>
      </c>
      <c r="AD18" s="209">
        <f t="shared" si="3"/>
        <v>63.79807692307692</v>
      </c>
      <c r="AE18" s="209">
        <f t="shared" si="4"/>
        <v>63.636363636363633</v>
      </c>
    </row>
    <row r="19" spans="1:31" ht="18.75" x14ac:dyDescent="0.3">
      <c r="A19" s="297" t="s">
        <v>79</v>
      </c>
      <c r="B19" s="215" t="s">
        <v>80</v>
      </c>
      <c r="C19" s="211">
        <f>'Discrete Structure'!V22</f>
        <v>67.142857142857139</v>
      </c>
      <c r="D19" s="212">
        <f>'Discrete Structure'!W22</f>
        <v>76.666666666666671</v>
      </c>
      <c r="E19" s="212">
        <f>'Programmming Fundamental'!W22</f>
        <v>70.454545454545453</v>
      </c>
      <c r="F19" s="212">
        <f>'Programmming Fundamental'!X22</f>
        <v>65.384615384615387</v>
      </c>
      <c r="G19" s="212">
        <f>'Application of Information &amp; Co'!R23</f>
        <v>50</v>
      </c>
      <c r="H19" s="212">
        <f>'Application of Information &amp; Co'!T23</f>
        <v>50</v>
      </c>
      <c r="I19" s="212">
        <f>'Calculus and Analytic Geometry'!V22</f>
        <v>46.428571428571431</v>
      </c>
      <c r="J19" s="212">
        <f>'Calculus and Analytic Geometry'!W22</f>
        <v>45.454545454545453</v>
      </c>
      <c r="K19" s="212">
        <f>'Functional English'!V22</f>
        <v>70.588235294117652</v>
      </c>
      <c r="L19" s="212">
        <f>'Functional English'!W22</f>
        <v>68.181818181818173</v>
      </c>
      <c r="M19" s="273">
        <f>'Teaching of Holy Quran with Tra'!V22</f>
        <v>77</v>
      </c>
      <c r="N19" s="272">
        <f>'Networking 2nd'!AE24</f>
        <v>70</v>
      </c>
      <c r="O19" s="212">
        <f>'Networking 2nd'!AF24</f>
        <v>62.5</v>
      </c>
      <c r="P19" s="284">
        <f>'Linear Algebra 2'!AE24</f>
        <v>62.857142857142854</v>
      </c>
      <c r="Q19" s="284">
        <f>'Linear Algebra 2'!AF24</f>
        <v>76.666666666666671</v>
      </c>
      <c r="R19" s="284">
        <f>'Object Oriented Programming 2'!AE24</f>
        <v>58.333333333333336</v>
      </c>
      <c r="S19" s="208">
        <f>'Object Oriented Programming 2'!AF24</f>
        <v>77.5</v>
      </c>
      <c r="T19" s="284">
        <f>'Digital Logic Design 2'!AE24</f>
        <v>41.428571428571431</v>
      </c>
      <c r="U19" s="284">
        <f>'Digital Logic Design 2'!AF24</f>
        <v>36.666666666666664</v>
      </c>
      <c r="V19" s="212">
        <f>'Expository Writing 2'!AE24</f>
        <v>62</v>
      </c>
      <c r="W19" s="212">
        <f>'Expository Writing 2'!AF24</f>
        <v>45</v>
      </c>
      <c r="X19" s="212">
        <f>'Expository Writing 2'!AG24</f>
        <v>46.666666666666664</v>
      </c>
      <c r="Y19" s="557">
        <f>'Islamic Studies 2'!Y24</f>
        <v>66</v>
      </c>
      <c r="AA19" s="209">
        <f t="shared" si="0"/>
        <v>68.89705882352942</v>
      </c>
      <c r="AB19" s="209">
        <f t="shared" si="1"/>
        <v>56.849446849446849</v>
      </c>
      <c r="AC19" s="209">
        <f t="shared" si="2"/>
        <v>56.257575757575765</v>
      </c>
      <c r="AD19" s="209">
        <f t="shared" si="3"/>
        <v>64.054487179487182</v>
      </c>
      <c r="AE19" s="209">
        <f t="shared" si="4"/>
        <v>68.181818181818173</v>
      </c>
    </row>
    <row r="20" spans="1:31" ht="18.75" x14ac:dyDescent="0.3">
      <c r="A20" s="296" t="s">
        <v>81</v>
      </c>
      <c r="B20" s="166" t="s">
        <v>82</v>
      </c>
      <c r="C20" s="211">
        <f>'Discrete Structure'!V23</f>
        <v>81.428571428571431</v>
      </c>
      <c r="D20" s="212">
        <f>'Discrete Structure'!W23</f>
        <v>83.333333333333343</v>
      </c>
      <c r="E20" s="212">
        <f>'Programmming Fundamental'!W23</f>
        <v>61.363636363636367</v>
      </c>
      <c r="F20" s="212">
        <f>'Programmming Fundamental'!X23</f>
        <v>57.692307692307686</v>
      </c>
      <c r="G20" s="212">
        <f>'Application of Information &amp; Co'!R24</f>
        <v>70</v>
      </c>
      <c r="H20" s="212">
        <f>'Application of Information &amp; Co'!T24</f>
        <v>55.000000000000007</v>
      </c>
      <c r="I20" s="212">
        <f>'Calculus and Analytic Geometry'!V23</f>
        <v>60.714285714285708</v>
      </c>
      <c r="J20" s="212">
        <f>'Calculus and Analytic Geometry'!W23</f>
        <v>59.090909090909093</v>
      </c>
      <c r="K20" s="212">
        <f>'Functional English'!V23</f>
        <v>61.764705882352942</v>
      </c>
      <c r="L20" s="212">
        <f>'Functional English'!W23</f>
        <v>74.242424242424249</v>
      </c>
      <c r="M20" s="273">
        <f>'Teaching of Holy Quran with Tra'!V23</f>
        <v>79</v>
      </c>
      <c r="N20" s="272">
        <f>'Networking 2nd'!AE25</f>
        <v>71.666666666666671</v>
      </c>
      <c r="O20" s="212">
        <f>'Networking 2nd'!AF25</f>
        <v>75</v>
      </c>
      <c r="P20" s="284">
        <f>'Linear Algebra 2'!AE25</f>
        <v>65.714285714285708</v>
      </c>
      <c r="Q20" s="284">
        <f>'Linear Algebra 2'!AF25</f>
        <v>90</v>
      </c>
      <c r="R20" s="284">
        <f>'Object Oriented Programming 2'!AE25</f>
        <v>58.333333333333336</v>
      </c>
      <c r="S20" s="208">
        <f>'Object Oriented Programming 2'!AF25</f>
        <v>80</v>
      </c>
      <c r="T20" s="284">
        <f>'Digital Logic Design 2'!AE25</f>
        <v>45.714285714285715</v>
      </c>
      <c r="U20" s="284">
        <f>'Digital Logic Design 2'!AF25</f>
        <v>33.333333333333329</v>
      </c>
      <c r="V20" s="212">
        <f>'Expository Writing 2'!AE25</f>
        <v>64</v>
      </c>
      <c r="W20" s="212">
        <f>'Expository Writing 2'!AF25</f>
        <v>55.000000000000007</v>
      </c>
      <c r="X20" s="212">
        <f>'Expository Writing 2'!AG25</f>
        <v>43.333333333333336</v>
      </c>
      <c r="Y20" s="557">
        <f>'Islamic Studies 2'!Y25</f>
        <v>78</v>
      </c>
      <c r="AA20" s="209">
        <f t="shared" si="0"/>
        <v>70.691176470588232</v>
      </c>
      <c r="AB20" s="209">
        <f t="shared" si="1"/>
        <v>63.326118326118326</v>
      </c>
      <c r="AC20" s="209">
        <f t="shared" si="2"/>
        <v>63.151515151515149</v>
      </c>
      <c r="AD20" s="209">
        <f t="shared" si="3"/>
        <v>65.256410256410248</v>
      </c>
      <c r="AE20" s="209">
        <f t="shared" si="4"/>
        <v>74.242424242424249</v>
      </c>
    </row>
    <row r="21" spans="1:31" ht="18.75" x14ac:dyDescent="0.3">
      <c r="A21" s="296" t="s">
        <v>83</v>
      </c>
      <c r="B21" s="166" t="s">
        <v>84</v>
      </c>
      <c r="C21" s="211">
        <f>'Discrete Structure'!V24</f>
        <v>0</v>
      </c>
      <c r="D21" s="212">
        <f>'Discrete Structure'!W24</f>
        <v>0</v>
      </c>
      <c r="E21" s="212">
        <f>'Programmming Fundamental'!W24</f>
        <v>0</v>
      </c>
      <c r="F21" s="212">
        <f>'Programmming Fundamental'!X24</f>
        <v>0</v>
      </c>
      <c r="G21" s="212">
        <f>'Application of Information &amp; Co'!R25</f>
        <v>0</v>
      </c>
      <c r="H21" s="212">
        <f>'Application of Information &amp; Co'!T25</f>
        <v>0</v>
      </c>
      <c r="I21" s="212">
        <f>'Calculus and Analytic Geometry'!V24</f>
        <v>0</v>
      </c>
      <c r="J21" s="212">
        <f>'Calculus and Analytic Geometry'!W24</f>
        <v>0</v>
      </c>
      <c r="K21" s="212">
        <f>'Functional English'!V24</f>
        <v>0</v>
      </c>
      <c r="L21" s="212">
        <f>'Functional English'!W24</f>
        <v>0</v>
      </c>
      <c r="M21" s="273">
        <f>'Teaching of Holy Quran with Tra'!V24</f>
        <v>0</v>
      </c>
      <c r="N21" s="272">
        <f>'Networking 2nd'!AE26</f>
        <v>0</v>
      </c>
      <c r="O21" s="212">
        <f>'Networking 2nd'!AF26</f>
        <v>0</v>
      </c>
      <c r="P21" s="284">
        <f>'Linear Algebra 2'!AE26</f>
        <v>0</v>
      </c>
      <c r="Q21" s="284">
        <f>'Linear Algebra 2'!AF26</f>
        <v>0</v>
      </c>
      <c r="R21" s="284">
        <f>'Object Oriented Programming 2'!AE26</f>
        <v>0</v>
      </c>
      <c r="S21" s="208">
        <f>'Object Oriented Programming 2'!AF26</f>
        <v>0</v>
      </c>
      <c r="T21" s="284">
        <f>'Digital Logic Design 2'!AE26</f>
        <v>0</v>
      </c>
      <c r="U21" s="284">
        <f>'Digital Logic Design 2'!AF26</f>
        <v>0</v>
      </c>
      <c r="V21" s="212">
        <f>'Expository Writing 2'!AE26</f>
        <v>0</v>
      </c>
      <c r="W21" s="212">
        <f>'Expository Writing 2'!AF26</f>
        <v>35</v>
      </c>
      <c r="X21" s="212">
        <f>'Expository Writing 2'!AG26</f>
        <v>0</v>
      </c>
      <c r="Y21" s="557">
        <f>'Islamic Studies 2'!Y26</f>
        <v>0</v>
      </c>
      <c r="AA21" s="209">
        <f t="shared" si="0"/>
        <v>0</v>
      </c>
      <c r="AB21" s="209">
        <f t="shared" si="1"/>
        <v>3.8888888888888888</v>
      </c>
      <c r="AC21" s="209">
        <f t="shared" si="2"/>
        <v>0</v>
      </c>
      <c r="AD21" s="209">
        <f t="shared" si="3"/>
        <v>0</v>
      </c>
      <c r="AE21" s="209">
        <f t="shared" si="4"/>
        <v>0</v>
      </c>
    </row>
    <row r="22" spans="1:31" ht="18.75" x14ac:dyDescent="0.3">
      <c r="A22" s="296" t="s">
        <v>85</v>
      </c>
      <c r="B22" s="166" t="s">
        <v>86</v>
      </c>
      <c r="C22" s="211">
        <f>'Discrete Structure'!V25</f>
        <v>81.428571428571431</v>
      </c>
      <c r="D22" s="212">
        <f>'Discrete Structure'!W25</f>
        <v>96.666666666666671</v>
      </c>
      <c r="E22" s="212">
        <f>'Programmming Fundamental'!W25</f>
        <v>68.181818181818173</v>
      </c>
      <c r="F22" s="212">
        <f>'Programmming Fundamental'!X25</f>
        <v>50</v>
      </c>
      <c r="G22" s="212">
        <f>'Application of Information &amp; Co'!R26</f>
        <v>60</v>
      </c>
      <c r="H22" s="212">
        <f>'Application of Information &amp; Co'!T26</f>
        <v>57.499999999999993</v>
      </c>
      <c r="I22" s="212">
        <f>'Calculus and Analytic Geometry'!V25</f>
        <v>48.214285714285715</v>
      </c>
      <c r="J22" s="212">
        <f>'Calculus and Analytic Geometry'!W25</f>
        <v>20.454545454545457</v>
      </c>
      <c r="K22" s="212">
        <f>'Functional English'!V25</f>
        <v>73.529411764705884</v>
      </c>
      <c r="L22" s="212">
        <f>'Functional English'!W25</f>
        <v>65.151515151515156</v>
      </c>
      <c r="M22" s="273">
        <f>'Teaching of Holy Quran with Tra'!V25</f>
        <v>72</v>
      </c>
      <c r="N22" s="272">
        <f>'Networking 2nd'!AE27</f>
        <v>71.666666666666671</v>
      </c>
      <c r="O22" s="212">
        <f>'Networking 2nd'!AF27</f>
        <v>57.499999999999993</v>
      </c>
      <c r="P22" s="284">
        <f>'Linear Algebra 2'!AE27</f>
        <v>70</v>
      </c>
      <c r="Q22" s="284">
        <f>'Linear Algebra 2'!AF27</f>
        <v>76.666666666666671</v>
      </c>
      <c r="R22" s="284">
        <f>'Object Oriented Programming 2'!AE27</f>
        <v>56.666666666666664</v>
      </c>
      <c r="S22" s="208">
        <f>'Object Oriented Programming 2'!AF27</f>
        <v>85</v>
      </c>
      <c r="T22" s="284">
        <f>'Digital Logic Design 2'!AE27</f>
        <v>54.285714285714285</v>
      </c>
      <c r="U22" s="284">
        <f>'Digital Logic Design 2'!AF27</f>
        <v>56.666666666666664</v>
      </c>
      <c r="V22" s="212">
        <f>'Expository Writing 2'!AE27</f>
        <v>50</v>
      </c>
      <c r="W22" s="212">
        <f>'Expository Writing 2'!AF27</f>
        <v>50</v>
      </c>
      <c r="X22" s="212">
        <f>'Expository Writing 2'!AG27</f>
        <v>53.333333333333336</v>
      </c>
      <c r="Y22" s="557">
        <f>'Islamic Studies 2'!Y27</f>
        <v>70</v>
      </c>
      <c r="AA22" s="209">
        <f t="shared" si="0"/>
        <v>66.382352941176464</v>
      </c>
      <c r="AB22" s="209">
        <f t="shared" si="1"/>
        <v>62.271524771524774</v>
      </c>
      <c r="AC22" s="209">
        <f t="shared" si="2"/>
        <v>57.090909090909086</v>
      </c>
      <c r="AD22" s="209">
        <f t="shared" si="3"/>
        <v>67.083333333333343</v>
      </c>
      <c r="AE22" s="209">
        <f t="shared" si="4"/>
        <v>65.151515151515156</v>
      </c>
    </row>
    <row r="23" spans="1:31" ht="18.75" x14ac:dyDescent="0.3">
      <c r="A23" s="297" t="s">
        <v>87</v>
      </c>
      <c r="B23" s="215" t="s">
        <v>88</v>
      </c>
      <c r="C23" s="211">
        <f>'Discrete Structure'!V26</f>
        <v>75.714285714285708</v>
      </c>
      <c r="D23" s="212">
        <f>'Discrete Structure'!W26</f>
        <v>73.333333333333329</v>
      </c>
      <c r="E23" s="212">
        <f>'Programmming Fundamental'!W26</f>
        <v>68.181818181818173</v>
      </c>
      <c r="F23" s="212">
        <f>'Programmming Fundamental'!X26</f>
        <v>53.846153846153847</v>
      </c>
      <c r="G23" s="212">
        <f>'Application of Information &amp; Co'!R27</f>
        <v>65</v>
      </c>
      <c r="H23" s="212">
        <f>'Application of Information &amp; Co'!T27</f>
        <v>57.499999999999993</v>
      </c>
      <c r="I23" s="212">
        <f>'Calculus and Analytic Geometry'!V26</f>
        <v>80.357142857142861</v>
      </c>
      <c r="J23" s="212">
        <f>'Calculus and Analytic Geometry'!W26</f>
        <v>45.454545454545453</v>
      </c>
      <c r="K23" s="212">
        <f>'Functional English'!V26</f>
        <v>64.705882352941174</v>
      </c>
      <c r="L23" s="212">
        <f>'Functional English'!W26</f>
        <v>75.757575757575751</v>
      </c>
      <c r="M23" s="273">
        <f>'Teaching of Holy Quran with Tra'!V26</f>
        <v>70</v>
      </c>
      <c r="N23" s="272">
        <f>'Networking 2nd'!AE28</f>
        <v>70</v>
      </c>
      <c r="O23" s="212">
        <f>'Networking 2nd'!AF28</f>
        <v>77.5</v>
      </c>
      <c r="P23" s="284">
        <f>'Linear Algebra 2'!AE28</f>
        <v>75.714285714285708</v>
      </c>
      <c r="Q23" s="284">
        <f>'Linear Algebra 2'!AF28</f>
        <v>76.666666666666671</v>
      </c>
      <c r="R23" s="284">
        <f>'Object Oriented Programming 2'!AE28</f>
        <v>68.333333333333329</v>
      </c>
      <c r="S23" s="208">
        <f>'Object Oriented Programming 2'!AF28</f>
        <v>80</v>
      </c>
      <c r="T23" s="284">
        <f>'Digital Logic Design 2'!AE28</f>
        <v>57.142857142857139</v>
      </c>
      <c r="U23" s="284">
        <f>'Digital Logic Design 2'!AF28</f>
        <v>53.333333333333336</v>
      </c>
      <c r="V23" s="212">
        <f>'Expository Writing 2'!AE28</f>
        <v>52</v>
      </c>
      <c r="W23" s="212">
        <f>'Expository Writing 2'!AF28</f>
        <v>50</v>
      </c>
      <c r="X23" s="212">
        <f>'Expository Writing 2'!AG28</f>
        <v>50</v>
      </c>
      <c r="Y23" s="557">
        <f>'Islamic Studies 2'!Y28</f>
        <v>81</v>
      </c>
      <c r="AA23" s="209">
        <f t="shared" si="0"/>
        <v>66.92647058823529</v>
      </c>
      <c r="AB23" s="209">
        <f t="shared" si="1"/>
        <v>67.827080327080324</v>
      </c>
      <c r="AC23" s="209">
        <f t="shared" si="2"/>
        <v>60.757575757575751</v>
      </c>
      <c r="AD23" s="209">
        <f t="shared" si="3"/>
        <v>65.961538461538467</v>
      </c>
      <c r="AE23" s="209">
        <f t="shared" si="4"/>
        <v>75.757575757575751</v>
      </c>
    </row>
    <row r="24" spans="1:31" ht="18.75" x14ac:dyDescent="0.3">
      <c r="A24" s="298" t="s">
        <v>89</v>
      </c>
      <c r="B24" s="219" t="s">
        <v>90</v>
      </c>
      <c r="C24" s="211">
        <f>'Discrete Structure'!V27</f>
        <v>81.428571428571431</v>
      </c>
      <c r="D24" s="212">
        <f>'Discrete Structure'!W27</f>
        <v>83.333333333333343</v>
      </c>
      <c r="E24" s="212">
        <f>'Programmming Fundamental'!W27</f>
        <v>63.636363636363633</v>
      </c>
      <c r="F24" s="212">
        <f>'Programmming Fundamental'!X27</f>
        <v>61.53846153846154</v>
      </c>
      <c r="G24" s="212">
        <f>'Application of Information &amp; Co'!R28</f>
        <v>50</v>
      </c>
      <c r="H24" s="212">
        <f>'Application of Information &amp; Co'!T28</f>
        <v>62.5</v>
      </c>
      <c r="I24" s="212">
        <f>'Calculus and Analytic Geometry'!V27</f>
        <v>55.357142857142861</v>
      </c>
      <c r="J24" s="212">
        <f>'Calculus and Analytic Geometry'!W27</f>
        <v>59.090909090909093</v>
      </c>
      <c r="K24" s="212">
        <f>'Functional English'!V27</f>
        <v>55.882352941176471</v>
      </c>
      <c r="L24" s="212">
        <f>'Functional English'!W27</f>
        <v>60.606060606060609</v>
      </c>
      <c r="M24" s="273">
        <f>'Teaching of Holy Quran with Tra'!V27</f>
        <v>70</v>
      </c>
      <c r="N24" s="272">
        <f>'Networking 2nd'!AE29</f>
        <v>63.333333333333329</v>
      </c>
      <c r="O24" s="212">
        <f>'Networking 2nd'!AF29</f>
        <v>67.5</v>
      </c>
      <c r="P24" s="284">
        <f>'Linear Algebra 2'!AE29</f>
        <v>70</v>
      </c>
      <c r="Q24" s="284">
        <f>'Linear Algebra 2'!AF29</f>
        <v>76.666666666666671</v>
      </c>
      <c r="R24" s="284">
        <f>'Object Oriented Programming 2'!AE29</f>
        <v>65</v>
      </c>
      <c r="S24" s="208">
        <f>'Object Oriented Programming 2'!AF29</f>
        <v>75</v>
      </c>
      <c r="T24" s="284">
        <f>'Digital Logic Design 2'!AE29</f>
        <v>64.285714285714292</v>
      </c>
      <c r="U24" s="284">
        <f>'Digital Logic Design 2'!AF29</f>
        <v>76.666666666666671</v>
      </c>
      <c r="V24" s="212">
        <f>'Expository Writing 2'!AE29</f>
        <v>60</v>
      </c>
      <c r="W24" s="212">
        <f>'Expository Writing 2'!AF29</f>
        <v>60</v>
      </c>
      <c r="X24" s="212">
        <f>'Expository Writing 2'!AG29</f>
        <v>46.666666666666664</v>
      </c>
      <c r="Y24" s="557">
        <f>'Islamic Studies 2'!Y29</f>
        <v>72</v>
      </c>
      <c r="AA24" s="209">
        <f t="shared" si="0"/>
        <v>64.470588235294116</v>
      </c>
      <c r="AB24" s="209">
        <f t="shared" si="1"/>
        <v>63.671236171236174</v>
      </c>
      <c r="AC24" s="209">
        <f t="shared" si="2"/>
        <v>63.818181818181827</v>
      </c>
      <c r="AD24" s="209">
        <f t="shared" si="3"/>
        <v>72.467948717948715</v>
      </c>
      <c r="AE24" s="209">
        <f t="shared" si="4"/>
        <v>60.606060606060609</v>
      </c>
    </row>
    <row r="25" spans="1:31" ht="18.75" x14ac:dyDescent="0.3">
      <c r="A25" s="298" t="s">
        <v>91</v>
      </c>
      <c r="B25" s="219" t="s">
        <v>92</v>
      </c>
      <c r="C25" s="211">
        <f>'Discrete Structure'!V28</f>
        <v>78.571428571428569</v>
      </c>
      <c r="D25" s="212">
        <f>'Discrete Structure'!W28</f>
        <v>90</v>
      </c>
      <c r="E25" s="212">
        <f>'Programmming Fundamental'!W28</f>
        <v>61.363636363636367</v>
      </c>
      <c r="F25" s="212">
        <f>'Programmming Fundamental'!X28</f>
        <v>61.53846153846154</v>
      </c>
      <c r="G25" s="212">
        <f>'Application of Information &amp; Co'!R29</f>
        <v>75</v>
      </c>
      <c r="H25" s="212">
        <f>'Application of Information &amp; Co'!T29</f>
        <v>65</v>
      </c>
      <c r="I25" s="212">
        <f>'Calculus and Analytic Geometry'!V28</f>
        <v>66.071428571428569</v>
      </c>
      <c r="J25" s="212">
        <f>'Calculus and Analytic Geometry'!W28</f>
        <v>61.363636363636367</v>
      </c>
      <c r="K25" s="212">
        <f>'Functional English'!V28</f>
        <v>61.764705882352942</v>
      </c>
      <c r="L25" s="212">
        <f>'Functional English'!W28</f>
        <v>60.606060606060609</v>
      </c>
      <c r="M25" s="273">
        <f>'Teaching of Holy Quran with Tra'!V28</f>
        <v>72</v>
      </c>
      <c r="N25" s="272">
        <f>'Networking 2nd'!AE30</f>
        <v>63.333333333333329</v>
      </c>
      <c r="O25" s="212">
        <f>'Networking 2nd'!AF30</f>
        <v>62.5</v>
      </c>
      <c r="P25" s="284">
        <f>'Linear Algebra 2'!AE30</f>
        <v>82.857142857142861</v>
      </c>
      <c r="Q25" s="284">
        <f>'Linear Algebra 2'!AF30</f>
        <v>83.333333333333343</v>
      </c>
      <c r="R25" s="284">
        <f>'Object Oriented Programming 2'!AE30</f>
        <v>48.333333333333336</v>
      </c>
      <c r="S25" s="208">
        <f>'Object Oriented Programming 2'!AF30</f>
        <v>72.5</v>
      </c>
      <c r="T25" s="284">
        <f>'Digital Logic Design 2'!AE30</f>
        <v>55.714285714285715</v>
      </c>
      <c r="U25" s="284">
        <f>'Digital Logic Design 2'!AF30</f>
        <v>56.666666666666664</v>
      </c>
      <c r="V25" s="212">
        <f>'Expository Writing 2'!AE30</f>
        <v>57.999999999999993</v>
      </c>
      <c r="W25" s="212">
        <f>'Expository Writing 2'!AF30</f>
        <v>85</v>
      </c>
      <c r="X25" s="212">
        <f>'Expository Writing 2'!AG30</f>
        <v>73.333333333333329</v>
      </c>
      <c r="Y25" s="557">
        <f>'Islamic Studies 2'!Y30</f>
        <v>79</v>
      </c>
      <c r="AA25" s="209">
        <f t="shared" si="0"/>
        <v>67.691176470588232</v>
      </c>
      <c r="AB25" s="209">
        <f t="shared" si="1"/>
        <v>68.471620971620965</v>
      </c>
      <c r="AC25" s="209">
        <f t="shared" si="2"/>
        <v>70.439393939393938</v>
      </c>
      <c r="AD25" s="209">
        <f t="shared" si="3"/>
        <v>68.509615384615387</v>
      </c>
      <c r="AE25" s="209">
        <f t="shared" si="4"/>
        <v>60.606060606060609</v>
      </c>
    </row>
    <row r="26" spans="1:31" ht="18.75" x14ac:dyDescent="0.3">
      <c r="A26" s="298" t="s">
        <v>93</v>
      </c>
      <c r="B26" s="219" t="s">
        <v>94</v>
      </c>
      <c r="C26" s="211">
        <f>'Discrete Structure'!V29</f>
        <v>81.428571428571431</v>
      </c>
      <c r="D26" s="212">
        <f>'Discrete Structure'!W29</f>
        <v>83.333333333333343</v>
      </c>
      <c r="E26" s="212">
        <f>'Programmming Fundamental'!W29</f>
        <v>0</v>
      </c>
      <c r="F26" s="212">
        <f>'Programmming Fundamental'!X29</f>
        <v>0</v>
      </c>
      <c r="G26" s="212">
        <f>'Application of Information &amp; Co'!R30</f>
        <v>0</v>
      </c>
      <c r="H26" s="212">
        <f>'Application of Information &amp; Co'!T30</f>
        <v>0</v>
      </c>
      <c r="I26" s="212">
        <f>'Calculus and Analytic Geometry'!V29</f>
        <v>0</v>
      </c>
      <c r="J26" s="212">
        <f>'Calculus and Analytic Geometry'!W29</f>
        <v>0</v>
      </c>
      <c r="K26" s="212">
        <f>'Functional English'!V29</f>
        <v>0</v>
      </c>
      <c r="L26" s="212">
        <f>'Functional English'!W29</f>
        <v>0</v>
      </c>
      <c r="M26" s="273">
        <f>'Teaching of Holy Quran with Tra'!V29</f>
        <v>0</v>
      </c>
      <c r="N26" s="272">
        <f>'Networking 2nd'!AE31</f>
        <v>0</v>
      </c>
      <c r="O26" s="212">
        <f>'Networking 2nd'!AF31</f>
        <v>0</v>
      </c>
      <c r="P26" s="284">
        <f>'Linear Algebra 2'!AE31</f>
        <v>0</v>
      </c>
      <c r="Q26" s="284">
        <f>'Linear Algebra 2'!AF31</f>
        <v>0</v>
      </c>
      <c r="R26" s="284">
        <f>'Object Oriented Programming 2'!AE31</f>
        <v>0</v>
      </c>
      <c r="S26" s="208">
        <f>'Object Oriented Programming 2'!AF31</f>
        <v>0</v>
      </c>
      <c r="T26" s="284">
        <f>'Digital Logic Design 2'!AE31</f>
        <v>0</v>
      </c>
      <c r="U26" s="284">
        <f>'Digital Logic Design 2'!AF31</f>
        <v>0</v>
      </c>
      <c r="V26" s="212">
        <f>'Expository Writing 2'!AE31</f>
        <v>0</v>
      </c>
      <c r="W26" s="212">
        <f>'Expository Writing 2'!AF31</f>
        <v>0</v>
      </c>
      <c r="X26" s="212">
        <f>'Expository Writing 2'!AG31</f>
        <v>0</v>
      </c>
      <c r="Y26" s="557">
        <f>'Islamic Studies 2'!Y31</f>
        <v>0</v>
      </c>
      <c r="AA26" s="209">
        <f t="shared" si="0"/>
        <v>0</v>
      </c>
      <c r="AB26" s="209">
        <f t="shared" si="1"/>
        <v>9.0476190476190474</v>
      </c>
      <c r="AC26" s="209">
        <f t="shared" si="2"/>
        <v>16.666666666666668</v>
      </c>
      <c r="AD26" s="209">
        <f t="shared" si="3"/>
        <v>0</v>
      </c>
      <c r="AE26" s="209">
        <f t="shared" si="4"/>
        <v>0</v>
      </c>
    </row>
    <row r="27" spans="1:31" ht="18.75" x14ac:dyDescent="0.3">
      <c r="A27" s="298" t="s">
        <v>95</v>
      </c>
      <c r="B27" s="219" t="s">
        <v>96</v>
      </c>
      <c r="C27" s="211">
        <f>'Discrete Structure'!V30</f>
        <v>22.857142857142858</v>
      </c>
      <c r="D27" s="212">
        <f>'Discrete Structure'!W30</f>
        <v>60</v>
      </c>
      <c r="E27" s="212">
        <f>'Programmming Fundamental'!W30</f>
        <v>47.727272727272727</v>
      </c>
      <c r="F27" s="212">
        <f>'Programmming Fundamental'!X30</f>
        <v>57.692307692307686</v>
      </c>
      <c r="G27" s="212">
        <f>'Application of Information &amp; Co'!R31</f>
        <v>50</v>
      </c>
      <c r="H27" s="212">
        <f>'Application of Information &amp; Co'!T31</f>
        <v>55.000000000000007</v>
      </c>
      <c r="I27" s="212">
        <f>'Calculus and Analytic Geometry'!V30</f>
        <v>41.071428571428569</v>
      </c>
      <c r="J27" s="212">
        <f>'Calculus and Analytic Geometry'!W30</f>
        <v>29.545454545454547</v>
      </c>
      <c r="K27" s="212">
        <f>'Functional English'!V30</f>
        <v>52.941176470588239</v>
      </c>
      <c r="L27" s="212">
        <f>'Functional English'!W30</f>
        <v>59.090909090909093</v>
      </c>
      <c r="M27" s="273">
        <f>'Teaching of Holy Quran with Tra'!V30</f>
        <v>81</v>
      </c>
      <c r="N27" s="272">
        <f>'Networking 2nd'!AE32</f>
        <v>56.666666666666664</v>
      </c>
      <c r="O27" s="212">
        <f>'Networking 2nd'!AF32</f>
        <v>70</v>
      </c>
      <c r="P27" s="284">
        <f>'Linear Algebra 2'!AE32</f>
        <v>71.428571428571431</v>
      </c>
      <c r="Q27" s="284">
        <f>'Linear Algebra 2'!AF32</f>
        <v>56.666666666666664</v>
      </c>
      <c r="R27" s="284">
        <f>'Object Oriented Programming 2'!AE32</f>
        <v>60</v>
      </c>
      <c r="S27" s="208">
        <f>'Object Oriented Programming 2'!AF32</f>
        <v>70</v>
      </c>
      <c r="T27" s="284">
        <f>'Digital Logic Design 2'!AE32</f>
        <v>62.857142857142854</v>
      </c>
      <c r="U27" s="284">
        <f>'Digital Logic Design 2'!AF32</f>
        <v>50</v>
      </c>
      <c r="V27" s="212">
        <f>'Expository Writing 2'!AE32</f>
        <v>52</v>
      </c>
      <c r="W27" s="212">
        <f>'Expository Writing 2'!AF32</f>
        <v>70</v>
      </c>
      <c r="X27" s="212">
        <f>'Expository Writing 2'!AG32</f>
        <v>46.666666666666664</v>
      </c>
      <c r="Y27" s="557">
        <f>'Islamic Studies 2'!Y32</f>
        <v>64</v>
      </c>
      <c r="AA27" s="209">
        <f t="shared" si="0"/>
        <v>62.485294117647058</v>
      </c>
      <c r="AB27" s="209">
        <f t="shared" si="1"/>
        <v>53.623136123136113</v>
      </c>
      <c r="AC27" s="209">
        <f t="shared" si="2"/>
        <v>52.242424242424249</v>
      </c>
      <c r="AD27" s="209">
        <f t="shared" si="3"/>
        <v>58.589743589743591</v>
      </c>
      <c r="AE27" s="209">
        <f t="shared" si="4"/>
        <v>59.090909090909093</v>
      </c>
    </row>
    <row r="28" spans="1:31" ht="18.75" x14ac:dyDescent="0.3">
      <c r="A28" s="296" t="s">
        <v>97</v>
      </c>
      <c r="B28" s="166" t="s">
        <v>98</v>
      </c>
      <c r="C28" s="211">
        <f>'Discrete Structure'!V31</f>
        <v>20</v>
      </c>
      <c r="D28" s="212">
        <f>'Discrete Structure'!W31</f>
        <v>60</v>
      </c>
      <c r="E28" s="212">
        <f>'Programmming Fundamental'!W31</f>
        <v>65.909090909090907</v>
      </c>
      <c r="F28" s="212">
        <f>'Programmming Fundamental'!X31</f>
        <v>65.384615384615387</v>
      </c>
      <c r="G28" s="212">
        <f>'Application of Information &amp; Co'!R32</f>
        <v>60</v>
      </c>
      <c r="H28" s="212">
        <f>'Application of Information &amp; Co'!T32</f>
        <v>57.499999999999993</v>
      </c>
      <c r="I28" s="212">
        <f>'Calculus and Analytic Geometry'!V31</f>
        <v>67.857142857142861</v>
      </c>
      <c r="J28" s="212">
        <f>'Calculus and Analytic Geometry'!W31</f>
        <v>68.181818181818173</v>
      </c>
      <c r="K28" s="212">
        <f>'Functional English'!V31</f>
        <v>76.470588235294116</v>
      </c>
      <c r="L28" s="212">
        <f>'Functional English'!W31</f>
        <v>69.696969696969703</v>
      </c>
      <c r="M28" s="273">
        <f>'Teaching of Holy Quran with Tra'!V31</f>
        <v>84</v>
      </c>
      <c r="N28" s="272">
        <f>'Networking 2nd'!AE33</f>
        <v>70</v>
      </c>
      <c r="O28" s="212">
        <f>'Networking 2nd'!AF33</f>
        <v>70</v>
      </c>
      <c r="P28" s="284">
        <f>'Linear Algebra 2'!AE33</f>
        <v>78.571428571428569</v>
      </c>
      <c r="Q28" s="284">
        <f>'Linear Algebra 2'!AF33</f>
        <v>83.333333333333343</v>
      </c>
      <c r="R28" s="284">
        <f>'Object Oriented Programming 2'!AE33</f>
        <v>68.333333333333329</v>
      </c>
      <c r="S28" s="208">
        <f>'Object Oriented Programming 2'!AF33</f>
        <v>75</v>
      </c>
      <c r="T28" s="284">
        <f>'Digital Logic Design 2'!AE33</f>
        <v>65.714285714285708</v>
      </c>
      <c r="U28" s="284">
        <f>'Digital Logic Design 2'!AF33</f>
        <v>63.333333333333329</v>
      </c>
      <c r="V28" s="212">
        <f>'Expository Writing 2'!AE33</f>
        <v>46</v>
      </c>
      <c r="W28" s="212">
        <f>'Expository Writing 2'!AF33</f>
        <v>45</v>
      </c>
      <c r="X28" s="212">
        <f>'Expository Writing 2'!AG33</f>
        <v>50</v>
      </c>
      <c r="Y28" s="557">
        <f>'Islamic Studies 2'!Y33</f>
        <v>78</v>
      </c>
      <c r="AA28" s="209">
        <f t="shared" si="0"/>
        <v>71.117647058823536</v>
      </c>
      <c r="AB28" s="209">
        <f t="shared" si="1"/>
        <v>60.153920153920154</v>
      </c>
      <c r="AC28" s="209">
        <f t="shared" si="2"/>
        <v>61.13636363636364</v>
      </c>
      <c r="AD28" s="209">
        <f t="shared" si="3"/>
        <v>71.762820512820511</v>
      </c>
      <c r="AE28" s="209">
        <f t="shared" si="4"/>
        <v>69.696969696969703</v>
      </c>
    </row>
    <row r="29" spans="1:31" ht="18.75" x14ac:dyDescent="0.3">
      <c r="A29" s="296" t="s">
        <v>99</v>
      </c>
      <c r="B29" s="166" t="s">
        <v>100</v>
      </c>
      <c r="C29" s="211">
        <f>'Discrete Structure'!V32</f>
        <v>70</v>
      </c>
      <c r="D29" s="212">
        <f>'Discrete Structure'!W32</f>
        <v>70</v>
      </c>
      <c r="E29" s="212">
        <f>'Programmming Fundamental'!W32</f>
        <v>50</v>
      </c>
      <c r="F29" s="212">
        <f>'Programmming Fundamental'!X32</f>
        <v>50</v>
      </c>
      <c r="G29" s="212">
        <f>'Application of Information &amp; Co'!R33</f>
        <v>50</v>
      </c>
      <c r="H29" s="212">
        <f>'Application of Information &amp; Co'!T33</f>
        <v>50</v>
      </c>
      <c r="I29" s="212">
        <f>'Calculus and Analytic Geometry'!V32</f>
        <v>46.428571428571431</v>
      </c>
      <c r="J29" s="212">
        <f>'Calculus and Analytic Geometry'!W32</f>
        <v>22.727272727272727</v>
      </c>
      <c r="K29" s="212">
        <f>'Functional English'!V32</f>
        <v>50</v>
      </c>
      <c r="L29" s="212">
        <f>'Functional English'!W32</f>
        <v>40.909090909090914</v>
      </c>
      <c r="M29" s="273">
        <f>'Teaching of Holy Quran with Tra'!V32</f>
        <v>68</v>
      </c>
      <c r="N29" s="272">
        <f>'Networking 2nd'!AE34</f>
        <v>48.333333333333336</v>
      </c>
      <c r="O29" s="212">
        <f>'Networking 2nd'!AF34</f>
        <v>55.000000000000007</v>
      </c>
      <c r="P29" s="284">
        <f>'Linear Algebra 2'!AE34</f>
        <v>22.857142857142858</v>
      </c>
      <c r="Q29" s="284">
        <f>'Linear Algebra 2'!AF34</f>
        <v>33.333333333333329</v>
      </c>
      <c r="R29" s="284">
        <f>'Object Oriented Programming 2'!AE34</f>
        <v>50</v>
      </c>
      <c r="S29" s="208">
        <f>'Object Oriented Programming 2'!AF34</f>
        <v>67.5</v>
      </c>
      <c r="T29" s="284">
        <f>'Digital Logic Design 2'!AE34</f>
        <v>55.714285714285715</v>
      </c>
      <c r="U29" s="284">
        <f>'Digital Logic Design 2'!AF34</f>
        <v>53.333333333333336</v>
      </c>
      <c r="V29" s="212">
        <f>'Expository Writing 2'!AE34</f>
        <v>46</v>
      </c>
      <c r="W29" s="212">
        <f>'Expository Writing 2'!AF34</f>
        <v>50</v>
      </c>
      <c r="X29" s="212">
        <f>'Expository Writing 2'!AG34</f>
        <v>50</v>
      </c>
      <c r="Y29" s="557">
        <f>'Islamic Studies 2'!Y34</f>
        <v>79</v>
      </c>
      <c r="AA29" s="209">
        <f t="shared" si="0"/>
        <v>60.75</v>
      </c>
      <c r="AB29" s="209">
        <f t="shared" si="1"/>
        <v>49.25925925925926</v>
      </c>
      <c r="AC29" s="209">
        <f t="shared" si="2"/>
        <v>49.545454545454547</v>
      </c>
      <c r="AD29" s="209">
        <f t="shared" si="3"/>
        <v>51.041666666666664</v>
      </c>
      <c r="AE29" s="209">
        <f t="shared" si="4"/>
        <v>40.909090909090914</v>
      </c>
    </row>
    <row r="30" spans="1:31" ht="18.75" x14ac:dyDescent="0.3">
      <c r="A30" s="296" t="s">
        <v>101</v>
      </c>
      <c r="B30" s="166" t="s">
        <v>102</v>
      </c>
      <c r="C30" s="211">
        <f>'Discrete Structure'!V33</f>
        <v>85.714285714285708</v>
      </c>
      <c r="D30" s="212">
        <f>'Discrete Structure'!W33</f>
        <v>90</v>
      </c>
      <c r="E30" s="212">
        <f>'Programmming Fundamental'!W33</f>
        <v>59.090909090909093</v>
      </c>
      <c r="F30" s="212">
        <f>'Programmming Fundamental'!X33</f>
        <v>50</v>
      </c>
      <c r="G30" s="212">
        <f>'Application of Information &amp; Co'!R34</f>
        <v>65</v>
      </c>
      <c r="H30" s="212">
        <f>'Application of Information &amp; Co'!T34</f>
        <v>60</v>
      </c>
      <c r="I30" s="212">
        <f>'Calculus and Analytic Geometry'!V33</f>
        <v>64.285714285714292</v>
      </c>
      <c r="J30" s="212">
        <f>'Calculus and Analytic Geometry'!W33</f>
        <v>56.81818181818182</v>
      </c>
      <c r="K30" s="212">
        <f>'Functional English'!V33</f>
        <v>64.705882352941174</v>
      </c>
      <c r="L30" s="212">
        <f>'Functional English'!W33</f>
        <v>43.939393939393938</v>
      </c>
      <c r="M30" s="273">
        <f>'Teaching of Holy Quran with Tra'!V33</f>
        <v>78</v>
      </c>
      <c r="N30" s="272">
        <f>'Networking 2nd'!AE35</f>
        <v>55.000000000000007</v>
      </c>
      <c r="O30" s="212">
        <f>'Networking 2nd'!AF35</f>
        <v>62.5</v>
      </c>
      <c r="P30" s="284">
        <f>'Linear Algebra 2'!AE35</f>
        <v>65.714285714285708</v>
      </c>
      <c r="Q30" s="284">
        <f>'Linear Algebra 2'!AF35</f>
        <v>73.333333333333329</v>
      </c>
      <c r="R30" s="284">
        <f>'Object Oriented Programming 2'!AE35</f>
        <v>56.666666666666664</v>
      </c>
      <c r="S30" s="208">
        <f>'Object Oriented Programming 2'!AF35</f>
        <v>75</v>
      </c>
      <c r="T30" s="284">
        <f>'Digital Logic Design 2'!AE35</f>
        <v>54.285714285714285</v>
      </c>
      <c r="U30" s="284">
        <f>'Digital Logic Design 2'!AF35</f>
        <v>60</v>
      </c>
      <c r="V30" s="212">
        <f>'Expository Writing 2'!AE35</f>
        <v>36</v>
      </c>
      <c r="W30" s="212">
        <f>'Expository Writing 2'!AF35</f>
        <v>40</v>
      </c>
      <c r="X30" s="212">
        <f>'Expository Writing 2'!AG35</f>
        <v>26.666666666666668</v>
      </c>
      <c r="Y30" s="557">
        <f>'Islamic Studies 2'!Y35</f>
        <v>65</v>
      </c>
      <c r="AA30" s="209">
        <f t="shared" si="0"/>
        <v>60.92647058823529</v>
      </c>
      <c r="AB30" s="209">
        <f t="shared" si="1"/>
        <v>60.639730639730637</v>
      </c>
      <c r="AC30" s="209">
        <f t="shared" si="2"/>
        <v>59.196969696969703</v>
      </c>
      <c r="AD30" s="209">
        <f t="shared" si="3"/>
        <v>64.583333333333329</v>
      </c>
      <c r="AE30" s="209">
        <f t="shared" si="4"/>
        <v>43.939393939393938</v>
      </c>
    </row>
    <row r="31" spans="1:31" ht="18.75" x14ac:dyDescent="0.3">
      <c r="A31" s="297" t="s">
        <v>103</v>
      </c>
      <c r="B31" s="215" t="s">
        <v>104</v>
      </c>
      <c r="C31" s="211">
        <f>'Discrete Structure'!V34</f>
        <v>72.857142857142847</v>
      </c>
      <c r="D31" s="212">
        <f>'Discrete Structure'!W34</f>
        <v>76.666666666666671</v>
      </c>
      <c r="E31" s="212">
        <f>'Programmming Fundamental'!W34</f>
        <v>63.636363636363633</v>
      </c>
      <c r="F31" s="212">
        <f>'Programmming Fundamental'!X34</f>
        <v>53.846153846153847</v>
      </c>
      <c r="G31" s="212">
        <f>'Application of Information &amp; Co'!R35</f>
        <v>50</v>
      </c>
      <c r="H31" s="212">
        <f>'Application of Information &amp; Co'!T35</f>
        <v>52.5</v>
      </c>
      <c r="I31" s="212">
        <f>'Calculus and Analytic Geometry'!V34</f>
        <v>60.714285714285708</v>
      </c>
      <c r="J31" s="212">
        <f>'Calculus and Analytic Geometry'!W34</f>
        <v>45.454545454545453</v>
      </c>
      <c r="K31" s="212">
        <f>'Functional English'!V34</f>
        <v>58.82352941176471</v>
      </c>
      <c r="L31" s="212">
        <f>'Functional English'!W34</f>
        <v>37.878787878787875</v>
      </c>
      <c r="M31" s="273">
        <f>'Teaching of Holy Quran with Tra'!V34</f>
        <v>70</v>
      </c>
      <c r="N31" s="272">
        <f>'Networking 2nd'!AE36</f>
        <v>56.666666666666664</v>
      </c>
      <c r="O31" s="212">
        <f>'Networking 2nd'!AF36</f>
        <v>70</v>
      </c>
      <c r="P31" s="284">
        <f>'Linear Algebra 2'!AE36</f>
        <v>64.285714285714292</v>
      </c>
      <c r="Q31" s="284">
        <f>'Linear Algebra 2'!AF36</f>
        <v>80</v>
      </c>
      <c r="R31" s="284">
        <f>'Object Oriented Programming 2'!AE36</f>
        <v>63.333333333333329</v>
      </c>
      <c r="S31" s="208">
        <f>'Object Oriented Programming 2'!AF36</f>
        <v>70</v>
      </c>
      <c r="T31" s="284">
        <f>'Digital Logic Design 2'!AE36</f>
        <v>64.285714285714292</v>
      </c>
      <c r="U31" s="284">
        <f>'Digital Logic Design 2'!AF36</f>
        <v>56.666666666666664</v>
      </c>
      <c r="V31" s="212">
        <f>'Expository Writing 2'!AE36</f>
        <v>42</v>
      </c>
      <c r="W31" s="212">
        <f>'Expository Writing 2'!AF36</f>
        <v>35</v>
      </c>
      <c r="X31" s="212">
        <f>'Expository Writing 2'!AG36</f>
        <v>50</v>
      </c>
      <c r="Y31" s="557">
        <f>'Islamic Studies 2'!Y36</f>
        <v>73</v>
      </c>
      <c r="AA31" s="209">
        <f t="shared" si="0"/>
        <v>60.955882352941174</v>
      </c>
      <c r="AB31" s="209">
        <f t="shared" si="1"/>
        <v>58.975468975468971</v>
      </c>
      <c r="AC31" s="209">
        <f t="shared" si="2"/>
        <v>58.924242424242422</v>
      </c>
      <c r="AD31" s="209">
        <f t="shared" si="3"/>
        <v>65.128205128205124</v>
      </c>
      <c r="AE31" s="209">
        <f t="shared" si="4"/>
        <v>37.878787878787875</v>
      </c>
    </row>
    <row r="32" spans="1:31" ht="18.75" x14ac:dyDescent="0.3">
      <c r="A32" s="299" t="s">
        <v>105</v>
      </c>
      <c r="B32" s="215" t="s">
        <v>106</v>
      </c>
      <c r="C32" s="211">
        <f>'Discrete Structure'!V35</f>
        <v>81.428571428571431</v>
      </c>
      <c r="D32" s="212">
        <f>'Discrete Structure'!W35</f>
        <v>86.666666666666671</v>
      </c>
      <c r="E32" s="212">
        <f>'Programmming Fundamental'!W35</f>
        <v>40.909090909090914</v>
      </c>
      <c r="F32" s="212">
        <f>'Programmming Fundamental'!X35</f>
        <v>30.76923076923077</v>
      </c>
      <c r="G32" s="212">
        <f>'Application of Information &amp; Co'!R36</f>
        <v>0</v>
      </c>
      <c r="H32" s="212">
        <f>'Application of Information &amp; Co'!T36</f>
        <v>17.5</v>
      </c>
      <c r="I32" s="212">
        <f>'Calculus and Analytic Geometry'!V35</f>
        <v>46.428571428571431</v>
      </c>
      <c r="J32" s="212">
        <f>'Calculus and Analytic Geometry'!W35</f>
        <v>22.727272727272727</v>
      </c>
      <c r="K32" s="212">
        <f>'Functional English'!V35</f>
        <v>14.705882352941178</v>
      </c>
      <c r="L32" s="212">
        <f>'Functional English'!W35</f>
        <v>18.181818181818183</v>
      </c>
      <c r="M32" s="273">
        <f>'Teaching of Holy Quran with Tra'!V35</f>
        <v>23</v>
      </c>
      <c r="N32" s="272">
        <f>'Networking 2nd'!AE37</f>
        <v>0</v>
      </c>
      <c r="O32" s="212">
        <f>'Networking 2nd'!AF37</f>
        <v>0</v>
      </c>
      <c r="P32" s="284">
        <f>'Linear Algebra 2'!AE37</f>
        <v>0</v>
      </c>
      <c r="Q32" s="284">
        <f>'Linear Algebra 2'!AF37</f>
        <v>0</v>
      </c>
      <c r="R32" s="284">
        <f>'Object Oriented Programming 2'!AE37</f>
        <v>0</v>
      </c>
      <c r="S32" s="208">
        <f>'Object Oriented Programming 2'!AF37</f>
        <v>0</v>
      </c>
      <c r="T32" s="284">
        <f>'Digital Logic Design 2'!AE37</f>
        <v>0</v>
      </c>
      <c r="U32" s="284">
        <f>'Digital Logic Design 2'!AF37</f>
        <v>0</v>
      </c>
      <c r="V32" s="212">
        <f>'Expository Writing 2'!AE37</f>
        <v>0</v>
      </c>
      <c r="W32" s="212">
        <f>'Expository Writing 2'!AF37</f>
        <v>0</v>
      </c>
      <c r="X32" s="212">
        <f>'Expository Writing 2'!AG37</f>
        <v>0</v>
      </c>
      <c r="Y32" s="557">
        <f>'Islamic Studies 2'!Y37</f>
        <v>21</v>
      </c>
      <c r="AA32" s="209">
        <f t="shared" si="0"/>
        <v>14.676470588235293</v>
      </c>
      <c r="AB32" s="209">
        <f t="shared" si="1"/>
        <v>18.751803751803752</v>
      </c>
      <c r="AC32" s="209">
        <f t="shared" si="2"/>
        <v>25.378787878787882</v>
      </c>
      <c r="AD32" s="209">
        <f t="shared" si="3"/>
        <v>7.6923076923076925</v>
      </c>
      <c r="AE32" s="209">
        <f t="shared" si="4"/>
        <v>18.181818181818183</v>
      </c>
    </row>
    <row r="33" spans="1:31" ht="18.75" x14ac:dyDescent="0.3">
      <c r="A33" s="296" t="s">
        <v>107</v>
      </c>
      <c r="B33" s="166" t="s">
        <v>108</v>
      </c>
      <c r="C33" s="211">
        <f>'Discrete Structure'!V36</f>
        <v>78.571428571428569</v>
      </c>
      <c r="D33" s="212">
        <f>'Discrete Structure'!W36</f>
        <v>83.333333333333343</v>
      </c>
      <c r="E33" s="212">
        <f>'Programmming Fundamental'!W36</f>
        <v>56.81818181818182</v>
      </c>
      <c r="F33" s="212">
        <f>'Programmming Fundamental'!X36</f>
        <v>46.153846153846153</v>
      </c>
      <c r="G33" s="212">
        <f>'Application of Information &amp; Co'!R37</f>
        <v>50</v>
      </c>
      <c r="H33" s="212">
        <f>'Application of Information &amp; Co'!T37</f>
        <v>60</v>
      </c>
      <c r="I33" s="212">
        <f>'Calculus and Analytic Geometry'!V36</f>
        <v>55.357142857142861</v>
      </c>
      <c r="J33" s="212">
        <f>'Calculus and Analytic Geometry'!W36</f>
        <v>40.909090909090914</v>
      </c>
      <c r="K33" s="212">
        <f>'Functional English'!V36</f>
        <v>58.82352941176471</v>
      </c>
      <c r="L33" s="212">
        <f>'Functional English'!W36</f>
        <v>65.151515151515156</v>
      </c>
      <c r="M33" s="273">
        <f>'Teaching of Holy Quran with Tra'!V36</f>
        <v>77</v>
      </c>
      <c r="N33" s="272">
        <f>'Networking 2nd'!AE38</f>
        <v>50</v>
      </c>
      <c r="O33" s="212">
        <f>'Networking 2nd'!AF38</f>
        <v>67.5</v>
      </c>
      <c r="P33" s="284">
        <f>'Linear Algebra 2'!AE38</f>
        <v>67.142857142857139</v>
      </c>
      <c r="Q33" s="284">
        <f>'Linear Algebra 2'!AF38</f>
        <v>66.666666666666657</v>
      </c>
      <c r="R33" s="284">
        <f>'Object Oriented Programming 2'!AE38</f>
        <v>48.333333333333336</v>
      </c>
      <c r="S33" s="208">
        <f>'Object Oriented Programming 2'!AF38</f>
        <v>67.5</v>
      </c>
      <c r="T33" s="284">
        <f>'Digital Logic Design 2'!AE38</f>
        <v>58.571428571428577</v>
      </c>
      <c r="U33" s="284">
        <f>'Digital Logic Design 2'!AF38</f>
        <v>53.333333333333336</v>
      </c>
      <c r="V33" s="212">
        <f>'Expository Writing 2'!AE38</f>
        <v>70</v>
      </c>
      <c r="W33" s="212">
        <f>'Expository Writing 2'!AF38</f>
        <v>50</v>
      </c>
      <c r="X33" s="212">
        <f>'Expository Writing 2'!AG38</f>
        <v>50</v>
      </c>
      <c r="Y33" s="557">
        <f>'Islamic Studies 2'!Y38</f>
        <v>73</v>
      </c>
      <c r="AA33" s="209">
        <f t="shared" si="0"/>
        <v>69.705882352941174</v>
      </c>
      <c r="AB33" s="209">
        <f t="shared" si="1"/>
        <v>57.199374699374708</v>
      </c>
      <c r="AC33" s="209">
        <f t="shared" si="2"/>
        <v>60.348484848484851</v>
      </c>
      <c r="AD33" s="209">
        <f t="shared" si="3"/>
        <v>58.41346153846154</v>
      </c>
      <c r="AE33" s="209">
        <f t="shared" si="4"/>
        <v>65.151515151515156</v>
      </c>
    </row>
    <row r="34" spans="1:31" ht="18.75" x14ac:dyDescent="0.3">
      <c r="A34" s="296" t="s">
        <v>109</v>
      </c>
      <c r="B34" s="166" t="s">
        <v>110</v>
      </c>
      <c r="C34" s="211">
        <f>'Discrete Structure'!V37</f>
        <v>87.142857142857139</v>
      </c>
      <c r="D34" s="212">
        <f>'Discrete Structure'!W37</f>
        <v>96.666666666666671</v>
      </c>
      <c r="E34" s="212">
        <f>'Programmming Fundamental'!W37</f>
        <v>65.909090909090907</v>
      </c>
      <c r="F34" s="212">
        <f>'Programmming Fundamental'!X37</f>
        <v>50</v>
      </c>
      <c r="G34" s="212">
        <f>'Application of Information &amp; Co'!R38</f>
        <v>55.000000000000007</v>
      </c>
      <c r="H34" s="212">
        <f>'Application of Information &amp; Co'!T38</f>
        <v>50</v>
      </c>
      <c r="I34" s="212">
        <f>'Calculus and Analytic Geometry'!V37</f>
        <v>60.714285714285708</v>
      </c>
      <c r="J34" s="212">
        <f>'Calculus and Analytic Geometry'!W37</f>
        <v>56.81818181818182</v>
      </c>
      <c r="K34" s="212">
        <f>'Functional English'!V37</f>
        <v>73.529411764705884</v>
      </c>
      <c r="L34" s="212">
        <f>'Functional English'!W37</f>
        <v>60.606060606060609</v>
      </c>
      <c r="M34" s="273">
        <f>'Teaching of Holy Quran with Tra'!V37</f>
        <v>73</v>
      </c>
      <c r="N34" s="272">
        <f>'Networking 2nd'!AE39</f>
        <v>71.666666666666671</v>
      </c>
      <c r="O34" s="212">
        <f>'Networking 2nd'!AF39</f>
        <v>72.5</v>
      </c>
      <c r="P34" s="284">
        <f>'Linear Algebra 2'!AE39</f>
        <v>57.142857142857139</v>
      </c>
      <c r="Q34" s="284">
        <f>'Linear Algebra 2'!AF39</f>
        <v>76.666666666666671</v>
      </c>
      <c r="R34" s="284">
        <f>'Object Oriented Programming 2'!AE39</f>
        <v>63.333333333333329</v>
      </c>
      <c r="S34" s="208">
        <f>'Object Oriented Programming 2'!AF39</f>
        <v>77.5</v>
      </c>
      <c r="T34" s="284">
        <f>'Digital Logic Design 2'!AE39</f>
        <v>55.714285714285715</v>
      </c>
      <c r="U34" s="284">
        <f>'Digital Logic Design 2'!AF39</f>
        <v>60</v>
      </c>
      <c r="V34" s="212">
        <f>'Expository Writing 2'!AE39</f>
        <v>46</v>
      </c>
      <c r="W34" s="212">
        <f>'Expository Writing 2'!AF39</f>
        <v>50</v>
      </c>
      <c r="X34" s="212">
        <f>'Expository Writing 2'!AG39</f>
        <v>46.666666666666664</v>
      </c>
      <c r="Y34" s="557">
        <f>'Islamic Studies 2'!Y39</f>
        <v>77</v>
      </c>
      <c r="AA34" s="209">
        <f t="shared" si="0"/>
        <v>67.382352941176464</v>
      </c>
      <c r="AB34" s="209">
        <f t="shared" si="1"/>
        <v>62.958152958152965</v>
      </c>
      <c r="AC34" s="209">
        <f t="shared" si="2"/>
        <v>64.530303030303031</v>
      </c>
      <c r="AD34" s="209">
        <f t="shared" si="3"/>
        <v>66.041666666666671</v>
      </c>
      <c r="AE34" s="209">
        <f t="shared" si="4"/>
        <v>60.606060606060609</v>
      </c>
    </row>
    <row r="35" spans="1:31" ht="18.75" x14ac:dyDescent="0.3">
      <c r="A35" s="296" t="s">
        <v>111</v>
      </c>
      <c r="B35" s="166" t="s">
        <v>112</v>
      </c>
      <c r="C35" s="211">
        <f>'Discrete Structure'!V38</f>
        <v>94.285714285714278</v>
      </c>
      <c r="D35" s="212">
        <f>'Discrete Structure'!W38</f>
        <v>93.333333333333329</v>
      </c>
      <c r="E35" s="212">
        <f>'Programmming Fundamental'!W38</f>
        <v>70.454545454545453</v>
      </c>
      <c r="F35" s="212">
        <f>'Programmming Fundamental'!X38</f>
        <v>53.846153846153847</v>
      </c>
      <c r="G35" s="212">
        <f>'Application of Information &amp; Co'!R39</f>
        <v>85</v>
      </c>
      <c r="H35" s="212">
        <f>'Application of Information &amp; Co'!T39</f>
        <v>85</v>
      </c>
      <c r="I35" s="212">
        <f>'Calculus and Analytic Geometry'!V38</f>
        <v>89.285714285714292</v>
      </c>
      <c r="J35" s="212">
        <f>'Calculus and Analytic Geometry'!W38</f>
        <v>95.454545454545453</v>
      </c>
      <c r="K35" s="212">
        <f>'Functional English'!V38</f>
        <v>88.235294117647058</v>
      </c>
      <c r="L35" s="212">
        <f>'Functional English'!W38</f>
        <v>78.787878787878782</v>
      </c>
      <c r="M35" s="273">
        <f>'Teaching of Holy Quran with Tra'!V38</f>
        <v>78</v>
      </c>
      <c r="N35" s="272">
        <f>'Networking 2nd'!AE40</f>
        <v>75</v>
      </c>
      <c r="O35" s="212">
        <f>'Networking 2nd'!AF40</f>
        <v>67.5</v>
      </c>
      <c r="P35" s="284">
        <f>'Linear Algebra 2'!AE40</f>
        <v>92.857142857142861</v>
      </c>
      <c r="Q35" s="284">
        <f>'Linear Algebra 2'!AF40</f>
        <v>83.333333333333343</v>
      </c>
      <c r="R35" s="284">
        <f>'Object Oriented Programming 2'!AE40</f>
        <v>58.333333333333336</v>
      </c>
      <c r="S35" s="208">
        <f>'Object Oriented Programming 2'!AF40</f>
        <v>80</v>
      </c>
      <c r="T35" s="284">
        <f>'Digital Logic Design 2'!AE40</f>
        <v>64.285714285714292</v>
      </c>
      <c r="U35" s="284">
        <f>'Digital Logic Design 2'!AF40</f>
        <v>46.666666666666664</v>
      </c>
      <c r="V35" s="212">
        <f>'Expository Writing 2'!AE40</f>
        <v>72</v>
      </c>
      <c r="W35" s="212">
        <f>'Expository Writing 2'!AF40</f>
        <v>65</v>
      </c>
      <c r="X35" s="212">
        <f>'Expository Writing 2'!AG40</f>
        <v>40</v>
      </c>
      <c r="Y35" s="557">
        <f>'Islamic Studies 2'!Y40</f>
        <v>76</v>
      </c>
      <c r="AA35" s="209">
        <f t="shared" si="0"/>
        <v>78.558823529411768</v>
      </c>
      <c r="AB35" s="209">
        <f t="shared" si="1"/>
        <v>77.166907166907166</v>
      </c>
      <c r="AC35" s="209">
        <f t="shared" si="2"/>
        <v>76.257575757575751</v>
      </c>
      <c r="AD35" s="209">
        <f t="shared" si="3"/>
        <v>65.961538461538467</v>
      </c>
      <c r="AE35" s="209">
        <f t="shared" si="4"/>
        <v>78.787878787878782</v>
      </c>
    </row>
    <row r="36" spans="1:31" ht="18.75" x14ac:dyDescent="0.3">
      <c r="A36" s="296" t="s">
        <v>114</v>
      </c>
      <c r="B36" s="166" t="s">
        <v>115</v>
      </c>
      <c r="C36" s="211">
        <f>'Discrete Structure'!V39</f>
        <v>64.285714285714292</v>
      </c>
      <c r="D36" s="212">
        <f>'Discrete Structure'!W39</f>
        <v>76.666666666666671</v>
      </c>
      <c r="E36" s="212">
        <f>'Programmming Fundamental'!W39</f>
        <v>63.636363636363633</v>
      </c>
      <c r="F36" s="212">
        <f>'Programmming Fundamental'!X39</f>
        <v>50</v>
      </c>
      <c r="G36" s="212">
        <f>'Application of Information &amp; Co'!R40</f>
        <v>55.000000000000007</v>
      </c>
      <c r="H36" s="212">
        <f>'Application of Information &amp; Co'!T40</f>
        <v>57.499999999999993</v>
      </c>
      <c r="I36" s="212">
        <f>'Calculus and Analytic Geometry'!V39</f>
        <v>78.571428571428569</v>
      </c>
      <c r="J36" s="212">
        <f>'Calculus and Analytic Geometry'!W39</f>
        <v>61.363636363636367</v>
      </c>
      <c r="K36" s="212">
        <f>'Functional English'!V39</f>
        <v>64.705882352941174</v>
      </c>
      <c r="L36" s="212">
        <f>'Functional English'!W39</f>
        <v>66.666666666666657</v>
      </c>
      <c r="M36" s="273">
        <f>'Teaching of Holy Quran with Tra'!V39</f>
        <v>71</v>
      </c>
      <c r="N36" s="272">
        <f>'Networking 2nd'!AE41</f>
        <v>71.666666666666671</v>
      </c>
      <c r="O36" s="212">
        <f>'Networking 2nd'!AF41</f>
        <v>67.5</v>
      </c>
      <c r="P36" s="284">
        <f>'Linear Algebra 2'!AE41</f>
        <v>65.714285714285708</v>
      </c>
      <c r="Q36" s="284">
        <f>'Linear Algebra 2'!AF41</f>
        <v>76.666666666666671</v>
      </c>
      <c r="R36" s="284">
        <f>'Object Oriented Programming 2'!AE41</f>
        <v>58.333333333333336</v>
      </c>
      <c r="S36" s="208">
        <f>'Object Oriented Programming 2'!AF41</f>
        <v>65</v>
      </c>
      <c r="T36" s="284">
        <f>'Digital Logic Design 2'!AE41</f>
        <v>47.142857142857139</v>
      </c>
      <c r="U36" s="284">
        <f>'Digital Logic Design 2'!AF41</f>
        <v>50</v>
      </c>
      <c r="V36" s="212">
        <f>'Expository Writing 2'!AE41</f>
        <v>64</v>
      </c>
      <c r="W36" s="212">
        <f>'Expository Writing 2'!AF41</f>
        <v>65</v>
      </c>
      <c r="X36" s="212">
        <f>'Expository Writing 2'!AG41</f>
        <v>43.333333333333336</v>
      </c>
      <c r="Y36" s="557">
        <f>'Islamic Studies 2'!Y41</f>
        <v>50</v>
      </c>
      <c r="AA36" s="209">
        <f t="shared" si="0"/>
        <v>62.42647058823529</v>
      </c>
      <c r="AB36" s="209">
        <f t="shared" si="1"/>
        <v>63.26118326118327</v>
      </c>
      <c r="AC36" s="209">
        <f t="shared" si="2"/>
        <v>61.272727272727266</v>
      </c>
      <c r="AD36" s="209">
        <f t="shared" si="3"/>
        <v>60.416666666666671</v>
      </c>
      <c r="AE36" s="209">
        <f t="shared" si="4"/>
        <v>66.666666666666657</v>
      </c>
    </row>
    <row r="37" spans="1:31" ht="18.75" x14ac:dyDescent="0.3">
      <c r="A37" s="297" t="s">
        <v>116</v>
      </c>
      <c r="B37" s="215" t="s">
        <v>117</v>
      </c>
      <c r="C37" s="211">
        <f>'Discrete Structure'!V40</f>
        <v>0</v>
      </c>
      <c r="D37" s="212">
        <f>'Discrete Structure'!W40</f>
        <v>0</v>
      </c>
      <c r="E37" s="212">
        <f>'Programmming Fundamental'!W40</f>
        <v>56.81818181818182</v>
      </c>
      <c r="F37" s="212">
        <f>'Programmming Fundamental'!X40</f>
        <v>53.846153846153847</v>
      </c>
      <c r="G37" s="212">
        <f>'Application of Information &amp; Co'!R41</f>
        <v>50</v>
      </c>
      <c r="H37" s="212">
        <f>'Application of Information &amp; Co'!T41</f>
        <v>55.000000000000007</v>
      </c>
      <c r="I37" s="212">
        <f>'Calculus and Analytic Geometry'!V40</f>
        <v>76.785714285714292</v>
      </c>
      <c r="J37" s="212">
        <f>'Calculus and Analytic Geometry'!W40</f>
        <v>84.090909090909093</v>
      </c>
      <c r="K37" s="212">
        <f>'Functional English'!V40</f>
        <v>73.529411764705884</v>
      </c>
      <c r="L37" s="212">
        <f>'Functional English'!W40</f>
        <v>63.636363636363633</v>
      </c>
      <c r="M37" s="273">
        <f>'Teaching of Holy Quran with Tra'!V40</f>
        <v>81</v>
      </c>
      <c r="N37" s="272">
        <f>'Networking 2nd'!AE42</f>
        <v>68.333333333333329</v>
      </c>
      <c r="O37" s="212">
        <f>'Networking 2nd'!AF42</f>
        <v>72.5</v>
      </c>
      <c r="P37" s="284">
        <f>'Linear Algebra 2'!AE42</f>
        <v>65.714285714285708</v>
      </c>
      <c r="Q37" s="284">
        <f>'Linear Algebra 2'!AF42</f>
        <v>76.666666666666671</v>
      </c>
      <c r="R37" s="284">
        <f>'Object Oriented Programming 2'!AE42</f>
        <v>55.000000000000007</v>
      </c>
      <c r="S37" s="208">
        <f>'Object Oriented Programming 2'!AF42</f>
        <v>65</v>
      </c>
      <c r="T37" s="284">
        <f>'Digital Logic Design 2'!AE42</f>
        <v>64.285714285714292</v>
      </c>
      <c r="U37" s="284">
        <f>'Digital Logic Design 2'!AF42</f>
        <v>80</v>
      </c>
      <c r="V37" s="212">
        <f>'Expository Writing 2'!AE42</f>
        <v>64</v>
      </c>
      <c r="W37" s="212">
        <f>'Expository Writing 2'!AF42</f>
        <v>60</v>
      </c>
      <c r="X37" s="212">
        <f>'Expository Writing 2'!AG42</f>
        <v>43.333333333333336</v>
      </c>
      <c r="Y37" s="557">
        <f>'Islamic Studies 2'!Y42</f>
        <v>49</v>
      </c>
      <c r="AA37" s="209">
        <f t="shared" si="0"/>
        <v>66.882352941176464</v>
      </c>
      <c r="AB37" s="209">
        <f t="shared" si="1"/>
        <v>55.215247715247713</v>
      </c>
      <c r="AC37" s="209">
        <f t="shared" si="2"/>
        <v>50.984848484848484</v>
      </c>
      <c r="AD37" s="209">
        <f t="shared" si="3"/>
        <v>68.878205128205138</v>
      </c>
      <c r="AE37" s="209">
        <f t="shared" si="4"/>
        <v>63.636363636363633</v>
      </c>
    </row>
    <row r="38" spans="1:31" ht="18.75" x14ac:dyDescent="0.3">
      <c r="A38" s="296" t="s">
        <v>118</v>
      </c>
      <c r="B38" s="166" t="s">
        <v>119</v>
      </c>
      <c r="C38" s="211">
        <f>'Discrete Structure'!V41</f>
        <v>74.285714285714292</v>
      </c>
      <c r="D38" s="212">
        <f>'Discrete Structure'!W41</f>
        <v>93.333333333333329</v>
      </c>
      <c r="E38" s="212">
        <f>'Programmming Fundamental'!W41</f>
        <v>50</v>
      </c>
      <c r="F38" s="212">
        <f>'Programmming Fundamental'!X41</f>
        <v>38.461538461538467</v>
      </c>
      <c r="G38" s="212">
        <f>'Application of Information &amp; Co'!R42</f>
        <v>65</v>
      </c>
      <c r="H38" s="212">
        <f>'Application of Information &amp; Co'!T42</f>
        <v>62.5</v>
      </c>
      <c r="I38" s="212">
        <f>'Calculus and Analytic Geometry'!V41</f>
        <v>41.071428571428569</v>
      </c>
      <c r="J38" s="212">
        <f>'Calculus and Analytic Geometry'!W41</f>
        <v>40.909090909090914</v>
      </c>
      <c r="K38" s="212">
        <f>'Functional English'!V41</f>
        <v>79.411764705882348</v>
      </c>
      <c r="L38" s="212">
        <f>'Functional English'!W41</f>
        <v>65.151515151515156</v>
      </c>
      <c r="M38" s="273">
        <f>'Teaching of Holy Quran with Tra'!V41</f>
        <v>77</v>
      </c>
      <c r="N38" s="272">
        <f>'Networking 2nd'!AE43</f>
        <v>71.666666666666671</v>
      </c>
      <c r="O38" s="212">
        <f>'Networking 2nd'!AF43</f>
        <v>65</v>
      </c>
      <c r="P38" s="284">
        <f>'Linear Algebra 2'!AE43</f>
        <v>64.285714285714292</v>
      </c>
      <c r="Q38" s="284">
        <f>'Linear Algebra 2'!AF43</f>
        <v>80</v>
      </c>
      <c r="R38" s="284">
        <f>'Object Oriented Programming 2'!AE43</f>
        <v>48.333333333333336</v>
      </c>
      <c r="S38" s="208">
        <f>'Object Oriented Programming 2'!AF43</f>
        <v>65</v>
      </c>
      <c r="T38" s="284">
        <f>'Digital Logic Design 2'!AE43</f>
        <v>47.142857142857139</v>
      </c>
      <c r="U38" s="284">
        <f>'Digital Logic Design 2'!AF43</f>
        <v>40</v>
      </c>
      <c r="V38" s="212">
        <f>'Expository Writing 2'!AE43</f>
        <v>78</v>
      </c>
      <c r="W38" s="212">
        <f>'Expository Writing 2'!AF43</f>
        <v>80</v>
      </c>
      <c r="X38" s="212">
        <f>'Expository Writing 2'!AG43</f>
        <v>53.333333333333336</v>
      </c>
      <c r="Y38" s="557">
        <f>'Islamic Studies 2'!Y43</f>
        <v>78</v>
      </c>
      <c r="AA38" s="209">
        <f t="shared" si="0"/>
        <v>78.10294117647058</v>
      </c>
      <c r="AB38" s="209">
        <f t="shared" si="1"/>
        <v>60.198412698412689</v>
      </c>
      <c r="AC38" s="209">
        <f t="shared" si="2"/>
        <v>63.015151515151516</v>
      </c>
      <c r="AD38" s="209">
        <f t="shared" si="3"/>
        <v>55.865384615384613</v>
      </c>
      <c r="AE38" s="209">
        <f t="shared" si="4"/>
        <v>65.151515151515156</v>
      </c>
    </row>
    <row r="39" spans="1:31" ht="18.75" x14ac:dyDescent="0.3">
      <c r="A39" s="296" t="s">
        <v>120</v>
      </c>
      <c r="B39" s="166" t="s">
        <v>121</v>
      </c>
      <c r="C39" s="211">
        <f>'Discrete Structure'!V42</f>
        <v>0</v>
      </c>
      <c r="D39" s="212">
        <f>'Discrete Structure'!W42</f>
        <v>0</v>
      </c>
      <c r="E39" s="212">
        <f>'Programmming Fundamental'!W42</f>
        <v>36.363636363636367</v>
      </c>
      <c r="F39" s="212">
        <f>'Programmming Fundamental'!X42</f>
        <v>57.692307692307686</v>
      </c>
      <c r="G39" s="212">
        <f>'Application of Information &amp; Co'!R43</f>
        <v>65</v>
      </c>
      <c r="H39" s="212">
        <f>'Application of Information &amp; Co'!T43</f>
        <v>57.499999999999993</v>
      </c>
      <c r="I39" s="212">
        <f>'Calculus and Analytic Geometry'!V42</f>
        <v>23.214285714285715</v>
      </c>
      <c r="J39" s="212">
        <f>'Calculus and Analytic Geometry'!W42</f>
        <v>4.5454545454545459</v>
      </c>
      <c r="K39" s="212">
        <f>'Functional English'!V42</f>
        <v>58.82352941176471</v>
      </c>
      <c r="L39" s="212">
        <f>'Functional English'!W42</f>
        <v>54.54545454545454</v>
      </c>
      <c r="M39" s="273">
        <f>'Teaching of Holy Quran with Tra'!V42</f>
        <v>74</v>
      </c>
      <c r="N39" s="272">
        <f>'Networking 2nd'!AE44</f>
        <v>51.666666666666671</v>
      </c>
      <c r="O39" s="212">
        <f>'Networking 2nd'!AF44</f>
        <v>55.000000000000007</v>
      </c>
      <c r="P39" s="284">
        <f>'Linear Algebra 2'!AE44</f>
        <v>45.714285714285715</v>
      </c>
      <c r="Q39" s="284">
        <f>'Linear Algebra 2'!AF44</f>
        <v>66.666666666666657</v>
      </c>
      <c r="R39" s="284">
        <f>'Object Oriented Programming 2'!AE44</f>
        <v>51.666666666666671</v>
      </c>
      <c r="S39" s="208">
        <f>'Object Oriented Programming 2'!AF44</f>
        <v>70</v>
      </c>
      <c r="T39" s="284">
        <f>'Digital Logic Design 2'!AE44</f>
        <v>27.142857142857142</v>
      </c>
      <c r="U39" s="284">
        <f>'Digital Logic Design 2'!AF44</f>
        <v>23.333333333333332</v>
      </c>
      <c r="V39" s="212">
        <f>'Expository Writing 2'!AE44</f>
        <v>52</v>
      </c>
      <c r="W39" s="212">
        <f>'Expository Writing 2'!AF44</f>
        <v>55.000000000000007</v>
      </c>
      <c r="X39" s="212">
        <f>'Expository Writing 2'!AG44</f>
        <v>53.333333333333336</v>
      </c>
      <c r="Y39" s="557">
        <f>'Islamic Studies 2'!Y44</f>
        <v>78</v>
      </c>
      <c r="AA39" s="209">
        <f t="shared" si="0"/>
        <v>65.705882352941174</v>
      </c>
      <c r="AB39" s="209">
        <f t="shared" si="1"/>
        <v>39.529822029822043</v>
      </c>
      <c r="AC39" s="209">
        <f t="shared" si="2"/>
        <v>34.075757575757578</v>
      </c>
      <c r="AD39" s="209">
        <f t="shared" si="3"/>
        <v>54.42307692307692</v>
      </c>
      <c r="AE39" s="209">
        <f t="shared" si="4"/>
        <v>54.54545454545454</v>
      </c>
    </row>
    <row r="40" spans="1:31" ht="18.75" x14ac:dyDescent="0.3">
      <c r="A40" s="296" t="s">
        <v>122</v>
      </c>
      <c r="B40" s="166" t="s">
        <v>123</v>
      </c>
      <c r="C40" s="211">
        <f>'Discrete Structure'!V43</f>
        <v>81.428571428571431</v>
      </c>
      <c r="D40" s="212">
        <f>'Discrete Structure'!W43</f>
        <v>93.333333333333329</v>
      </c>
      <c r="E40" s="212">
        <f>'Programmming Fundamental'!W43</f>
        <v>56.81818181818182</v>
      </c>
      <c r="F40" s="212">
        <f>'Programmming Fundamental'!X43</f>
        <v>61.53846153846154</v>
      </c>
      <c r="G40" s="212">
        <f>'Application of Information &amp; Co'!R44</f>
        <v>50</v>
      </c>
      <c r="H40" s="212">
        <f>'Application of Information &amp; Co'!T44</f>
        <v>55.000000000000007</v>
      </c>
      <c r="I40" s="212">
        <f>'Calculus and Analytic Geometry'!V43</f>
        <v>67.857142857142861</v>
      </c>
      <c r="J40" s="212">
        <f>'Calculus and Analytic Geometry'!W43</f>
        <v>43.18181818181818</v>
      </c>
      <c r="K40" s="212">
        <f>'Functional English'!V43</f>
        <v>61.764705882352942</v>
      </c>
      <c r="L40" s="212">
        <f>'Functional English'!W43</f>
        <v>68.181818181818173</v>
      </c>
      <c r="M40" s="273">
        <f>'Teaching of Holy Quran with Tra'!V43</f>
        <v>79</v>
      </c>
      <c r="N40" s="272">
        <f>'Networking 2nd'!AE45</f>
        <v>68.333333333333329</v>
      </c>
      <c r="O40" s="212">
        <f>'Networking 2nd'!AF45</f>
        <v>57.499999999999993</v>
      </c>
      <c r="P40" s="284">
        <f>'Linear Algebra 2'!AE45</f>
        <v>67.142857142857139</v>
      </c>
      <c r="Q40" s="284">
        <f>'Linear Algebra 2'!AF45</f>
        <v>76.666666666666671</v>
      </c>
      <c r="R40" s="284">
        <f>'Object Oriented Programming 2'!AE45</f>
        <v>63.333333333333329</v>
      </c>
      <c r="S40" s="208">
        <f>'Object Oriented Programming 2'!AF45</f>
        <v>57.499999999999993</v>
      </c>
      <c r="T40" s="284">
        <f>'Digital Logic Design 2'!AE45</f>
        <v>54.285714285714285</v>
      </c>
      <c r="U40" s="284">
        <f>'Digital Logic Design 2'!AF45</f>
        <v>40</v>
      </c>
      <c r="V40" s="212">
        <f>'Expository Writing 2'!AE45</f>
        <v>56.000000000000007</v>
      </c>
      <c r="W40" s="212">
        <f>'Expository Writing 2'!AF45</f>
        <v>50</v>
      </c>
      <c r="X40" s="212">
        <f>'Expository Writing 2'!AG45</f>
        <v>40</v>
      </c>
      <c r="Y40" s="557">
        <f>'Islamic Studies 2'!Y45</f>
        <v>70</v>
      </c>
      <c r="AA40" s="209">
        <f t="shared" si="0"/>
        <v>66.691176470588232</v>
      </c>
      <c r="AB40" s="209">
        <f t="shared" si="1"/>
        <v>62.133237133237131</v>
      </c>
      <c r="AC40" s="209">
        <f t="shared" si="2"/>
        <v>57.803030303030297</v>
      </c>
      <c r="AD40" s="209">
        <f t="shared" si="3"/>
        <v>58.926282051282051</v>
      </c>
      <c r="AE40" s="209">
        <f t="shared" si="4"/>
        <v>68.181818181818173</v>
      </c>
    </row>
    <row r="41" spans="1:31" ht="18.75" x14ac:dyDescent="0.3">
      <c r="A41" s="296" t="s">
        <v>124</v>
      </c>
      <c r="B41" s="166" t="s">
        <v>125</v>
      </c>
      <c r="C41" s="211">
        <f>'Discrete Structure'!V44</f>
        <v>78.571428571428569</v>
      </c>
      <c r="D41" s="212">
        <f>'Discrete Structure'!W44</f>
        <v>90</v>
      </c>
      <c r="E41" s="212">
        <f>'Programmming Fundamental'!W44</f>
        <v>59.090909090909093</v>
      </c>
      <c r="F41" s="212">
        <f>'Programmming Fundamental'!X44</f>
        <v>57.692307692307686</v>
      </c>
      <c r="G41" s="212">
        <f>'Application of Information &amp; Co'!R45</f>
        <v>65</v>
      </c>
      <c r="H41" s="212">
        <f>'Application of Information &amp; Co'!T45</f>
        <v>65</v>
      </c>
      <c r="I41" s="212">
        <f>'Calculus and Analytic Geometry'!V44</f>
        <v>62.5</v>
      </c>
      <c r="J41" s="212">
        <f>'Calculus and Analytic Geometry'!W44</f>
        <v>61.363636363636367</v>
      </c>
      <c r="K41" s="212">
        <f>'Functional English'!V44</f>
        <v>70.588235294117652</v>
      </c>
      <c r="L41" s="212">
        <f>'Functional English'!W44</f>
        <v>78.787878787878782</v>
      </c>
      <c r="M41" s="273">
        <f>'Teaching of Holy Quran with Tra'!V44</f>
        <v>77</v>
      </c>
      <c r="N41" s="272">
        <f>'Networking 2nd'!AE46</f>
        <v>71.666666666666671</v>
      </c>
      <c r="O41" s="212">
        <f>'Networking 2nd'!AF46</f>
        <v>57.499999999999993</v>
      </c>
      <c r="P41" s="284">
        <f>'Linear Algebra 2'!AE46</f>
        <v>60</v>
      </c>
      <c r="Q41" s="284">
        <f>'Linear Algebra 2'!AF46</f>
        <v>80</v>
      </c>
      <c r="R41" s="284">
        <f>'Object Oriented Programming 2'!AE46</f>
        <v>63.333333333333329</v>
      </c>
      <c r="S41" s="208">
        <f>'Object Oriented Programming 2'!AF46</f>
        <v>67.5</v>
      </c>
      <c r="T41" s="284">
        <f>'Digital Logic Design 2'!AE46</f>
        <v>60</v>
      </c>
      <c r="U41" s="284">
        <f>'Digital Logic Design 2'!AF46</f>
        <v>56.666666666666664</v>
      </c>
      <c r="V41" s="212">
        <f>'Expository Writing 2'!AE46</f>
        <v>64</v>
      </c>
      <c r="W41" s="212">
        <f>'Expository Writing 2'!AF46</f>
        <v>50</v>
      </c>
      <c r="X41" s="212">
        <f>'Expository Writing 2'!AG46</f>
        <v>46.666666666666664</v>
      </c>
      <c r="Y41" s="557">
        <f>'Islamic Studies 2'!Y46</f>
        <v>61</v>
      </c>
      <c r="AA41" s="209">
        <f t="shared" si="0"/>
        <v>68.14705882352942</v>
      </c>
      <c r="AB41" s="209">
        <f t="shared" si="1"/>
        <v>63.351370851370852</v>
      </c>
      <c r="AC41" s="209">
        <f t="shared" si="2"/>
        <v>64.106060606060609</v>
      </c>
      <c r="AD41" s="209">
        <f t="shared" si="3"/>
        <v>65.464743589743591</v>
      </c>
      <c r="AE41" s="209">
        <f t="shared" si="4"/>
        <v>78.787878787878782</v>
      </c>
    </row>
    <row r="42" spans="1:31" ht="18.75" x14ac:dyDescent="0.3">
      <c r="A42" s="296" t="s">
        <v>126</v>
      </c>
      <c r="B42" s="166" t="s">
        <v>94</v>
      </c>
      <c r="C42" s="211">
        <f>'Discrete Structure'!V45</f>
        <v>77.142857142857153</v>
      </c>
      <c r="D42" s="212">
        <f>'Discrete Structure'!W45</f>
        <v>86.666666666666671</v>
      </c>
      <c r="E42" s="212">
        <f>'Programmming Fundamental'!W45</f>
        <v>0</v>
      </c>
      <c r="F42" s="212">
        <f>'Programmming Fundamental'!X45</f>
        <v>0</v>
      </c>
      <c r="G42" s="212">
        <f>'Application of Information &amp; Co'!R46</f>
        <v>0</v>
      </c>
      <c r="H42" s="212">
        <f>'Application of Information &amp; Co'!T46</f>
        <v>0</v>
      </c>
      <c r="I42" s="212">
        <f>'Calculus and Analytic Geometry'!V45</f>
        <v>0</v>
      </c>
      <c r="J42" s="212">
        <f>'Calculus and Analytic Geometry'!W45</f>
        <v>0</v>
      </c>
      <c r="K42" s="212">
        <f>'Functional English'!V45</f>
        <v>0</v>
      </c>
      <c r="L42" s="212">
        <f>'Functional English'!W45</f>
        <v>0</v>
      </c>
      <c r="M42" s="273">
        <f>'Teaching of Holy Quran with Tra'!V45</f>
        <v>0</v>
      </c>
      <c r="N42" s="272">
        <f>'Networking 2nd'!AE47</f>
        <v>0</v>
      </c>
      <c r="O42" s="212">
        <f>'Networking 2nd'!AF47</f>
        <v>0</v>
      </c>
      <c r="P42" s="284">
        <f>'Linear Algebra 2'!AE47</f>
        <v>0</v>
      </c>
      <c r="Q42" s="284">
        <f>'Linear Algebra 2'!AF47</f>
        <v>0</v>
      </c>
      <c r="R42" s="284">
        <f>'Object Oriented Programming 2'!AE47</f>
        <v>0</v>
      </c>
      <c r="S42" s="208">
        <f>'Object Oriented Programming 2'!AF47</f>
        <v>0</v>
      </c>
      <c r="T42" s="284">
        <f>'Digital Logic Design 2'!AE47</f>
        <v>0</v>
      </c>
      <c r="U42" s="284">
        <f>'Digital Logic Design 2'!AF47</f>
        <v>0</v>
      </c>
      <c r="V42" s="212">
        <f>'Expository Writing 2'!AE47</f>
        <v>0</v>
      </c>
      <c r="W42" s="212">
        <f>'Expository Writing 2'!AF47</f>
        <v>0</v>
      </c>
      <c r="X42" s="212">
        <f>'Expository Writing 2'!AG47</f>
        <v>0</v>
      </c>
      <c r="Y42" s="557">
        <f>'Islamic Studies 2'!Y47</f>
        <v>0</v>
      </c>
      <c r="AA42" s="209">
        <f t="shared" si="0"/>
        <v>0</v>
      </c>
      <c r="AB42" s="209">
        <f t="shared" si="1"/>
        <v>8.571428571428573</v>
      </c>
      <c r="AC42" s="209">
        <f t="shared" si="2"/>
        <v>17.333333333333336</v>
      </c>
      <c r="AD42" s="209">
        <f t="shared" si="3"/>
        <v>0</v>
      </c>
      <c r="AE42" s="209">
        <f t="shared" si="4"/>
        <v>0</v>
      </c>
    </row>
    <row r="43" spans="1:31" ht="18.75" x14ac:dyDescent="0.3">
      <c r="A43" s="296" t="s">
        <v>127</v>
      </c>
      <c r="B43" s="166" t="s">
        <v>128</v>
      </c>
      <c r="C43" s="211">
        <f>'Discrete Structure'!V46</f>
        <v>22.857142857142858</v>
      </c>
      <c r="D43" s="212">
        <f>'Discrete Structure'!W46</f>
        <v>56.666666666666664</v>
      </c>
      <c r="E43" s="212">
        <f>'Programmming Fundamental'!W46</f>
        <v>77.272727272727266</v>
      </c>
      <c r="F43" s="212">
        <f>'Programmming Fundamental'!X46</f>
        <v>61.53846153846154</v>
      </c>
      <c r="G43" s="212">
        <f>'Application of Information &amp; Co'!R47</f>
        <v>50</v>
      </c>
      <c r="H43" s="212">
        <f>'Application of Information &amp; Co'!T47</f>
        <v>57.499999999999993</v>
      </c>
      <c r="I43" s="212">
        <f>'Calculus and Analytic Geometry'!V46</f>
        <v>89.285714285714292</v>
      </c>
      <c r="J43" s="212">
        <f>'Calculus and Analytic Geometry'!W46</f>
        <v>88.63636363636364</v>
      </c>
      <c r="K43" s="212">
        <f>'Functional English'!V46</f>
        <v>76.470588235294116</v>
      </c>
      <c r="L43" s="212">
        <f>'Functional English'!W46</f>
        <v>78.787878787878782</v>
      </c>
      <c r="M43" s="273">
        <f>'Teaching of Holy Quran with Tra'!V46</f>
        <v>82</v>
      </c>
      <c r="N43" s="272">
        <f>'Networking 2nd'!AE48</f>
        <v>56.666666666666664</v>
      </c>
      <c r="O43" s="212">
        <f>'Networking 2nd'!AF48</f>
        <v>85</v>
      </c>
      <c r="P43" s="284">
        <f>'Linear Algebra 2'!AE48</f>
        <v>64.285714285714292</v>
      </c>
      <c r="Q43" s="284">
        <f>'Linear Algebra 2'!AF48</f>
        <v>86.666666666666671</v>
      </c>
      <c r="R43" s="284">
        <f>'Object Oriented Programming 2'!AE48</f>
        <v>61.666666666666671</v>
      </c>
      <c r="S43" s="208">
        <f>'Object Oriented Programming 2'!AF48</f>
        <v>70</v>
      </c>
      <c r="T43" s="284">
        <f>'Digital Logic Design 2'!AE48</f>
        <v>74.285714285714292</v>
      </c>
      <c r="U43" s="284">
        <f>'Digital Logic Design 2'!AF48</f>
        <v>76.666666666666671</v>
      </c>
      <c r="V43" s="212">
        <f>'Expository Writing 2'!AE48</f>
        <v>68</v>
      </c>
      <c r="W43" s="212">
        <f>'Expository Writing 2'!AF48</f>
        <v>80</v>
      </c>
      <c r="X43" s="212">
        <f>'Expository Writing 2'!AG48</f>
        <v>60</v>
      </c>
      <c r="Y43" s="557">
        <f>'Islamic Studies 2'!Y48</f>
        <v>67</v>
      </c>
      <c r="AA43" s="209">
        <f t="shared" si="0"/>
        <v>73.367647058823536</v>
      </c>
      <c r="AB43" s="209">
        <f t="shared" si="1"/>
        <v>64.035594035594031</v>
      </c>
      <c r="AC43" s="209">
        <f t="shared" si="2"/>
        <v>69.560606060606062</v>
      </c>
      <c r="AD43" s="209">
        <f t="shared" si="3"/>
        <v>73.717948717948715</v>
      </c>
      <c r="AE43" s="209">
        <f t="shared" si="4"/>
        <v>78.787878787878782</v>
      </c>
    </row>
    <row r="44" spans="1:31" ht="18.75" x14ac:dyDescent="0.3">
      <c r="A44" s="296" t="s">
        <v>129</v>
      </c>
      <c r="B44" s="166" t="s">
        <v>130</v>
      </c>
      <c r="C44" s="211">
        <f>'Discrete Structure'!V47</f>
        <v>80</v>
      </c>
      <c r="D44" s="212">
        <f>'Discrete Structure'!W47</f>
        <v>93.333333333333329</v>
      </c>
      <c r="E44" s="212">
        <f>'Programmming Fundamental'!W47</f>
        <v>70.454545454545453</v>
      </c>
      <c r="F44" s="212">
        <f>'Programmming Fundamental'!X47</f>
        <v>53.846153846153847</v>
      </c>
      <c r="G44" s="212">
        <f>'Application of Information &amp; Co'!R48</f>
        <v>65</v>
      </c>
      <c r="H44" s="212">
        <f>'Application of Information &amp; Co'!T48</f>
        <v>82.5</v>
      </c>
      <c r="I44" s="212">
        <f>'Calculus and Analytic Geometry'!V47</f>
        <v>62.5</v>
      </c>
      <c r="J44" s="212">
        <f>'Calculus and Analytic Geometry'!W47</f>
        <v>38.636363636363633</v>
      </c>
      <c r="K44" s="212">
        <f>'Functional English'!V47</f>
        <v>70.588235294117652</v>
      </c>
      <c r="L44" s="212">
        <f>'Functional English'!W47</f>
        <v>65.151515151515156</v>
      </c>
      <c r="M44" s="273">
        <f>'Teaching of Holy Quran with Tra'!V47</f>
        <v>79</v>
      </c>
      <c r="N44" s="272">
        <f>'Networking 2nd'!AE49</f>
        <v>75</v>
      </c>
      <c r="O44" s="212">
        <f>'Networking 2nd'!AF49</f>
        <v>72.5</v>
      </c>
      <c r="P44" s="284">
        <f>'Linear Algebra 2'!AE49</f>
        <v>60</v>
      </c>
      <c r="Q44" s="284">
        <f>'Linear Algebra 2'!AF49</f>
        <v>83.333333333333343</v>
      </c>
      <c r="R44" s="284">
        <f>'Object Oriented Programming 2'!AE49</f>
        <v>63.333333333333329</v>
      </c>
      <c r="S44" s="208">
        <f>'Object Oriented Programming 2'!AF49</f>
        <v>62.5</v>
      </c>
      <c r="T44" s="284">
        <f>'Digital Logic Design 2'!AE49</f>
        <v>67.142857142857139</v>
      </c>
      <c r="U44" s="284">
        <f>'Digital Logic Design 2'!AF49</f>
        <v>76.666666666666671</v>
      </c>
      <c r="V44" s="212">
        <f>'Expository Writing 2'!AE49</f>
        <v>64</v>
      </c>
      <c r="W44" s="212">
        <f>'Expository Writing 2'!AF49</f>
        <v>55.000000000000007</v>
      </c>
      <c r="X44" s="212">
        <f>'Expository Writing 2'!AG49</f>
        <v>53.333333333333336</v>
      </c>
      <c r="Y44" s="557">
        <f>'Islamic Studies 2'!Y49</f>
        <v>79</v>
      </c>
      <c r="AA44" s="209">
        <f t="shared" si="0"/>
        <v>73.14705882352942</v>
      </c>
      <c r="AB44" s="209">
        <f t="shared" si="1"/>
        <v>66.492303992303988</v>
      </c>
      <c r="AC44" s="209">
        <f t="shared" si="2"/>
        <v>68.060606060606062</v>
      </c>
      <c r="AD44" s="209">
        <f t="shared" si="3"/>
        <v>69.086538461538467</v>
      </c>
      <c r="AE44" s="209">
        <f t="shared" si="4"/>
        <v>65.151515151515156</v>
      </c>
    </row>
    <row r="45" spans="1:31" ht="18.75" x14ac:dyDescent="0.3">
      <c r="A45" s="296" t="s">
        <v>132</v>
      </c>
      <c r="B45" s="166" t="s">
        <v>133</v>
      </c>
      <c r="C45" s="211">
        <f>'Discrete Structure'!V48</f>
        <v>0</v>
      </c>
      <c r="D45" s="212">
        <f>'Discrete Structure'!W48</f>
        <v>0</v>
      </c>
      <c r="E45" s="212">
        <f>'Programmming Fundamental'!W48</f>
        <v>0</v>
      </c>
      <c r="F45" s="212">
        <f>'Programmming Fundamental'!X48</f>
        <v>0</v>
      </c>
      <c r="G45" s="212">
        <f>'Application of Information &amp; Co'!R49</f>
        <v>0</v>
      </c>
      <c r="H45" s="212">
        <f>'Application of Information &amp; Co'!T49</f>
        <v>0</v>
      </c>
      <c r="I45" s="212">
        <f>'Calculus and Analytic Geometry'!V48</f>
        <v>0</v>
      </c>
      <c r="J45" s="212">
        <f>'Calculus and Analytic Geometry'!W48</f>
        <v>0</v>
      </c>
      <c r="K45" s="212">
        <f>'Functional English'!V48</f>
        <v>0</v>
      </c>
      <c r="L45" s="212">
        <f>'Functional English'!W48</f>
        <v>0</v>
      </c>
      <c r="M45" s="273">
        <f>'Teaching of Holy Quran with Tra'!V48</f>
        <v>0</v>
      </c>
      <c r="N45" s="272">
        <f>'Networking 2nd'!AE50</f>
        <v>0</v>
      </c>
      <c r="O45" s="212">
        <f>'Networking 2nd'!AF50</f>
        <v>0</v>
      </c>
      <c r="P45" s="284">
        <f>'Linear Algebra 2'!AE50</f>
        <v>0</v>
      </c>
      <c r="Q45" s="284">
        <f>'Linear Algebra 2'!AF50</f>
        <v>0</v>
      </c>
      <c r="R45" s="284">
        <f>'Object Oriented Programming 2'!AE50</f>
        <v>0</v>
      </c>
      <c r="S45" s="208">
        <f>'Object Oriented Programming 2'!AF50</f>
        <v>0</v>
      </c>
      <c r="T45" s="284">
        <f>'Digital Logic Design 2'!AE50</f>
        <v>0</v>
      </c>
      <c r="U45" s="284">
        <f>'Digital Logic Design 2'!AF50</f>
        <v>0</v>
      </c>
      <c r="V45" s="212">
        <f>'Expository Writing 2'!AE50</f>
        <v>0</v>
      </c>
      <c r="W45" s="212">
        <f>'Expository Writing 2'!AF50</f>
        <v>0</v>
      </c>
      <c r="X45" s="212">
        <f>'Expository Writing 2'!AG50</f>
        <v>0</v>
      </c>
      <c r="Y45" s="557">
        <f>'Islamic Studies 2'!Y50</f>
        <v>0</v>
      </c>
      <c r="AA45" s="209">
        <f t="shared" si="0"/>
        <v>0</v>
      </c>
      <c r="AB45" s="209">
        <f t="shared" si="1"/>
        <v>0</v>
      </c>
      <c r="AC45" s="209">
        <f t="shared" si="2"/>
        <v>0</v>
      </c>
      <c r="AD45" s="209">
        <f t="shared" si="3"/>
        <v>0</v>
      </c>
      <c r="AE45" s="209">
        <f t="shared" si="4"/>
        <v>0</v>
      </c>
    </row>
    <row r="46" spans="1:31" ht="18.75" x14ac:dyDescent="0.3">
      <c r="A46" s="296" t="s">
        <v>134</v>
      </c>
      <c r="B46" s="166" t="s">
        <v>135</v>
      </c>
      <c r="C46" s="211">
        <f>'Discrete Structure'!V49</f>
        <v>0</v>
      </c>
      <c r="D46" s="212">
        <f>'Discrete Structure'!W49</f>
        <v>0</v>
      </c>
      <c r="E46" s="212">
        <f>'Programmming Fundamental'!W49</f>
        <v>75</v>
      </c>
      <c r="F46" s="212">
        <f>'Programmming Fundamental'!X49</f>
        <v>53.846153846153847</v>
      </c>
      <c r="G46" s="212">
        <f>'Application of Information &amp; Co'!R50</f>
        <v>70</v>
      </c>
      <c r="H46" s="212">
        <f>'Application of Information &amp; Co'!T50</f>
        <v>72.5</v>
      </c>
      <c r="I46" s="212">
        <f>'Calculus and Analytic Geometry'!V49</f>
        <v>62.5</v>
      </c>
      <c r="J46" s="212">
        <f>'Calculus and Analytic Geometry'!W49</f>
        <v>65.909090909090907</v>
      </c>
      <c r="K46" s="212">
        <f>'Functional English'!V49</f>
        <v>76.470588235294116</v>
      </c>
      <c r="L46" s="212">
        <f>'Functional English'!W49</f>
        <v>69.696969696969703</v>
      </c>
      <c r="M46" s="273">
        <f>'Teaching of Holy Quran with Tra'!V49</f>
        <v>77</v>
      </c>
      <c r="N46" s="272">
        <f>'Networking 2nd'!AE51</f>
        <v>58.333333333333336</v>
      </c>
      <c r="O46" s="212">
        <f>'Networking 2nd'!AF51</f>
        <v>77.5</v>
      </c>
      <c r="P46" s="284">
        <f>'Linear Algebra 2'!AE51</f>
        <v>72.857142857142847</v>
      </c>
      <c r="Q46" s="284">
        <f>'Linear Algebra 2'!AF51</f>
        <v>73.333333333333329</v>
      </c>
      <c r="R46" s="284">
        <f>'Object Oriented Programming 2'!AE51</f>
        <v>61.666666666666671</v>
      </c>
      <c r="S46" s="208">
        <f>'Object Oriented Programming 2'!AF51</f>
        <v>70</v>
      </c>
      <c r="T46" s="284">
        <f>'Digital Logic Design 2'!AE51</f>
        <v>72.857142857142847</v>
      </c>
      <c r="U46" s="284">
        <f>'Digital Logic Design 2'!AF51</f>
        <v>83.333333333333343</v>
      </c>
      <c r="V46" s="212">
        <f>'Expository Writing 2'!AE51</f>
        <v>54</v>
      </c>
      <c r="W46" s="212">
        <f>'Expository Writing 2'!AF51</f>
        <v>65</v>
      </c>
      <c r="X46" s="212">
        <f>'Expository Writing 2'!AG51</f>
        <v>63.333333333333329</v>
      </c>
      <c r="Y46" s="557">
        <f>'Islamic Studies 2'!Y51</f>
        <v>71</v>
      </c>
      <c r="AA46" s="209">
        <f t="shared" si="0"/>
        <v>69.617647058823536</v>
      </c>
      <c r="AB46" s="209">
        <f t="shared" si="1"/>
        <v>59.801587301587297</v>
      </c>
      <c r="AC46" s="209">
        <f t="shared" si="2"/>
        <v>55.848484848484851</v>
      </c>
      <c r="AD46" s="209">
        <f t="shared" si="3"/>
        <v>70.128205128205138</v>
      </c>
      <c r="AE46" s="209">
        <f t="shared" si="4"/>
        <v>69.696969696969703</v>
      </c>
    </row>
    <row r="47" spans="1:31" ht="18.75" x14ac:dyDescent="0.3">
      <c r="A47" s="296" t="s">
        <v>136</v>
      </c>
      <c r="B47" s="166" t="s">
        <v>137</v>
      </c>
      <c r="C47" s="211">
        <f>'Discrete Structure'!V50</f>
        <v>0</v>
      </c>
      <c r="D47" s="212">
        <f>'Discrete Structure'!W50</f>
        <v>0</v>
      </c>
      <c r="E47" s="212">
        <f>'Programmming Fundamental'!W50</f>
        <v>61.363636363636367</v>
      </c>
      <c r="F47" s="212">
        <f>'Programmming Fundamental'!X50</f>
        <v>50</v>
      </c>
      <c r="G47" s="212">
        <f>'Application of Information &amp; Co'!R51</f>
        <v>55.000000000000007</v>
      </c>
      <c r="H47" s="212">
        <f>'Application of Information &amp; Co'!T51</f>
        <v>65</v>
      </c>
      <c r="I47" s="212">
        <f>'Calculus and Analytic Geometry'!V50</f>
        <v>76.785714285714292</v>
      </c>
      <c r="J47" s="212">
        <f>'Calculus and Analytic Geometry'!W50</f>
        <v>68.181818181818173</v>
      </c>
      <c r="K47" s="212">
        <f>'Functional English'!V50</f>
        <v>64.705882352941174</v>
      </c>
      <c r="L47" s="212">
        <f>'Functional English'!W50</f>
        <v>72.727272727272734</v>
      </c>
      <c r="M47" s="273">
        <f>'Teaching of Holy Quran with Tra'!V50</f>
        <v>84</v>
      </c>
      <c r="N47" s="272">
        <f>'Networking 2nd'!AE52</f>
        <v>60</v>
      </c>
      <c r="O47" s="212">
        <f>'Networking 2nd'!AF52</f>
        <v>75</v>
      </c>
      <c r="P47" s="284">
        <f>'Linear Algebra 2'!AE52</f>
        <v>70</v>
      </c>
      <c r="Q47" s="284">
        <f>'Linear Algebra 2'!AF52</f>
        <v>70</v>
      </c>
      <c r="R47" s="284">
        <f>'Object Oriented Programming 2'!AE52</f>
        <v>45</v>
      </c>
      <c r="S47" s="208">
        <f>'Object Oriented Programming 2'!AF52</f>
        <v>65</v>
      </c>
      <c r="T47" s="284">
        <f>'Digital Logic Design 2'!AE52</f>
        <v>62.857142857142854</v>
      </c>
      <c r="U47" s="284">
        <f>'Digital Logic Design 2'!AF52</f>
        <v>70</v>
      </c>
      <c r="V47" s="212">
        <f>'Expository Writing 2'!AE52</f>
        <v>62</v>
      </c>
      <c r="W47" s="212">
        <f>'Expository Writing 2'!AF52</f>
        <v>55.000000000000007</v>
      </c>
      <c r="X47" s="212">
        <f>'Expository Writing 2'!AG52</f>
        <v>60</v>
      </c>
      <c r="Y47" s="557">
        <f>'Islamic Studies 2'!Y52</f>
        <v>80</v>
      </c>
      <c r="AA47" s="209">
        <f t="shared" si="0"/>
        <v>72.67647058823529</v>
      </c>
      <c r="AB47" s="209">
        <f t="shared" si="1"/>
        <v>54.000721500721497</v>
      </c>
      <c r="AC47" s="209">
        <f t="shared" si="2"/>
        <v>53.63636363636364</v>
      </c>
      <c r="AD47" s="209">
        <f t="shared" si="3"/>
        <v>63.75</v>
      </c>
      <c r="AE47" s="209">
        <f t="shared" si="4"/>
        <v>72.727272727272734</v>
      </c>
    </row>
    <row r="48" spans="1:31" ht="18.75" x14ac:dyDescent="0.3">
      <c r="A48" s="296" t="s">
        <v>138</v>
      </c>
      <c r="B48" s="166" t="s">
        <v>139</v>
      </c>
      <c r="C48" s="211">
        <f>'Discrete Structure'!V51</f>
        <v>0</v>
      </c>
      <c r="D48" s="212">
        <f>'Discrete Structure'!W51</f>
        <v>0</v>
      </c>
      <c r="E48" s="212">
        <f>'Programmming Fundamental'!W51</f>
        <v>56.81818181818182</v>
      </c>
      <c r="F48" s="212">
        <f>'Programmming Fundamental'!X51</f>
        <v>50</v>
      </c>
      <c r="G48" s="212">
        <f>'Application of Information &amp; Co'!R52</f>
        <v>55.000000000000007</v>
      </c>
      <c r="H48" s="212">
        <f>'Application of Information &amp; Co'!T52</f>
        <v>55.000000000000007</v>
      </c>
      <c r="I48" s="212">
        <f>'Calculus and Analytic Geometry'!V51</f>
        <v>51.785714285714292</v>
      </c>
      <c r="J48" s="212">
        <f>'Calculus and Analytic Geometry'!W51</f>
        <v>47.727272727272727</v>
      </c>
      <c r="K48" s="212">
        <f>'Functional English'!V51</f>
        <v>55.882352941176471</v>
      </c>
      <c r="L48" s="212">
        <f>'Functional English'!W51</f>
        <v>59.090909090909093</v>
      </c>
      <c r="M48" s="273">
        <f>'Teaching of Holy Quran with Tra'!V51</f>
        <v>66</v>
      </c>
      <c r="N48" s="272">
        <f>'Networking 2nd'!AE53</f>
        <v>50</v>
      </c>
      <c r="O48" s="212">
        <f>'Networking 2nd'!AF53</f>
        <v>67.5</v>
      </c>
      <c r="P48" s="284">
        <f>'Linear Algebra 2'!AE53</f>
        <v>38.571428571428577</v>
      </c>
      <c r="Q48" s="284">
        <f>'Linear Algebra 2'!AF53</f>
        <v>53.333333333333336</v>
      </c>
      <c r="R48" s="284">
        <f>'Object Oriented Programming 2'!AE53</f>
        <v>58.333333333333336</v>
      </c>
      <c r="S48" s="208">
        <f>'Object Oriented Programming 2'!AF53</f>
        <v>75</v>
      </c>
      <c r="T48" s="284">
        <f>'Digital Logic Design 2'!AE53</f>
        <v>65.714285714285708</v>
      </c>
      <c r="U48" s="284">
        <f>'Digital Logic Design 2'!AF53</f>
        <v>60</v>
      </c>
      <c r="V48" s="212">
        <f>'Expository Writing 2'!AE53</f>
        <v>42</v>
      </c>
      <c r="W48" s="212">
        <f>'Expository Writing 2'!AF53</f>
        <v>60</v>
      </c>
      <c r="X48" s="212">
        <f>'Expository Writing 2'!AG53</f>
        <v>60</v>
      </c>
      <c r="Y48" s="557">
        <f>'Islamic Studies 2'!Y53</f>
        <v>59</v>
      </c>
      <c r="AA48" s="209">
        <f t="shared" si="0"/>
        <v>55.720588235294116</v>
      </c>
      <c r="AB48" s="209">
        <f t="shared" si="1"/>
        <v>48.469215969215973</v>
      </c>
      <c r="AC48" s="209">
        <f t="shared" si="2"/>
        <v>46.045454545454547</v>
      </c>
      <c r="AD48" s="209">
        <f t="shared" si="3"/>
        <v>59.583333333333336</v>
      </c>
      <c r="AE48" s="209">
        <f t="shared" si="4"/>
        <v>59.090909090909093</v>
      </c>
    </row>
    <row r="49" spans="1:31" ht="18.75" x14ac:dyDescent="0.3">
      <c r="A49" s="300" t="s">
        <v>140</v>
      </c>
      <c r="B49" s="166" t="s">
        <v>141</v>
      </c>
      <c r="C49" s="211">
        <f>'Discrete Structure'!V52</f>
        <v>0</v>
      </c>
      <c r="D49" s="212">
        <f>'Discrete Structure'!W52</f>
        <v>0</v>
      </c>
      <c r="E49" s="212">
        <f>'Programmming Fundamental'!W52</f>
        <v>54.54545454545454</v>
      </c>
      <c r="F49" s="212">
        <f>'Programmming Fundamental'!X52</f>
        <v>50</v>
      </c>
      <c r="G49" s="212">
        <f>'Application of Information &amp; Co'!R53</f>
        <v>65</v>
      </c>
      <c r="H49" s="212">
        <f>'Application of Information &amp; Co'!T53</f>
        <v>52.5</v>
      </c>
      <c r="I49" s="212">
        <f>'Calculus and Analytic Geometry'!V52</f>
        <v>60.714285714285708</v>
      </c>
      <c r="J49" s="212">
        <f>'Calculus and Analytic Geometry'!W52</f>
        <v>47.727272727272727</v>
      </c>
      <c r="K49" s="212">
        <f>'Functional English'!V52</f>
        <v>55.882352941176471</v>
      </c>
      <c r="L49" s="212">
        <f>'Functional English'!W52</f>
        <v>68.181818181818173</v>
      </c>
      <c r="M49" s="273">
        <f>'Teaching of Holy Quran with Tra'!V52</f>
        <v>74</v>
      </c>
      <c r="N49" s="272">
        <f>'Networking 2nd'!AE54</f>
        <v>46.666666666666664</v>
      </c>
      <c r="O49" s="212">
        <f>'Networking 2nd'!AF54</f>
        <v>62.5</v>
      </c>
      <c r="P49" s="284">
        <f>'Linear Algebra 2'!AE54</f>
        <v>68.571428571428569</v>
      </c>
      <c r="Q49" s="284">
        <f>'Linear Algebra 2'!AF54</f>
        <v>73.333333333333329</v>
      </c>
      <c r="R49" s="284">
        <f>'Object Oriented Programming 2'!AE54</f>
        <v>48.333333333333336</v>
      </c>
      <c r="S49" s="208">
        <f>'Object Oriented Programming 2'!AF54</f>
        <v>75</v>
      </c>
      <c r="T49" s="284">
        <f>'Digital Logic Design 2'!AE54</f>
        <v>54.285714285714285</v>
      </c>
      <c r="U49" s="284">
        <f>'Digital Logic Design 2'!AF54</f>
        <v>50</v>
      </c>
      <c r="V49" s="212">
        <f>'Expository Writing 2'!AE54</f>
        <v>56.000000000000007</v>
      </c>
      <c r="W49" s="212">
        <f>'Expository Writing 2'!AF54</f>
        <v>55.000000000000007</v>
      </c>
      <c r="X49" s="212">
        <f>'Expository Writing 2'!AG54</f>
        <v>60</v>
      </c>
      <c r="Y49" s="557">
        <f>'Islamic Studies 2'!Y54</f>
        <v>74</v>
      </c>
      <c r="AA49" s="209">
        <f t="shared" si="0"/>
        <v>64.970588235294116</v>
      </c>
      <c r="AB49" s="209">
        <f t="shared" si="1"/>
        <v>50.34632034632034</v>
      </c>
      <c r="AC49" s="209">
        <f t="shared" si="2"/>
        <v>44.545454545454547</v>
      </c>
      <c r="AD49" s="209">
        <f t="shared" si="3"/>
        <v>62.083333333333329</v>
      </c>
      <c r="AE49" s="209">
        <f t="shared" si="4"/>
        <v>68.181818181818173</v>
      </c>
    </row>
    <row r="50" spans="1:31" ht="18.75" x14ac:dyDescent="0.3">
      <c r="A50" s="300" t="s">
        <v>142</v>
      </c>
      <c r="B50" s="166" t="s">
        <v>143</v>
      </c>
      <c r="C50" s="211">
        <f>'Discrete Structure'!V53</f>
        <v>0</v>
      </c>
      <c r="D50" s="212">
        <f>'Discrete Structure'!W53</f>
        <v>0</v>
      </c>
      <c r="E50" s="212">
        <f>'Programmming Fundamental'!W53</f>
        <v>65.909090909090907</v>
      </c>
      <c r="F50" s="212">
        <f>'Programmming Fundamental'!X53</f>
        <v>57.692307692307686</v>
      </c>
      <c r="G50" s="212">
        <f>'Application of Information &amp; Co'!R54</f>
        <v>55.000000000000007</v>
      </c>
      <c r="H50" s="212">
        <f>'Application of Information &amp; Co'!T54</f>
        <v>40</v>
      </c>
      <c r="I50" s="212">
        <f>'Calculus and Analytic Geometry'!V53</f>
        <v>67.857142857142861</v>
      </c>
      <c r="J50" s="212">
        <f>'Calculus and Analytic Geometry'!W53</f>
        <v>59.090909090909093</v>
      </c>
      <c r="K50" s="212">
        <f>'Functional English'!V53</f>
        <v>44.117647058823529</v>
      </c>
      <c r="L50" s="212">
        <f>'Functional English'!W53</f>
        <v>56.060606060606055</v>
      </c>
      <c r="M50" s="273">
        <f>'Teaching of Holy Quran with Tra'!V53</f>
        <v>69</v>
      </c>
      <c r="N50" s="272">
        <f>'Networking 2nd'!AE55</f>
        <v>51.666666666666671</v>
      </c>
      <c r="O50" s="212">
        <f>'Networking 2nd'!AF55</f>
        <v>62.5</v>
      </c>
      <c r="P50" s="284">
        <f>'Linear Algebra 2'!AE55</f>
        <v>85.714285714285708</v>
      </c>
      <c r="Q50" s="284">
        <f>'Linear Algebra 2'!AF55</f>
        <v>96.666666666666671</v>
      </c>
      <c r="R50" s="284">
        <f>'Object Oriented Programming 2'!AE55</f>
        <v>66.666666666666657</v>
      </c>
      <c r="S50" s="208">
        <f>'Object Oriented Programming 2'!AF55</f>
        <v>75</v>
      </c>
      <c r="T50" s="284">
        <f>'Digital Logic Design 2'!AE55</f>
        <v>45.714285714285715</v>
      </c>
      <c r="U50" s="284">
        <f>'Digital Logic Design 2'!AF55</f>
        <v>60</v>
      </c>
      <c r="V50" s="212">
        <f>'Expository Writing 2'!AE55</f>
        <v>42</v>
      </c>
      <c r="W50" s="212">
        <f>'Expository Writing 2'!AF55</f>
        <v>55.000000000000007</v>
      </c>
      <c r="X50" s="212">
        <f>'Expository Writing 2'!AG55</f>
        <v>60</v>
      </c>
      <c r="Y50" s="557">
        <f>'Islamic Studies 2'!Y55</f>
        <v>77</v>
      </c>
      <c r="AA50" s="209">
        <f t="shared" si="0"/>
        <v>58.029411764705884</v>
      </c>
      <c r="AB50" s="209">
        <f t="shared" si="1"/>
        <v>54.836459836459838</v>
      </c>
      <c r="AC50" s="209">
        <f t="shared" si="2"/>
        <v>44.31818181818182</v>
      </c>
      <c r="AD50" s="209">
        <f t="shared" si="3"/>
        <v>72.339743589743591</v>
      </c>
      <c r="AE50" s="209">
        <f t="shared" si="4"/>
        <v>56.060606060606055</v>
      </c>
    </row>
    <row r="51" spans="1:31" ht="19.5" thickBot="1" x14ac:dyDescent="0.35">
      <c r="A51" s="301" t="s">
        <v>144</v>
      </c>
      <c r="B51" s="302" t="s">
        <v>145</v>
      </c>
      <c r="C51" s="303">
        <f>'Discrete Structure'!V54</f>
        <v>0</v>
      </c>
      <c r="D51" s="274">
        <f>'Discrete Structure'!W54</f>
        <v>0</v>
      </c>
      <c r="E51" s="274">
        <f>'Programmming Fundamental'!W54</f>
        <v>59.090909090909093</v>
      </c>
      <c r="F51" s="274">
        <f>'Programmming Fundamental'!X54</f>
        <v>57.692307692307686</v>
      </c>
      <c r="G51" s="274">
        <f>'Application of Information &amp; Co'!R55</f>
        <v>55.000000000000007</v>
      </c>
      <c r="H51" s="274">
        <f>'Application of Information &amp; Co'!T55</f>
        <v>42.5</v>
      </c>
      <c r="I51" s="274">
        <f>'Calculus and Analytic Geometry'!V54</f>
        <v>41.071428571428569</v>
      </c>
      <c r="J51" s="274">
        <f>'Calculus and Analytic Geometry'!W54</f>
        <v>59.090909090909093</v>
      </c>
      <c r="K51" s="274">
        <f>'Functional English'!V54</f>
        <v>55.882352941176471</v>
      </c>
      <c r="L51" s="274">
        <f>'Functional English'!W54</f>
        <v>69.696969696969703</v>
      </c>
      <c r="M51" s="275">
        <f>'Teaching of Holy Quran with Tra'!V54</f>
        <v>74</v>
      </c>
      <c r="N51" s="272">
        <f>'Networking 2nd'!AE56</f>
        <v>65</v>
      </c>
      <c r="O51" s="212">
        <f>'Networking 2nd'!AF56</f>
        <v>75</v>
      </c>
      <c r="P51" s="284">
        <f>'Linear Algebra 2'!AE56</f>
        <v>72.857142857142847</v>
      </c>
      <c r="Q51" s="284">
        <f>'Linear Algebra 2'!AF56</f>
        <v>73.333333333333329</v>
      </c>
      <c r="R51" s="284">
        <f>'Object Oriented Programming 2'!AE56</f>
        <v>51.666666666666671</v>
      </c>
      <c r="S51" s="208">
        <f>'Object Oriented Programming 2'!AF56</f>
        <v>82.5</v>
      </c>
      <c r="T51" s="284">
        <f>'Digital Logic Design 2'!AE56</f>
        <v>65.714285714285708</v>
      </c>
      <c r="U51" s="284">
        <f>'Digital Logic Design 2'!AF56</f>
        <v>66.666666666666657</v>
      </c>
      <c r="V51" s="212">
        <f>'Expository Writing 2'!AE56</f>
        <v>62</v>
      </c>
      <c r="W51" s="212">
        <f>'Expository Writing 2'!AF56</f>
        <v>65</v>
      </c>
      <c r="X51" s="212">
        <f>'Expository Writing 2'!AG56</f>
        <v>46.666666666666664</v>
      </c>
      <c r="Y51" s="557">
        <f>'Islamic Studies 2'!Y56</f>
        <v>80</v>
      </c>
      <c r="AA51" s="209">
        <f t="shared" si="0"/>
        <v>67.970588235294116</v>
      </c>
      <c r="AB51" s="209">
        <f t="shared" si="1"/>
        <v>52.822270322270327</v>
      </c>
      <c r="AC51" s="209">
        <f t="shared" si="2"/>
        <v>44.651515151515149</v>
      </c>
      <c r="AD51" s="209">
        <f t="shared" si="3"/>
        <v>70.04807692307692</v>
      </c>
      <c r="AE51" s="209">
        <f t="shared" si="4"/>
        <v>69.696969696969703</v>
      </c>
    </row>
    <row r="52" spans="1:31" x14ac:dyDescent="0.25">
      <c r="A52" s="276"/>
      <c r="B52" s="214"/>
    </row>
  </sheetData>
  <mergeCells count="24">
    <mergeCell ref="R5:S5"/>
    <mergeCell ref="T5:U5"/>
    <mergeCell ref="V5:X5"/>
    <mergeCell ref="AA5:AE5"/>
    <mergeCell ref="R4:S4"/>
    <mergeCell ref="T4:U4"/>
    <mergeCell ref="V4:X4"/>
    <mergeCell ref="C5:D5"/>
    <mergeCell ref="E5:F5"/>
    <mergeCell ref="G5:H5"/>
    <mergeCell ref="I5:J5"/>
    <mergeCell ref="K5:L5"/>
    <mergeCell ref="N5:O5"/>
    <mergeCell ref="P5:Q5"/>
    <mergeCell ref="A2:Y2"/>
    <mergeCell ref="D3:F3"/>
    <mergeCell ref="H3:K3"/>
    <mergeCell ref="C4:D4"/>
    <mergeCell ref="E4:F4"/>
    <mergeCell ref="G4:H4"/>
    <mergeCell ref="I4:J4"/>
    <mergeCell ref="K4:L4"/>
    <mergeCell ref="N4:O4"/>
    <mergeCell ref="P4:Q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Programmming Fundamental</vt:lpstr>
      <vt:lpstr>Discrete Structure</vt:lpstr>
      <vt:lpstr>Calculus and Analytic Geometry</vt:lpstr>
      <vt:lpstr>Application of Information &amp; Co</vt:lpstr>
      <vt:lpstr>Teaching of Holy Quran with Tra</vt:lpstr>
      <vt:lpstr>Functional English</vt:lpstr>
      <vt:lpstr>Semester 1</vt:lpstr>
      <vt:lpstr>Networking 2nd</vt:lpstr>
      <vt:lpstr>Linear Algebra 2</vt:lpstr>
      <vt:lpstr>Object Oriented Programming 2</vt:lpstr>
      <vt:lpstr>Expository Writing 2</vt:lpstr>
      <vt:lpstr>Islamic Studies 2</vt:lpstr>
      <vt:lpstr>Digital Logic Design 2</vt:lpstr>
      <vt:lpstr>2nd Semester</vt:lpstr>
      <vt:lpstr>1st &amp; 2nd Cumalitive (2)</vt:lpstr>
      <vt:lpstr>'Digital Logic Design 2'!Print_Area</vt:lpstr>
      <vt:lpstr>'Expository Writing 2'!Print_Area</vt:lpstr>
      <vt:lpstr>'Islamic Studies 2'!Print_Area</vt:lpstr>
      <vt:lpstr>'Linear Algebra 2'!Print_Area</vt:lpstr>
      <vt:lpstr>'Networking 2nd'!Print_Area</vt:lpstr>
      <vt:lpstr>'Object Oriented Programming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Abdul Basit</cp:lastModifiedBy>
  <dcterms:created xsi:type="dcterms:W3CDTF">2015-06-05T18:17:20Z</dcterms:created>
  <dcterms:modified xsi:type="dcterms:W3CDTF">2025-01-29T07:19:00Z</dcterms:modified>
</cp:coreProperties>
</file>