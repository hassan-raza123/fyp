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Results\"/>
    </mc:Choice>
  </mc:AlternateContent>
  <xr:revisionPtr revIDLastSave="0" documentId="13_ncr:1_{51247EE4-0B75-491F-BF1F-3D13CC7F58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BE Sheet" sheetId="1" r:id="rId1"/>
    <sheet name="Result Sheet" sheetId="4" r:id="rId2"/>
    <sheet name="CLO &amp; PLO" sheetId="5" r:id="rId3"/>
  </sheets>
  <definedNames>
    <definedName name="_xlnm.Print_Area" localSheetId="0">'OBE Sheet'!$A$1:$AD$77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4" i="1" l="1"/>
  <c r="T54" i="1"/>
  <c r="O54" i="1"/>
  <c r="L54" i="1"/>
  <c r="G54" i="1"/>
  <c r="X54" i="1" s="1"/>
  <c r="W53" i="1"/>
  <c r="T53" i="1"/>
  <c r="O53" i="1"/>
  <c r="L53" i="1"/>
  <c r="G53" i="1"/>
  <c r="X53" i="1" s="1"/>
  <c r="W52" i="1"/>
  <c r="T52" i="1"/>
  <c r="O52" i="1"/>
  <c r="L52" i="1"/>
  <c r="G52" i="1"/>
  <c r="X52" i="1" s="1"/>
  <c r="W51" i="1"/>
  <c r="T51" i="1"/>
  <c r="O51" i="1"/>
  <c r="L51" i="1"/>
  <c r="G51" i="1"/>
  <c r="X51" i="1" s="1"/>
  <c r="W50" i="1"/>
  <c r="T50" i="1"/>
  <c r="O50" i="1"/>
  <c r="L50" i="1"/>
  <c r="G50" i="1"/>
  <c r="X50" i="1" s="1"/>
  <c r="W49" i="1"/>
  <c r="T49" i="1"/>
  <c r="O49" i="1"/>
  <c r="L49" i="1"/>
  <c r="G49" i="1"/>
  <c r="X49" i="1" s="1"/>
  <c r="W48" i="1"/>
  <c r="T48" i="1"/>
  <c r="O48" i="1"/>
  <c r="L48" i="1"/>
  <c r="G48" i="1"/>
  <c r="X48" i="1" s="1"/>
  <c r="W47" i="1"/>
  <c r="T47" i="1"/>
  <c r="O47" i="1"/>
  <c r="L47" i="1"/>
  <c r="X47" i="1" s="1"/>
  <c r="G47" i="1"/>
  <c r="W46" i="1"/>
  <c r="T46" i="1"/>
  <c r="O46" i="1"/>
  <c r="L46" i="1"/>
  <c r="G46" i="1"/>
  <c r="X46" i="1" s="1"/>
  <c r="W45" i="1"/>
  <c r="T45" i="1"/>
  <c r="O45" i="1"/>
  <c r="L45" i="1"/>
  <c r="X45" i="1" s="1"/>
  <c r="G45" i="1"/>
  <c r="W44" i="1"/>
  <c r="T44" i="1"/>
  <c r="O44" i="1"/>
  <c r="L44" i="1"/>
  <c r="G44" i="1"/>
  <c r="X44" i="1" s="1"/>
  <c r="W43" i="1"/>
  <c r="T43" i="1"/>
  <c r="O43" i="1"/>
  <c r="L43" i="1"/>
  <c r="X43" i="1" s="1"/>
  <c r="G43" i="1"/>
  <c r="W42" i="1"/>
  <c r="T42" i="1"/>
  <c r="O42" i="1"/>
  <c r="L42" i="1"/>
  <c r="G42" i="1"/>
  <c r="X42" i="1" s="1"/>
  <c r="W41" i="1"/>
  <c r="T41" i="1"/>
  <c r="O41" i="1"/>
  <c r="L41" i="1"/>
  <c r="X41" i="1" s="1"/>
  <c r="G41" i="1"/>
  <c r="W40" i="1"/>
  <c r="T40" i="1"/>
  <c r="O40" i="1"/>
  <c r="L40" i="1"/>
  <c r="G40" i="1"/>
  <c r="X40" i="1" s="1"/>
  <c r="W39" i="1"/>
  <c r="T39" i="1"/>
  <c r="O39" i="1"/>
  <c r="L39" i="1"/>
  <c r="X39" i="1" s="1"/>
  <c r="G39" i="1"/>
  <c r="W38" i="1"/>
  <c r="T38" i="1"/>
  <c r="O38" i="1"/>
  <c r="L38" i="1"/>
  <c r="G38" i="1"/>
  <c r="X38" i="1" s="1"/>
  <c r="W37" i="1"/>
  <c r="T37" i="1"/>
  <c r="O37" i="1"/>
  <c r="L37" i="1"/>
  <c r="X37" i="1" s="1"/>
  <c r="G37" i="1"/>
  <c r="W36" i="1"/>
  <c r="T36" i="1"/>
  <c r="O36" i="1"/>
  <c r="L36" i="1"/>
  <c r="G36" i="1"/>
  <c r="X36" i="1" s="1"/>
  <c r="W35" i="1"/>
  <c r="T35" i="1"/>
  <c r="O35" i="1"/>
  <c r="L35" i="1"/>
  <c r="X35" i="1" s="1"/>
  <c r="G35" i="1"/>
  <c r="W34" i="1"/>
  <c r="T34" i="1"/>
  <c r="O34" i="1"/>
  <c r="L34" i="1"/>
  <c r="G34" i="1"/>
  <c r="X34" i="1" s="1"/>
  <c r="W33" i="1"/>
  <c r="T33" i="1"/>
  <c r="O33" i="1"/>
  <c r="L33" i="1"/>
  <c r="X33" i="1" s="1"/>
  <c r="G33" i="1"/>
  <c r="W32" i="1"/>
  <c r="T32" i="1"/>
  <c r="O32" i="1"/>
  <c r="L32" i="1"/>
  <c r="G32" i="1"/>
  <c r="X32" i="1" s="1"/>
  <c r="W31" i="1"/>
  <c r="T31" i="1"/>
  <c r="O31" i="1"/>
  <c r="L31" i="1"/>
  <c r="X31" i="1" s="1"/>
  <c r="G31" i="1"/>
  <c r="W30" i="1"/>
  <c r="T30" i="1"/>
  <c r="O30" i="1"/>
  <c r="L30" i="1"/>
  <c r="G30" i="1"/>
  <c r="X30" i="1" s="1"/>
  <c r="W29" i="1"/>
  <c r="T29" i="1"/>
  <c r="O29" i="1"/>
  <c r="L29" i="1"/>
  <c r="X29" i="1" s="1"/>
  <c r="G29" i="1"/>
  <c r="W28" i="1"/>
  <c r="T28" i="1"/>
  <c r="O28" i="1"/>
  <c r="L28" i="1"/>
  <c r="G28" i="1"/>
  <c r="X28" i="1" s="1"/>
  <c r="W27" i="1"/>
  <c r="T27" i="1"/>
  <c r="O27" i="1"/>
  <c r="L27" i="1"/>
  <c r="X27" i="1" s="1"/>
  <c r="G27" i="1"/>
  <c r="W26" i="1"/>
  <c r="T26" i="1"/>
  <c r="O26" i="1"/>
  <c r="L26" i="1"/>
  <c r="G26" i="1"/>
  <c r="X26" i="1" s="1"/>
  <c r="W25" i="1"/>
  <c r="T25" i="1"/>
  <c r="O25" i="1"/>
  <c r="L25" i="1"/>
  <c r="X25" i="1" s="1"/>
  <c r="G25" i="1"/>
  <c r="W24" i="1"/>
  <c r="T24" i="1"/>
  <c r="O24" i="1"/>
  <c r="L24" i="1"/>
  <c r="G24" i="1"/>
  <c r="X24" i="1" s="1"/>
  <c r="W23" i="1"/>
  <c r="T23" i="1"/>
  <c r="O23" i="1"/>
  <c r="L23" i="1"/>
  <c r="X23" i="1" s="1"/>
  <c r="G23" i="1"/>
  <c r="W22" i="1"/>
  <c r="T22" i="1"/>
  <c r="O22" i="1"/>
  <c r="L22" i="1"/>
  <c r="G22" i="1"/>
  <c r="X22" i="1" s="1"/>
  <c r="W21" i="1"/>
  <c r="T21" i="1"/>
  <c r="O21" i="1"/>
  <c r="L21" i="1"/>
  <c r="X21" i="1" s="1"/>
  <c r="G21" i="1"/>
  <c r="W20" i="1"/>
  <c r="T20" i="1"/>
  <c r="L20" i="1"/>
  <c r="G20" i="1"/>
  <c r="X20" i="1" s="1"/>
  <c r="W19" i="1"/>
  <c r="T19" i="1"/>
  <c r="O19" i="1"/>
  <c r="L19" i="1"/>
  <c r="X19" i="1" s="1"/>
  <c r="G19" i="1"/>
  <c r="W18" i="1"/>
  <c r="T18" i="1"/>
  <c r="O18" i="1"/>
  <c r="L18" i="1"/>
  <c r="G18" i="1"/>
  <c r="X18" i="1" s="1"/>
  <c r="W17" i="1"/>
  <c r="T17" i="1"/>
  <c r="O17" i="1"/>
  <c r="L17" i="1"/>
  <c r="X17" i="1" s="1"/>
  <c r="G17" i="1"/>
  <c r="W16" i="1"/>
  <c r="T16" i="1"/>
  <c r="O16" i="1"/>
  <c r="L16" i="1"/>
  <c r="G16" i="1"/>
  <c r="X16" i="1" s="1"/>
  <c r="W15" i="1"/>
  <c r="T15" i="1"/>
  <c r="O15" i="1"/>
  <c r="L15" i="1"/>
  <c r="X15" i="1" s="1"/>
  <c r="G15" i="1"/>
  <c r="W14" i="1"/>
  <c r="T14" i="1"/>
  <c r="O14" i="1"/>
  <c r="L14" i="1"/>
  <c r="G14" i="1"/>
  <c r="X14" i="1" s="1"/>
  <c r="G60" i="4" l="1"/>
  <c r="F6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D52" i="4"/>
  <c r="E52" i="4"/>
  <c r="F52" i="4"/>
  <c r="G52" i="4"/>
  <c r="H52" i="4"/>
  <c r="Y39" i="1"/>
  <c r="Z39" i="1"/>
  <c r="AA39" i="1"/>
  <c r="D53" i="4"/>
  <c r="E53" i="4"/>
  <c r="F53" i="4"/>
  <c r="G53" i="4"/>
  <c r="H53" i="4"/>
  <c r="Y40" i="1"/>
  <c r="Z40" i="1"/>
  <c r="AA40" i="1"/>
  <c r="D54" i="4"/>
  <c r="E54" i="4"/>
  <c r="F54" i="4"/>
  <c r="G54" i="4"/>
  <c r="H54" i="4"/>
  <c r="Y41" i="1"/>
  <c r="Z41" i="1"/>
  <c r="AA41" i="1"/>
  <c r="D55" i="4"/>
  <c r="E55" i="4"/>
  <c r="F55" i="4"/>
  <c r="G55" i="4"/>
  <c r="H55" i="4"/>
  <c r="Y42" i="1"/>
  <c r="Z42" i="1"/>
  <c r="AA42" i="1"/>
  <c r="D56" i="4"/>
  <c r="E56" i="4"/>
  <c r="F56" i="4"/>
  <c r="G56" i="4"/>
  <c r="H56" i="4"/>
  <c r="Y43" i="1"/>
  <c r="Z43" i="1"/>
  <c r="AA43" i="1"/>
  <c r="D57" i="4"/>
  <c r="E57" i="4"/>
  <c r="F57" i="4"/>
  <c r="G57" i="4"/>
  <c r="H57" i="4"/>
  <c r="Y44" i="1"/>
  <c r="Z44" i="1"/>
  <c r="AA44" i="1"/>
  <c r="D58" i="4"/>
  <c r="E58" i="4"/>
  <c r="F58" i="4"/>
  <c r="G58" i="4"/>
  <c r="H58" i="4"/>
  <c r="Y45" i="1"/>
  <c r="Z45" i="1"/>
  <c r="AA45" i="1"/>
  <c r="E59" i="4"/>
  <c r="F59" i="4"/>
  <c r="G59" i="4"/>
  <c r="H59" i="4"/>
  <c r="Y46" i="1"/>
  <c r="Z46" i="1"/>
  <c r="AA46" i="1"/>
  <c r="D60" i="4"/>
  <c r="E60" i="4"/>
  <c r="H60" i="4"/>
  <c r="Y47" i="1"/>
  <c r="Z47" i="1"/>
  <c r="AA47" i="1"/>
  <c r="D61" i="4"/>
  <c r="E61" i="4"/>
  <c r="F61" i="4"/>
  <c r="G61" i="4"/>
  <c r="H61" i="4"/>
  <c r="Y48" i="1"/>
  <c r="Z48" i="1"/>
  <c r="AA48" i="1"/>
  <c r="D62" i="4"/>
  <c r="E62" i="4"/>
  <c r="F62" i="4"/>
  <c r="G62" i="4"/>
  <c r="H62" i="4"/>
  <c r="Y49" i="1"/>
  <c r="Z49" i="1"/>
  <c r="AA49" i="1"/>
  <c r="D63" i="4"/>
  <c r="E63" i="4"/>
  <c r="F63" i="4"/>
  <c r="G63" i="4"/>
  <c r="H63" i="4"/>
  <c r="Y50" i="1"/>
  <c r="Z50" i="1"/>
  <c r="AA50" i="1"/>
  <c r="D64" i="4"/>
  <c r="E64" i="4"/>
  <c r="F64" i="4"/>
  <c r="G64" i="4"/>
  <c r="H64" i="4"/>
  <c r="Y51" i="1"/>
  <c r="Z51" i="1"/>
  <c r="AA51" i="1"/>
  <c r="D65" i="4"/>
  <c r="E65" i="4"/>
  <c r="F65" i="4"/>
  <c r="G65" i="4"/>
  <c r="H65" i="4"/>
  <c r="Y52" i="1"/>
  <c r="Z52" i="1"/>
  <c r="AA52" i="1"/>
  <c r="D66" i="4"/>
  <c r="E66" i="4"/>
  <c r="F66" i="4"/>
  <c r="G66" i="4"/>
  <c r="H66" i="4"/>
  <c r="Y53" i="1"/>
  <c r="Z53" i="1"/>
  <c r="AA53" i="1"/>
  <c r="E67" i="4"/>
  <c r="F67" i="4"/>
  <c r="G67" i="4"/>
  <c r="H67" i="4"/>
  <c r="Y54" i="1"/>
  <c r="Z54" i="1"/>
  <c r="AA54" i="1"/>
  <c r="G55" i="1"/>
  <c r="D68" i="4" s="1"/>
  <c r="L55" i="1"/>
  <c r="E68" i="4" s="1"/>
  <c r="O55" i="1"/>
  <c r="F68" i="4" s="1"/>
  <c r="T55" i="1"/>
  <c r="G68" i="4" s="1"/>
  <c r="W55" i="1"/>
  <c r="H68" i="4" s="1"/>
  <c r="Y55" i="1"/>
  <c r="Z55" i="1"/>
  <c r="AA55" i="1"/>
  <c r="I64" i="4" l="1"/>
  <c r="J64" i="4" s="1"/>
  <c r="I56" i="4"/>
  <c r="J56" i="4" s="1"/>
  <c r="I68" i="4"/>
  <c r="J68" i="4" s="1"/>
  <c r="I66" i="4"/>
  <c r="J66" i="4" s="1"/>
  <c r="I63" i="4"/>
  <c r="J63" i="4" s="1"/>
  <c r="I62" i="4"/>
  <c r="J62" i="4" s="1"/>
  <c r="I60" i="4"/>
  <c r="J60" i="4" s="1"/>
  <c r="I54" i="4"/>
  <c r="J54" i="4" s="1"/>
  <c r="I52" i="4"/>
  <c r="J52" i="4" s="1"/>
  <c r="D59" i="4"/>
  <c r="I59" i="4" s="1"/>
  <c r="J59" i="4" s="1"/>
  <c r="I65" i="4"/>
  <c r="J65" i="4" s="1"/>
  <c r="D67" i="4"/>
  <c r="I67" i="4" s="1"/>
  <c r="J67" i="4" s="1"/>
  <c r="I61" i="4"/>
  <c r="J61" i="4" s="1"/>
  <c r="I57" i="4"/>
  <c r="J57" i="4" s="1"/>
  <c r="I55" i="4"/>
  <c r="J55" i="4" s="1"/>
  <c r="I53" i="4"/>
  <c r="J53" i="4" s="1"/>
  <c r="I58" i="4"/>
  <c r="J58" i="4" s="1"/>
  <c r="X55" i="1"/>
  <c r="AD11" i="1" l="1"/>
  <c r="AC11" i="1"/>
  <c r="AB11" i="1"/>
  <c r="D74" i="1"/>
  <c r="F59" i="1"/>
  <c r="F58" i="1"/>
  <c r="F57" i="1"/>
  <c r="D72" i="4"/>
  <c r="H4" i="4"/>
  <c r="H3" i="4"/>
  <c r="H5" i="4"/>
  <c r="C6" i="4"/>
  <c r="B5" i="4"/>
  <c r="B4" i="4"/>
  <c r="B3" i="4"/>
  <c r="D73" i="1" l="1"/>
  <c r="V73" i="1"/>
  <c r="B27" i="4" l="1"/>
  <c r="B28" i="4"/>
  <c r="B29" i="4"/>
  <c r="B30" i="4"/>
  <c r="A27" i="4"/>
  <c r="A28" i="4"/>
  <c r="A29" i="4"/>
  <c r="A30" i="4"/>
  <c r="B26" i="4"/>
  <c r="A26" i="4"/>
  <c r="Y13" i="1"/>
  <c r="Y14" i="1" l="1"/>
  <c r="Z14" i="1"/>
  <c r="AA14" i="1"/>
  <c r="Y15" i="1"/>
  <c r="Z15" i="1"/>
  <c r="AA15" i="1"/>
  <c r="Y16" i="1"/>
  <c r="Z16" i="1"/>
  <c r="AA16" i="1"/>
  <c r="Y17" i="1"/>
  <c r="Z17" i="1"/>
  <c r="AA17" i="1"/>
  <c r="Y18" i="1"/>
  <c r="Z18" i="1"/>
  <c r="AA18" i="1"/>
  <c r="Y19" i="1"/>
  <c r="Z19" i="1"/>
  <c r="AA19" i="1"/>
  <c r="Y20" i="1"/>
  <c r="Z20" i="1"/>
  <c r="AA20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AA13" i="1"/>
  <c r="Z13" i="1"/>
  <c r="O2" i="5" a="1"/>
  <c r="O2" i="5" s="1"/>
  <c r="O3" i="5" a="1"/>
  <c r="O3" i="5" s="1"/>
  <c r="O4" i="5" a="1"/>
  <c r="O4" i="5" s="1"/>
  <c r="O5" i="5" a="1"/>
  <c r="O5" i="5" s="1"/>
  <c r="O6" i="5" a="1"/>
  <c r="O6" i="5" s="1"/>
  <c r="O7" i="5" a="1"/>
  <c r="O7" i="5" s="1"/>
  <c r="O8" i="5" a="1"/>
  <c r="O8" i="5" s="1"/>
  <c r="O9" i="5" a="1"/>
  <c r="O9" i="5" s="1"/>
  <c r="O10" i="5" a="1"/>
  <c r="O10" i="5" s="1"/>
  <c r="O1" i="5" a="1"/>
  <c r="O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" i="5" a="1"/>
  <c r="B1" i="5" s="1"/>
  <c r="X2" i="5" l="1"/>
  <c r="X3" i="5"/>
  <c r="X4" i="5"/>
  <c r="X5" i="5"/>
  <c r="X6" i="5"/>
  <c r="X7" i="5"/>
  <c r="X8" i="5"/>
  <c r="X9" i="5"/>
  <c r="X10" i="5"/>
  <c r="X1" i="5"/>
  <c r="W10" i="1"/>
  <c r="T10" i="1"/>
  <c r="O10" i="1"/>
  <c r="L10" i="1"/>
  <c r="G10" i="1"/>
  <c r="W13" i="1"/>
  <c r="H26" i="4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T13" i="1"/>
  <c r="G26" i="4" s="1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O13" i="1"/>
  <c r="F26" i="4" s="1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L13" i="1"/>
  <c r="E26" i="4" s="1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P8" i="1" l="1" a="1"/>
  <c r="P8" i="1" s="1"/>
  <c r="X10" i="1"/>
  <c r="K2" i="5"/>
  <c r="K3" i="5"/>
  <c r="K4" i="5"/>
  <c r="K5" i="5"/>
  <c r="K6" i="5"/>
  <c r="K7" i="5"/>
  <c r="K8" i="5"/>
  <c r="K9" i="5"/>
  <c r="K10" i="5"/>
  <c r="K1" i="5"/>
  <c r="Z8" i="1" l="1"/>
  <c r="AC12" i="1" a="1"/>
  <c r="AC12" i="1" s="1"/>
  <c r="Z12" i="1" a="1"/>
  <c r="Z12" i="1" s="1"/>
  <c r="AD12" i="1" a="1"/>
  <c r="AD12" i="1" s="1"/>
  <c r="Y12" i="1" a="1"/>
  <c r="Y12" i="1" s="1"/>
  <c r="AB12" i="1" a="1"/>
  <c r="AB12" i="1" s="1"/>
  <c r="AA12" i="1" a="1"/>
  <c r="AA12" i="1" s="1"/>
  <c r="E8" i="1" a="1"/>
  <c r="E8" i="1" s="1"/>
  <c r="O8" i="1" s="1"/>
  <c r="A72" i="4"/>
  <c r="I24" i="4"/>
  <c r="AD42" i="1" l="1"/>
  <c r="AD53" i="1"/>
  <c r="AD49" i="1"/>
  <c r="AD45" i="1"/>
  <c r="AD39" i="1"/>
  <c r="AD52" i="1"/>
  <c r="AD48" i="1"/>
  <c r="AD44" i="1"/>
  <c r="AD55" i="1"/>
  <c r="AD51" i="1"/>
  <c r="AD47" i="1"/>
  <c r="AD43" i="1"/>
  <c r="AD41" i="1"/>
  <c r="AD54" i="1"/>
  <c r="AD50" i="1"/>
  <c r="AD46" i="1"/>
  <c r="AD40" i="1"/>
  <c r="AC13" i="1"/>
  <c r="AC52" i="1"/>
  <c r="AC48" i="1"/>
  <c r="AC44" i="1"/>
  <c r="AC40" i="1"/>
  <c r="AC55" i="1"/>
  <c r="AC51" i="1"/>
  <c r="AC47" i="1"/>
  <c r="AC43" i="1"/>
  <c r="AC39" i="1"/>
  <c r="AC41" i="1"/>
  <c r="AC54" i="1"/>
  <c r="AC50" i="1"/>
  <c r="AC46" i="1"/>
  <c r="AC42" i="1"/>
  <c r="AC53" i="1"/>
  <c r="AC49" i="1"/>
  <c r="AC45" i="1"/>
  <c r="AB13" i="1"/>
  <c r="AB40" i="1"/>
  <c r="AB52" i="1"/>
  <c r="AB48" i="1"/>
  <c r="AB44" i="1"/>
  <c r="AB49" i="1"/>
  <c r="AB39" i="1"/>
  <c r="AB55" i="1"/>
  <c r="AB51" i="1"/>
  <c r="AB47" i="1"/>
  <c r="AB43" i="1"/>
  <c r="AB42" i="1"/>
  <c r="AB54" i="1"/>
  <c r="AB50" i="1"/>
  <c r="AB46" i="1"/>
  <c r="AB41" i="1"/>
  <c r="AB53" i="1"/>
  <c r="AB45" i="1"/>
  <c r="AD16" i="1"/>
  <c r="AD25" i="1"/>
  <c r="AD36" i="1"/>
  <c r="AD28" i="1"/>
  <c r="AD20" i="1"/>
  <c r="AD37" i="1"/>
  <c r="AD24" i="1"/>
  <c r="AD33" i="1"/>
  <c r="AD38" i="1"/>
  <c r="AD27" i="1"/>
  <c r="AD21" i="1"/>
  <c r="AD34" i="1"/>
  <c r="AD26" i="1"/>
  <c r="AD18" i="1"/>
  <c r="AD31" i="1"/>
  <c r="AD23" i="1"/>
  <c r="AD15" i="1"/>
  <c r="AD13" i="1"/>
  <c r="AD32" i="1"/>
  <c r="AD29" i="1"/>
  <c r="AD17" i="1"/>
  <c r="AD30" i="1"/>
  <c r="AD22" i="1"/>
  <c r="AD14" i="1"/>
  <c r="AD35" i="1"/>
  <c r="AD19" i="1"/>
  <c r="AC28" i="1"/>
  <c r="AC16" i="1"/>
  <c r="AC37" i="1"/>
  <c r="AC29" i="1"/>
  <c r="AC21" i="1"/>
  <c r="AC34" i="1"/>
  <c r="AC26" i="1"/>
  <c r="AC18" i="1"/>
  <c r="AC20" i="1"/>
  <c r="AC25" i="1"/>
  <c r="AC22" i="1"/>
  <c r="AC31" i="1"/>
  <c r="AC36" i="1"/>
  <c r="AC24" i="1"/>
  <c r="AC35" i="1"/>
  <c r="AC27" i="1"/>
  <c r="AC19" i="1"/>
  <c r="AC32" i="1"/>
  <c r="AC33" i="1"/>
  <c r="AC17" i="1"/>
  <c r="AC38" i="1"/>
  <c r="AC30" i="1"/>
  <c r="AC14" i="1"/>
  <c r="AC15" i="1"/>
  <c r="AC23" i="1"/>
  <c r="D48" i="4"/>
  <c r="I48" i="4" s="1"/>
  <c r="J48" i="4" s="1"/>
  <c r="D45" i="4"/>
  <c r="I45" i="4" s="1"/>
  <c r="J45" i="4" s="1"/>
  <c r="D38" i="4"/>
  <c r="I38" i="4" s="1"/>
  <c r="J38" i="4" s="1"/>
  <c r="D35" i="4"/>
  <c r="I35" i="4" s="1"/>
  <c r="J35" i="4" s="1"/>
  <c r="D32" i="4"/>
  <c r="I32" i="4" s="1"/>
  <c r="J32" i="4" s="1"/>
  <c r="D50" i="4"/>
  <c r="I50" i="4" s="1"/>
  <c r="J50" i="4" s="1"/>
  <c r="D43" i="4"/>
  <c r="I43" i="4" s="1"/>
  <c r="J43" i="4" s="1"/>
  <c r="D40" i="4"/>
  <c r="I40" i="4" s="1"/>
  <c r="J40" i="4" s="1"/>
  <c r="D37" i="4"/>
  <c r="I37" i="4" s="1"/>
  <c r="J37" i="4" s="1"/>
  <c r="D33" i="4"/>
  <c r="I33" i="4" s="1"/>
  <c r="J33" i="4" s="1"/>
  <c r="D51" i="4"/>
  <c r="I51" i="4" s="1"/>
  <c r="J51" i="4" s="1"/>
  <c r="D47" i="4"/>
  <c r="I47" i="4" s="1"/>
  <c r="J47" i="4" s="1"/>
  <c r="D44" i="4"/>
  <c r="I44" i="4" s="1"/>
  <c r="J44" i="4" s="1"/>
  <c r="D41" i="4"/>
  <c r="I41" i="4" s="1"/>
  <c r="J41" i="4" s="1"/>
  <c r="D34" i="4"/>
  <c r="I34" i="4" s="1"/>
  <c r="J34" i="4" s="1"/>
  <c r="D31" i="4"/>
  <c r="I31" i="4" s="1"/>
  <c r="J31" i="4" s="1"/>
  <c r="G13" i="1"/>
  <c r="D49" i="4"/>
  <c r="I49" i="4" s="1"/>
  <c r="J49" i="4" s="1"/>
  <c r="D46" i="4"/>
  <c r="I46" i="4" s="1"/>
  <c r="J46" i="4" s="1"/>
  <c r="D42" i="4"/>
  <c r="I42" i="4" s="1"/>
  <c r="J42" i="4" s="1"/>
  <c r="D39" i="4"/>
  <c r="I39" i="4" s="1"/>
  <c r="J39" i="4" s="1"/>
  <c r="D36" i="4"/>
  <c r="I36" i="4" s="1"/>
  <c r="J36" i="4" s="1"/>
  <c r="AB28" i="1" l="1"/>
  <c r="AB29" i="1"/>
  <c r="AB30" i="1"/>
  <c r="AB32" i="1"/>
  <c r="AB34" i="1"/>
  <c r="AB27" i="1"/>
  <c r="AB24" i="1"/>
  <c r="AB31" i="1"/>
  <c r="AB25" i="1"/>
  <c r="AB35" i="1"/>
  <c r="AB26" i="1"/>
  <c r="AB16" i="1"/>
  <c r="AB17" i="1"/>
  <c r="AB18" i="1"/>
  <c r="AB15" i="1"/>
  <c r="AB36" i="1"/>
  <c r="AB20" i="1"/>
  <c r="AB19" i="1"/>
  <c r="AB37" i="1"/>
  <c r="AB21" i="1"/>
  <c r="AB23" i="1"/>
  <c r="AB38" i="1"/>
  <c r="AB22" i="1"/>
  <c r="AB33" i="1"/>
  <c r="AB14" i="1"/>
  <c r="G58" i="1"/>
  <c r="G59" i="1"/>
  <c r="D29" i="4"/>
  <c r="I29" i="4" s="1"/>
  <c r="J29" i="4" s="1"/>
  <c r="D28" i="4"/>
  <c r="I28" i="4" s="1"/>
  <c r="J28" i="4" s="1"/>
  <c r="X13" i="1"/>
  <c r="D26" i="4"/>
  <c r="I26" i="4" s="1"/>
  <c r="J26" i="4" s="1"/>
  <c r="D30" i="4"/>
  <c r="I30" i="4" s="1"/>
  <c r="J30" i="4" s="1"/>
  <c r="D27" i="4"/>
  <c r="I27" i="4" s="1"/>
  <c r="J27" i="4" s="1"/>
  <c r="H58" i="1"/>
  <c r="H59" i="1"/>
  <c r="J10" i="4" l="1"/>
  <c r="G57" i="1"/>
  <c r="H57" i="1"/>
  <c r="J17" i="4"/>
  <c r="J20" i="4"/>
  <c r="J16" i="4"/>
  <c r="J13" i="4"/>
  <c r="J15" i="4"/>
  <c r="J11" i="4"/>
  <c r="J19" i="4"/>
  <c r="J18" i="4"/>
  <c r="J12" i="4"/>
  <c r="J14" i="4"/>
  <c r="J9" i="4"/>
  <c r="J21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<sst xmlns="http://schemas.openxmlformats.org/spreadsheetml/2006/main" count="268" uniqueCount="204">
  <si>
    <t xml:space="preserve">917-2017 </t>
  </si>
  <si>
    <t xml:space="preserve">918-2017 </t>
  </si>
  <si>
    <t xml:space="preserve">919-2017 </t>
  </si>
  <si>
    <t xml:space="preserve">921-2017 </t>
  </si>
  <si>
    <t xml:space="preserve">922-2017 </t>
  </si>
  <si>
    <t xml:space="preserve">923-2017 </t>
  </si>
  <si>
    <t xml:space="preserve">1144-2017 </t>
  </si>
  <si>
    <t xml:space="preserve">932-2017 </t>
  </si>
  <si>
    <t xml:space="preserve">1169-2017 </t>
  </si>
  <si>
    <t>1068-2017</t>
  </si>
  <si>
    <t xml:space="preserve"> 933-2017 </t>
  </si>
  <si>
    <t xml:space="preserve">934-2017 </t>
  </si>
  <si>
    <t xml:space="preserve">938-2017 </t>
  </si>
  <si>
    <t xml:space="preserve">1584-2017 </t>
  </si>
  <si>
    <t xml:space="preserve">1159-2017 </t>
  </si>
  <si>
    <t xml:space="preserve">939-2017 </t>
  </si>
  <si>
    <t xml:space="preserve"> 941-2017</t>
  </si>
  <si>
    <t xml:space="preserve"> 1156-2017</t>
  </si>
  <si>
    <t xml:space="preserve"> 946-2017 </t>
  </si>
  <si>
    <t>1067-2017</t>
  </si>
  <si>
    <t xml:space="preserve"> 950-2017 </t>
  </si>
  <si>
    <t xml:space="preserve">953-2017 </t>
  </si>
  <si>
    <t xml:space="preserve">954-2017 </t>
  </si>
  <si>
    <t xml:space="preserve">1603-2017 </t>
  </si>
  <si>
    <t xml:space="preserve">1272-2017 </t>
  </si>
  <si>
    <t xml:space="preserve">1225-2017 </t>
  </si>
  <si>
    <t xml:space="preserve">1186-2017 </t>
  </si>
  <si>
    <t xml:space="preserve">1222-2017 </t>
  </si>
  <si>
    <t xml:space="preserve">1198-2017 </t>
  </si>
  <si>
    <t xml:space="preserve">1426-2017 </t>
  </si>
  <si>
    <t xml:space="preserve">1294-2017 </t>
  </si>
  <si>
    <t xml:space="preserve">1609-2017 </t>
  </si>
  <si>
    <t xml:space="preserve">945-2017 </t>
  </si>
  <si>
    <t xml:space="preserve">1196-2017 </t>
  </si>
  <si>
    <t xml:space="preserve">947-2017 </t>
  </si>
  <si>
    <t xml:space="preserve">949-2017 </t>
  </si>
  <si>
    <t xml:space="preserve">1168-2017 </t>
  </si>
  <si>
    <t xml:space="preserve">1197-2017 </t>
  </si>
  <si>
    <t xml:space="preserve">1273-2017 </t>
  </si>
  <si>
    <t xml:space="preserve">1194-2017 </t>
  </si>
  <si>
    <t>1271-2017</t>
  </si>
  <si>
    <t>S#</t>
  </si>
  <si>
    <t>CMS ID</t>
  </si>
  <si>
    <t>Total</t>
  </si>
  <si>
    <t>PLO Achieved</t>
  </si>
  <si>
    <t>Mid</t>
  </si>
  <si>
    <t>Quiz1</t>
  </si>
  <si>
    <t>Final</t>
  </si>
  <si>
    <r>
      <t xml:space="preserve">OBE           </t>
    </r>
    <r>
      <rPr>
        <b/>
        <sz val="20"/>
        <color theme="0"/>
        <rFont val="Times New Roman"/>
        <family val="1"/>
      </rPr>
      <t>Assessment</t>
    </r>
  </si>
  <si>
    <t>No. of Std achieve PLO</t>
  </si>
  <si>
    <t>MNS - UNIVERSITY OF ENGINEERING AND TECHNOLOGY MULTAN</t>
  </si>
  <si>
    <t>Department of Computer Science</t>
  </si>
  <si>
    <t>Program:</t>
  </si>
  <si>
    <t>Semester:</t>
  </si>
  <si>
    <t>Session:</t>
  </si>
  <si>
    <t>Course:</t>
  </si>
  <si>
    <t>Instructor:</t>
  </si>
  <si>
    <t xml:space="preserve">Credit Hours:   </t>
  </si>
  <si>
    <t>Criterea</t>
  </si>
  <si>
    <t>Grade</t>
  </si>
  <si>
    <t>Students</t>
  </si>
  <si>
    <t>F</t>
  </si>
  <si>
    <t>D</t>
  </si>
  <si>
    <t>C-</t>
  </si>
  <si>
    <t>C</t>
  </si>
  <si>
    <t>C+</t>
  </si>
  <si>
    <t>B-</t>
  </si>
  <si>
    <t>B</t>
  </si>
  <si>
    <t>B+</t>
  </si>
  <si>
    <t>A-</t>
  </si>
  <si>
    <t>A</t>
  </si>
  <si>
    <t>A+</t>
  </si>
  <si>
    <t>Total Students:</t>
  </si>
  <si>
    <t xml:space="preserve">Registration No </t>
  </si>
  <si>
    <t>Name of Students</t>
  </si>
  <si>
    <t>Quiz 1</t>
  </si>
  <si>
    <t>Quiz 2</t>
  </si>
  <si>
    <t>C.P</t>
  </si>
  <si>
    <t>Weightage:</t>
  </si>
  <si>
    <t>Total Marks:</t>
  </si>
  <si>
    <t xml:space="preserve"> </t>
  </si>
  <si>
    <t>Teacher Incharge Signature</t>
  </si>
  <si>
    <t>Incharge Department Signature</t>
  </si>
  <si>
    <t>CLO1</t>
  </si>
  <si>
    <t>CLO2</t>
  </si>
  <si>
    <t>CLO3</t>
  </si>
  <si>
    <t>CLO4</t>
  </si>
  <si>
    <t>CLO5</t>
  </si>
  <si>
    <t>CLO6</t>
  </si>
  <si>
    <t>CLO7</t>
  </si>
  <si>
    <t>CLO8</t>
  </si>
  <si>
    <t>CLO9</t>
  </si>
  <si>
    <t>CLO10</t>
  </si>
  <si>
    <t>PLO1</t>
  </si>
  <si>
    <t>PLO2</t>
  </si>
  <si>
    <t>PLO3</t>
  </si>
  <si>
    <t>PLO4</t>
  </si>
  <si>
    <t>PLO5</t>
  </si>
  <si>
    <t>PLO6</t>
  </si>
  <si>
    <t>PLO7</t>
  </si>
  <si>
    <t>PLO8</t>
  </si>
  <si>
    <t>PLO9</t>
  </si>
  <si>
    <t>PLO10</t>
  </si>
  <si>
    <t>PLO Assessment</t>
  </si>
  <si>
    <t>3rd  Semester</t>
  </si>
  <si>
    <t>Fall 2024</t>
  </si>
  <si>
    <t>QuizII</t>
  </si>
  <si>
    <t>Assessment Tool ―→</t>
  </si>
  <si>
    <t>Target CLO</t>
  </si>
  <si>
    <t>Marks</t>
  </si>
  <si>
    <t>Target PLO</t>
  </si>
  <si>
    <t>BS Computer Science</t>
  </si>
  <si>
    <t>2023-CS-02</t>
  </si>
  <si>
    <t>Malaika khan</t>
  </si>
  <si>
    <t>2023-CS-04</t>
  </si>
  <si>
    <t>Muskan Rana</t>
  </si>
  <si>
    <t>2023-CS-06</t>
  </si>
  <si>
    <t>Fatima Batool</t>
  </si>
  <si>
    <t>2023-CS-08</t>
  </si>
  <si>
    <t>Noor Fatima Khaleeq</t>
  </si>
  <si>
    <t>2023-CS-10</t>
  </si>
  <si>
    <t>Manahil  Raees</t>
  </si>
  <si>
    <t>2023-CS-12</t>
  </si>
  <si>
    <t>Ghanwa Malik</t>
  </si>
  <si>
    <t>2023-CS-14</t>
  </si>
  <si>
    <t>Zarwa Imran</t>
  </si>
  <si>
    <t>2023-CS-16</t>
  </si>
  <si>
    <t>Saira Aziz</t>
  </si>
  <si>
    <t>2023-CS-18</t>
  </si>
  <si>
    <t>Zahra Aslam</t>
  </si>
  <si>
    <t>2023-CS-20</t>
  </si>
  <si>
    <t>Uswa  farooq</t>
  </si>
  <si>
    <t>2023-CS-22</t>
  </si>
  <si>
    <t>Rimsha Nazeer</t>
  </si>
  <si>
    <t>2023-CS-24</t>
  </si>
  <si>
    <t>Fareed Ahmed</t>
  </si>
  <si>
    <t>2023-CS-26</t>
  </si>
  <si>
    <t>Muhammad Adnan Nasir</t>
  </si>
  <si>
    <t>2023-CS-28</t>
  </si>
  <si>
    <t>Ahmed raza</t>
  </si>
  <si>
    <t>2023-CS-30</t>
  </si>
  <si>
    <t>Muhammad Rashid</t>
  </si>
  <si>
    <t>2023-CS-32</t>
  </si>
  <si>
    <t>Muhammad Zubair</t>
  </si>
  <si>
    <t>2023-CS-34</t>
  </si>
  <si>
    <t>Muhammad Waqas Inam</t>
  </si>
  <si>
    <t>2023-CS-36</t>
  </si>
  <si>
    <t>Muhammad Nouman Yousaf</t>
  </si>
  <si>
    <t>2023-CS-38</t>
  </si>
  <si>
    <t>Muhammad Fahad Khalid</t>
  </si>
  <si>
    <t>2023-CS-40</t>
  </si>
  <si>
    <t>Muhammad Umair</t>
  </si>
  <si>
    <t>2023-CS-42</t>
  </si>
  <si>
    <t>Muhammad Anas</t>
  </si>
  <si>
    <t>2023-CS-44</t>
  </si>
  <si>
    <t>Shoaib Ahmed</t>
  </si>
  <si>
    <t>2023-CS-46</t>
  </si>
  <si>
    <t>Muhammad Ali Huzaifa</t>
  </si>
  <si>
    <t>2023-CS-48</t>
  </si>
  <si>
    <t>Muhammad Samad Amir</t>
  </si>
  <si>
    <t>2023-CS-50</t>
  </si>
  <si>
    <t>Muhammad Kamran Iqbal</t>
  </si>
  <si>
    <t>2023-CS-52</t>
  </si>
  <si>
    <t>Mirza Muhammad Umar</t>
  </si>
  <si>
    <t>2023-CS-54</t>
  </si>
  <si>
    <t>Muhammad Usman</t>
  </si>
  <si>
    <t>2023-CS-56</t>
  </si>
  <si>
    <t>Muhammad Arshad</t>
  </si>
  <si>
    <t>2023-CS-58</t>
  </si>
  <si>
    <t>Afaq Ahmed</t>
  </si>
  <si>
    <t>2023-CS-60</t>
  </si>
  <si>
    <t>Muhammad Abdullah</t>
  </si>
  <si>
    <t>2023-CS-64</t>
  </si>
  <si>
    <t>Muhammad Shahzaib Saeed</t>
  </si>
  <si>
    <t>2023-CS-66</t>
  </si>
  <si>
    <t>Abdus Saboor Khan</t>
  </si>
  <si>
    <t>2023-CS-68</t>
  </si>
  <si>
    <t>Mavedat Ali</t>
  </si>
  <si>
    <t>2023-CS-70</t>
  </si>
  <si>
    <t>Ali Ibrahim</t>
  </si>
  <si>
    <t>2023-CS-72</t>
  </si>
  <si>
    <t>Muntazer Mehdi</t>
  </si>
  <si>
    <t>2023-CS-74</t>
  </si>
  <si>
    <t>Owais Tariq</t>
  </si>
  <si>
    <t>2023-CS-75</t>
  </si>
  <si>
    <t>Taha</t>
  </si>
  <si>
    <t>2023-CS-76</t>
  </si>
  <si>
    <t>Muhammad Adeel</t>
  </si>
  <si>
    <t>2023-CS-78</t>
  </si>
  <si>
    <t>Momina Amjad</t>
  </si>
  <si>
    <t>2023-CS-80</t>
  </si>
  <si>
    <t>Ahmed</t>
  </si>
  <si>
    <t>2023-CS-132</t>
  </si>
  <si>
    <t>Muhammad Hassan</t>
  </si>
  <si>
    <t>2023-CS-148</t>
  </si>
  <si>
    <t>Muhammad Ali Bahadur</t>
  </si>
  <si>
    <t>2023-CS-160</t>
  </si>
  <si>
    <t>Muhammad Hanzla</t>
  </si>
  <si>
    <t>Fall 2023 Section-B (Morning)</t>
  </si>
  <si>
    <t>Mr. Abdul Basit</t>
  </si>
  <si>
    <t>Title (Code): Software Engineering (CS-234)</t>
  </si>
  <si>
    <t>3 Theory</t>
  </si>
  <si>
    <t>(Engr. Dr. Muhammad Shahzad)</t>
  </si>
  <si>
    <t>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</si>
</sst>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36"/>
      <color theme="0"/>
      <name val="Times New Roman"/>
      <family val="1"/>
    </font>
    <font>
      <b/>
      <sz val="20"/>
      <color theme="0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9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13" fillId="6" borderId="9" xfId="0" applyFont="1" applyFill="1" applyBorder="1" applyAlignment="1">
      <alignment horizontal="center" vertical="center"/>
    </xf>
    <xf numFmtId="0" fontId="13" fillId="6" borderId="9" xfId="0" applyFont="1" applyFill="1" applyBorder="1"/>
    <xf numFmtId="0" fontId="14" fillId="2" borderId="9" xfId="0" applyFont="1" applyFill="1" applyBorder="1"/>
    <xf numFmtId="0" fontId="1" fillId="0" borderId="9" xfId="0" applyFont="1" applyBorder="1" applyAlignment="1">
      <alignment horizontal="center" vertical="center"/>
    </xf>
    <xf numFmtId="0" fontId="15" fillId="0" borderId="0" xfId="0" applyFont="1"/>
    <xf numFmtId="164" fontId="16" fillId="0" borderId="9" xfId="0" applyNumberFormat="1" applyFont="1" applyBorder="1" applyAlignment="1">
      <alignment horizontal="center" vertical="center" wrapText="1"/>
    </xf>
    <xf numFmtId="165" fontId="17" fillId="0" borderId="9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 wrapText="1"/>
    </xf>
    <xf numFmtId="165" fontId="13" fillId="0" borderId="9" xfId="0" applyNumberFormat="1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wrapText="1"/>
    </xf>
    <xf numFmtId="0" fontId="1" fillId="2" borderId="9" xfId="0" applyFont="1" applyFill="1" applyBorder="1" applyAlignment="1">
      <alignment horizontal="left" wrapText="1"/>
    </xf>
    <xf numFmtId="0" fontId="1" fillId="0" borderId="26" xfId="0" applyFont="1" applyBorder="1" applyAlignment="1">
      <alignment horizontal="left"/>
    </xf>
    <xf numFmtId="0" fontId="1" fillId="2" borderId="24" xfId="0" applyFont="1" applyFill="1" applyBorder="1" applyAlignment="1">
      <alignment horizontal="left" wrapText="1"/>
    </xf>
    <xf numFmtId="0" fontId="18" fillId="7" borderId="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1" fontId="0" fillId="0" borderId="25" xfId="0" applyNumberForma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/>
    </xf>
    <xf numFmtId="1" fontId="8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32" xfId="0" applyFont="1" applyBorder="1" applyAlignment="1">
      <alignment horizontal="left" vertical="center"/>
    </xf>
    <xf numFmtId="0" fontId="0" fillId="0" borderId="9" xfId="0" applyBorder="1"/>
    <xf numFmtId="0" fontId="8" fillId="3" borderId="17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1" fontId="10" fillId="8" borderId="9" xfId="0" applyNumberFormat="1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right" vertical="center"/>
    </xf>
    <xf numFmtId="0" fontId="10" fillId="9" borderId="9" xfId="0" applyFont="1" applyFill="1" applyBorder="1" applyAlignment="1">
      <alignment horizontal="center" vertical="center"/>
    </xf>
    <xf numFmtId="1" fontId="10" fillId="9" borderId="9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/>
    </xf>
    <xf numFmtId="1" fontId="10" fillId="11" borderId="9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vertical="center" wrapText="1"/>
    </xf>
    <xf numFmtId="1" fontId="9" fillId="9" borderId="9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vertical="center"/>
    </xf>
    <xf numFmtId="0" fontId="9" fillId="9" borderId="9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left" wrapText="1"/>
    </xf>
    <xf numFmtId="0" fontId="2" fillId="12" borderId="9" xfId="0" applyFont="1" applyFill="1" applyBorder="1" applyAlignment="1">
      <alignment horizontal="center"/>
    </xf>
    <xf numFmtId="1" fontId="10" fillId="12" borderId="9" xfId="0" applyNumberFormat="1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/>
    </xf>
    <xf numFmtId="0" fontId="12" fillId="12" borderId="25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1" fontId="9" fillId="12" borderId="9" xfId="0" applyNumberFormat="1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" fillId="12" borderId="0" xfId="0" applyFont="1" applyFill="1"/>
    <xf numFmtId="0" fontId="18" fillId="12" borderId="9" xfId="0" applyFont="1" applyFill="1" applyBorder="1" applyAlignment="1">
      <alignment horizontal="left" vertical="center" wrapText="1"/>
    </xf>
    <xf numFmtId="0" fontId="1" fillId="12" borderId="9" xfId="0" applyFont="1" applyFill="1" applyBorder="1" applyAlignment="1">
      <alignment wrapText="1"/>
    </xf>
    <xf numFmtId="0" fontId="1" fillId="12" borderId="24" xfId="0" applyFont="1" applyFill="1" applyBorder="1" applyAlignment="1">
      <alignment horizontal="left" wrapText="1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24" xfId="0" applyFont="1" applyFill="1" applyBorder="1" applyAlignment="1">
      <alignment horizontal="left" wrapText="1"/>
    </xf>
    <xf numFmtId="1" fontId="9" fillId="13" borderId="9" xfId="0" applyNumberFormat="1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2" fillId="13" borderId="0" xfId="0" applyFont="1" applyFill="1"/>
    <xf numFmtId="0" fontId="13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" fontId="10" fillId="11" borderId="24" xfId="0" applyNumberFormat="1" applyFont="1" applyFill="1" applyBorder="1" applyAlignment="1">
      <alignment horizontal="center" vertical="center" wrapText="1"/>
    </xf>
    <xf numFmtId="1" fontId="10" fillId="11" borderId="25" xfId="0" applyNumberFormat="1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9" borderId="16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41" xfId="0" applyFont="1" applyFill="1" applyBorder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right" vertical="center"/>
    </xf>
    <xf numFmtId="0" fontId="21" fillId="9" borderId="9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1" fontId="10" fillId="10" borderId="16" xfId="0" applyNumberFormat="1" applyFont="1" applyFill="1" applyBorder="1" applyAlignment="1">
      <alignment horizontal="center" vertical="center" wrapText="1"/>
    </xf>
    <xf numFmtId="1" fontId="10" fillId="10" borderId="15" xfId="0" applyNumberFormat="1" applyFont="1" applyFill="1" applyBorder="1" applyAlignment="1">
      <alignment horizontal="center" vertical="center" wrapText="1"/>
    </xf>
    <xf numFmtId="1" fontId="10" fillId="10" borderId="26" xfId="0" applyNumberFormat="1" applyFont="1" applyFill="1" applyBorder="1" applyAlignment="1">
      <alignment horizontal="center" vertical="center" wrapText="1"/>
    </xf>
    <xf numFmtId="1" fontId="10" fillId="11" borderId="42" xfId="0" applyNumberFormat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16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13" fillId="0" borderId="26" xfId="0" applyFont="1" applyBorder="1" applyAlignment="1">
      <alignment horizontal="right" vertical="center"/>
    </xf>
    <xf numFmtId="0" fontId="13" fillId="0" borderId="19" xfId="0" applyFont="1" applyBorder="1" applyAlignment="1">
      <alignment horizontal="right" vertical="center"/>
    </xf>
    <xf numFmtId="0" fontId="13" fillId="0" borderId="23" xfId="0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Achieved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'OBE Sheet'!$F$57:$F$59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'OBE Sheet'!$G$57:$G$59</c:f>
              <c:numCache>
                <c:formatCode>General</c:formatCode>
                <c:ptCount val="3"/>
                <c:pt idx="0">
                  <c:v>0</c:v>
                </c:pt>
                <c:pt idx="1">
                  <c:v>33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6-4608-B71F-0744B436507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'OBE Sheet'!$F$57:$F$59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'OBE Sheet'!$H$57:$H$59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C-43A9-8B5D-EB88BA49A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6380296"/>
        <c:axId val="466384608"/>
      </c:barChart>
      <c:catAx>
        <c:axId val="4663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4608"/>
        <c:crosses val="autoZero"/>
        <c:auto val="1"/>
        <c:lblAlgn val="ctr"/>
        <c:lblOffset val="100"/>
        <c:noMultiLvlLbl val="0"/>
      </c:catAx>
      <c:valAx>
        <c:axId val="4663846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26195623217646"/>
          <c:y val="8.4861763821024352E-2"/>
          <c:w val="0.8020953703582393"/>
          <c:h val="0.7116952475802185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'Result Sheet'!$H$9:$I$20</c:f>
              <c:multiLvlStrCache>
                <c:ptCount val="12"/>
                <c:lvl>
                  <c:pt idx="0">
                    <c:v>F</c:v>
                  </c:pt>
                  <c:pt idx="1">
                    <c:v>D</c:v>
                  </c:pt>
                  <c:pt idx="2">
                    <c:v>D+</c:v>
                  </c:pt>
                  <c:pt idx="3">
                    <c:v>C-</c:v>
                  </c:pt>
                  <c:pt idx="4">
                    <c:v>C</c:v>
                  </c:pt>
                  <c:pt idx="5">
                    <c:v>C+</c:v>
                  </c:pt>
                  <c:pt idx="6">
                    <c:v>B-</c:v>
                  </c:pt>
                  <c:pt idx="7">
                    <c:v>B</c:v>
                  </c:pt>
                  <c:pt idx="8">
                    <c:v>B+</c:v>
                  </c:pt>
                  <c:pt idx="9">
                    <c:v>A-</c:v>
                  </c:pt>
                  <c:pt idx="10">
                    <c:v>A</c:v>
                  </c:pt>
                  <c:pt idx="11">
                    <c:v>A+</c:v>
                  </c:pt>
                </c:lvl>
                <c:lvl>
                  <c:pt idx="0">
                    <c:v>0</c:v>
                  </c:pt>
                  <c:pt idx="1">
                    <c:v>33</c:v>
                  </c:pt>
                  <c:pt idx="2">
                    <c:v>34</c:v>
                  </c:pt>
                  <c:pt idx="3">
                    <c:v>36</c:v>
                  </c:pt>
                  <c:pt idx="4">
                    <c:v>38</c:v>
                  </c:pt>
                  <c:pt idx="5">
                    <c:v>40</c:v>
                  </c:pt>
                  <c:pt idx="6">
                    <c:v>45</c:v>
                  </c:pt>
                  <c:pt idx="7">
                    <c:v>50</c:v>
                  </c:pt>
                  <c:pt idx="8">
                    <c:v>60</c:v>
                  </c:pt>
                  <c:pt idx="9">
                    <c:v>70</c:v>
                  </c:pt>
                  <c:pt idx="10">
                    <c:v>78</c:v>
                  </c:pt>
                  <c:pt idx="11">
                    <c:v>85</c:v>
                  </c:pt>
                </c:lvl>
              </c:multiLvlStrCache>
            </c:multiLvlStrRef>
          </c:cat>
          <c:val>
            <c:numRef>
              <c:f>'Result Sheet'!$J$9:$J$20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9</c:v>
                </c:pt>
                <c:pt idx="8">
                  <c:v>13</c:v>
                </c:pt>
                <c:pt idx="9">
                  <c:v>10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64E-8247-21AAE658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462016"/>
        <c:axId val="63467904"/>
      </c:barChart>
      <c:catAx>
        <c:axId val="63462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3467904"/>
        <c:crosses val="autoZero"/>
        <c:auto val="1"/>
        <c:lblAlgn val="ctr"/>
        <c:lblOffset val="100"/>
        <c:noMultiLvlLbl val="0"/>
      </c:catAx>
      <c:valAx>
        <c:axId val="6346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346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70723547616245"/>
          <c:y val="0.53690718028276008"/>
          <c:w val="0.19282216772083818"/>
          <c:h val="8.963030178848513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1827177</xdr:colOff>
      <xdr:row>60</xdr:row>
      <xdr:rowOff>9565</xdr:rowOff>
    </xdr:from>
    <xdr:to>
      <xdr:col>21</xdr:col>
      <xdr:colOff>353599</xdr:colOff>
      <xdr:row>69</xdr:row>
      <xdr:rowOff>123863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9525</xdr:rowOff>
    </xdr:from>
    <xdr:to>
      <xdr:col>6</xdr:col>
      <xdr:colOff>571500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5A7D1-E237-4754-8048-1F376C1EB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8"/>
  <sheetViews>
    <sheetView tabSelected="1" topLeftCell="C1" zoomScale="70" zoomScaleNormal="70" workbookViewId="0">
      <selection activeCell="M21" sqref="M21"/>
    </sheetView>
  </sheetViews>
  <sheetFormatPr defaultColWidth="8.7109375" defaultRowHeight="15" x14ac:dyDescent="0.25"/>
  <cols>
    <col min="1" max="1" width="6" style="6" hidden="1" customWidth="1"/>
    <col min="2" max="2" width="10.42578125" style="6" hidden="1" customWidth="1"/>
    <col min="3" max="3" width="14.85546875" style="6" bestFit="1" customWidth="1"/>
    <col min="4" max="4" width="27.5703125" style="6" bestFit="1" customWidth="1"/>
    <col min="5" max="30" width="7.7109375" style="6" customWidth="1"/>
    <col min="31" max="43" width="10.140625" style="6" bestFit="1" customWidth="1"/>
    <col min="44" max="16384" width="8.7109375" style="6"/>
  </cols>
  <sheetData>
    <row r="1" spans="1:33" ht="13.9" x14ac:dyDescent="0.25">
      <c r="C1" s="110" t="s">
        <v>50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3" ht="13.9" x14ac:dyDescent="0.25">
      <c r="C2" s="112" t="s">
        <v>51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1:33" x14ac:dyDescent="0.25">
      <c r="C3" s="23" t="s">
        <v>52</v>
      </c>
      <c r="D3" s="105" t="s">
        <v>111</v>
      </c>
      <c r="E3" s="153"/>
      <c r="F3" s="153"/>
      <c r="G3" s="154"/>
      <c r="H3" s="122" t="s">
        <v>53</v>
      </c>
      <c r="I3" s="123"/>
      <c r="J3" s="102" t="s">
        <v>104</v>
      </c>
      <c r="K3" s="103"/>
      <c r="L3" s="104"/>
    </row>
    <row r="4" spans="1:33" s="13" customFormat="1" ht="18.75" customHeight="1" x14ac:dyDescent="0.25">
      <c r="C4" s="23" t="s">
        <v>54</v>
      </c>
      <c r="D4" s="105" t="s">
        <v>198</v>
      </c>
      <c r="E4" s="106"/>
      <c r="F4" s="106"/>
      <c r="G4" s="107"/>
      <c r="H4" s="155"/>
      <c r="I4" s="156"/>
      <c r="J4" s="102" t="s">
        <v>105</v>
      </c>
      <c r="K4" s="103"/>
      <c r="L4" s="104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1:33" s="13" customFormat="1" ht="18.75" x14ac:dyDescent="0.25">
      <c r="C5" s="117" t="s">
        <v>55</v>
      </c>
      <c r="D5" s="119" t="s">
        <v>200</v>
      </c>
      <c r="E5" s="120"/>
      <c r="F5" s="120"/>
      <c r="G5" s="121"/>
      <c r="H5" s="122" t="s">
        <v>56</v>
      </c>
      <c r="I5" s="123"/>
      <c r="J5" s="126" t="s">
        <v>199</v>
      </c>
      <c r="K5" s="127"/>
      <c r="L5" s="128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</row>
    <row r="6" spans="1:33" s="13" customFormat="1" ht="21" thickBot="1" x14ac:dyDescent="0.3">
      <c r="C6" s="118"/>
      <c r="D6" s="65" t="s">
        <v>57</v>
      </c>
      <c r="E6" s="132" t="s">
        <v>201</v>
      </c>
      <c r="F6" s="133"/>
      <c r="G6" s="134"/>
      <c r="H6" s="124"/>
      <c r="I6" s="125"/>
      <c r="J6" s="129"/>
      <c r="K6" s="130"/>
      <c r="L6" s="131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</row>
    <row r="7" spans="1:33" ht="37.5" customHeight="1" thickTop="1" x14ac:dyDescent="0.25">
      <c r="A7" s="135" t="s">
        <v>48</v>
      </c>
      <c r="B7" s="136"/>
      <c r="C7" s="136"/>
      <c r="D7" s="136"/>
      <c r="E7" s="22" t="s">
        <v>83</v>
      </c>
      <c r="F7" s="22" t="s">
        <v>84</v>
      </c>
      <c r="G7" s="22" t="s">
        <v>85</v>
      </c>
      <c r="H7" s="22" t="s">
        <v>86</v>
      </c>
      <c r="I7" s="22" t="s">
        <v>87</v>
      </c>
      <c r="J7" s="22" t="s">
        <v>88</v>
      </c>
      <c r="K7" s="22" t="s">
        <v>89</v>
      </c>
      <c r="L7" s="22" t="s">
        <v>90</v>
      </c>
      <c r="M7" s="22" t="s">
        <v>91</v>
      </c>
      <c r="N7" s="22" t="s">
        <v>92</v>
      </c>
      <c r="O7" s="22" t="s">
        <v>43</v>
      </c>
      <c r="P7" s="54" t="s">
        <v>93</v>
      </c>
      <c r="Q7" s="54" t="s">
        <v>94</v>
      </c>
      <c r="R7" s="54" t="s">
        <v>95</v>
      </c>
      <c r="S7" s="54" t="s">
        <v>96</v>
      </c>
      <c r="T7" s="54" t="s">
        <v>97</v>
      </c>
      <c r="U7" s="54" t="s">
        <v>98</v>
      </c>
      <c r="V7" s="54" t="s">
        <v>99</v>
      </c>
      <c r="W7" s="54" t="s">
        <v>100</v>
      </c>
      <c r="X7" s="54" t="s">
        <v>101</v>
      </c>
      <c r="Y7" s="54" t="s">
        <v>102</v>
      </c>
      <c r="Z7" s="54" t="s">
        <v>43</v>
      </c>
      <c r="AA7" s="157"/>
      <c r="AB7" s="158"/>
      <c r="AC7" s="158"/>
      <c r="AD7" s="159"/>
    </row>
    <row r="8" spans="1:33" ht="37.5" customHeight="1" thickBot="1" x14ac:dyDescent="0.3">
      <c r="A8" s="137"/>
      <c r="B8" s="138"/>
      <c r="C8" s="138"/>
      <c r="D8" s="138"/>
      <c r="E8" s="22" cm="1">
        <f t="array" ref="E8:N8">TRANSPOSE(_xlfn._xlws.FILTER('CLO &amp; PLO'!K1:K10,'OBE Sheet'!E7='CLO &amp; PLO'!A1))</f>
        <v>27</v>
      </c>
      <c r="F8" s="22">
        <v>25</v>
      </c>
      <c r="G8" s="22">
        <v>23</v>
      </c>
      <c r="H8" s="22">
        <v>25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f>SUM(E8:N8)</f>
        <v>100</v>
      </c>
      <c r="P8" s="54" cm="1">
        <f t="array" ref="P8:Y8">TRANSPOSE( _xlfn._xlws.FILTER('CLO &amp; PLO'!X1:X10,'CLO &amp; PLO'!N1='OBE Sheet'!P7))</f>
        <v>0</v>
      </c>
      <c r="Q8" s="54">
        <v>75</v>
      </c>
      <c r="R8" s="54">
        <v>25</v>
      </c>
      <c r="S8" s="54">
        <v>0</v>
      </c>
      <c r="T8" s="54">
        <v>0</v>
      </c>
      <c r="U8" s="54">
        <v>0</v>
      </c>
      <c r="V8" s="54">
        <v>0</v>
      </c>
      <c r="W8" s="54">
        <v>0</v>
      </c>
      <c r="X8" s="54">
        <v>0</v>
      </c>
      <c r="Y8" s="67">
        <v>0</v>
      </c>
      <c r="Z8" s="54">
        <f>SUM(P8:X8)</f>
        <v>100</v>
      </c>
      <c r="AA8" s="160"/>
      <c r="AB8" s="161"/>
      <c r="AC8" s="161"/>
      <c r="AD8" s="162"/>
    </row>
    <row r="9" spans="1:33" ht="24.75" customHeight="1" thickBot="1" x14ac:dyDescent="0.3">
      <c r="A9" s="139" t="s">
        <v>41</v>
      </c>
      <c r="B9" s="140" t="s">
        <v>42</v>
      </c>
      <c r="C9" s="163" t="s">
        <v>107</v>
      </c>
      <c r="D9" s="163"/>
      <c r="E9" s="150" t="s">
        <v>46</v>
      </c>
      <c r="F9" s="151"/>
      <c r="G9" s="152"/>
      <c r="H9" s="170" t="s">
        <v>45</v>
      </c>
      <c r="I9" s="171"/>
      <c r="J9" s="171"/>
      <c r="K9" s="171"/>
      <c r="L9" s="172"/>
      <c r="M9" s="150" t="s">
        <v>106</v>
      </c>
      <c r="N9" s="151"/>
      <c r="O9" s="152"/>
      <c r="P9" s="150" t="s">
        <v>47</v>
      </c>
      <c r="Q9" s="151"/>
      <c r="R9" s="151"/>
      <c r="S9" s="151"/>
      <c r="T9" s="152"/>
      <c r="U9" s="167" t="s">
        <v>77</v>
      </c>
      <c r="V9" s="168"/>
      <c r="W9" s="169"/>
      <c r="X9" s="76" t="s">
        <v>43</v>
      </c>
      <c r="Y9" s="114" t="s">
        <v>103</v>
      </c>
      <c r="Z9" s="115"/>
      <c r="AA9" s="115"/>
      <c r="AB9" s="114" t="s">
        <v>44</v>
      </c>
      <c r="AC9" s="115"/>
      <c r="AD9" s="115"/>
    </row>
    <row r="10" spans="1:33" ht="24.75" customHeight="1" thickBot="1" x14ac:dyDescent="0.3">
      <c r="A10" s="139"/>
      <c r="B10" s="140"/>
      <c r="C10" s="164" t="s">
        <v>109</v>
      </c>
      <c r="D10" s="164"/>
      <c r="E10" s="68">
        <v>10</v>
      </c>
      <c r="F10" s="68"/>
      <c r="G10" s="76">
        <f>SUM(C10:F10)</f>
        <v>10</v>
      </c>
      <c r="H10" s="69">
        <v>7</v>
      </c>
      <c r="I10" s="69">
        <v>20</v>
      </c>
      <c r="J10" s="69">
        <v>3</v>
      </c>
      <c r="K10" s="69"/>
      <c r="L10" s="76">
        <f>SUM(H10:K10)</f>
        <v>30</v>
      </c>
      <c r="M10" s="68">
        <v>10</v>
      </c>
      <c r="N10" s="68"/>
      <c r="O10" s="76">
        <f>SUM(M10:N10)</f>
        <v>10</v>
      </c>
      <c r="P10" s="69">
        <v>10</v>
      </c>
      <c r="Q10" s="69">
        <v>20</v>
      </c>
      <c r="R10" s="69">
        <v>10</v>
      </c>
      <c r="S10" s="69"/>
      <c r="T10" s="76">
        <f>SUM(P10:S10)</f>
        <v>40</v>
      </c>
      <c r="U10" s="70">
        <v>5</v>
      </c>
      <c r="V10" s="70">
        <v>5</v>
      </c>
      <c r="W10" s="76">
        <f>SUM(U10:V10)</f>
        <v>10</v>
      </c>
      <c r="X10" s="108">
        <f>G10+L10+O10+T10+W10</f>
        <v>100</v>
      </c>
      <c r="Y10" s="77"/>
      <c r="Z10" s="77"/>
      <c r="AA10" s="77"/>
      <c r="AB10" s="77"/>
      <c r="AC10" s="77"/>
      <c r="AD10" s="77"/>
    </row>
    <row r="11" spans="1:33" ht="24.75" customHeight="1" thickBot="1" x14ac:dyDescent="0.3">
      <c r="A11" s="139"/>
      <c r="B11" s="140"/>
      <c r="C11" s="165" t="s">
        <v>108</v>
      </c>
      <c r="D11" s="165"/>
      <c r="E11" s="72" t="s">
        <v>83</v>
      </c>
      <c r="F11" s="72"/>
      <c r="G11" s="108" t="s">
        <v>43</v>
      </c>
      <c r="H11" s="73" t="s">
        <v>83</v>
      </c>
      <c r="I11" s="72" t="s">
        <v>84</v>
      </c>
      <c r="J11" s="73" t="s">
        <v>85</v>
      </c>
      <c r="K11" s="73"/>
      <c r="L11" s="108" t="s">
        <v>43</v>
      </c>
      <c r="M11" s="72" t="s">
        <v>86</v>
      </c>
      <c r="N11" s="72"/>
      <c r="O11" s="108" t="s">
        <v>43</v>
      </c>
      <c r="P11" s="73" t="s">
        <v>83</v>
      </c>
      <c r="Q11" s="73" t="s">
        <v>85</v>
      </c>
      <c r="R11" s="73" t="s">
        <v>86</v>
      </c>
      <c r="S11" s="73"/>
      <c r="T11" s="108" t="s">
        <v>43</v>
      </c>
      <c r="U11" s="74" t="s">
        <v>84</v>
      </c>
      <c r="V11" s="74" t="s">
        <v>86</v>
      </c>
      <c r="W11" s="108" t="s">
        <v>43</v>
      </c>
      <c r="X11" s="173"/>
      <c r="Y11" s="74" t="s">
        <v>93</v>
      </c>
      <c r="Z11" s="74" t="s">
        <v>94</v>
      </c>
      <c r="AA11" s="74" t="s">
        <v>95</v>
      </c>
      <c r="AB11" s="74" t="str">
        <f>Y11</f>
        <v>PLO1</v>
      </c>
      <c r="AC11" s="74" t="str">
        <f>Z11</f>
        <v>PLO2</v>
      </c>
      <c r="AD11" s="74" t="str">
        <f>AA11</f>
        <v>PLO3</v>
      </c>
    </row>
    <row r="12" spans="1:33" ht="24.75" customHeight="1" thickBot="1" x14ac:dyDescent="0.3">
      <c r="A12" s="139"/>
      <c r="B12" s="140"/>
      <c r="C12" s="75" t="s">
        <v>73</v>
      </c>
      <c r="D12" s="71" t="s">
        <v>110</v>
      </c>
      <c r="E12" s="72" t="s">
        <v>94</v>
      </c>
      <c r="F12" s="72"/>
      <c r="G12" s="109"/>
      <c r="H12" s="72" t="s">
        <v>94</v>
      </c>
      <c r="I12" s="72" t="s">
        <v>94</v>
      </c>
      <c r="J12" s="73" t="s">
        <v>94</v>
      </c>
      <c r="K12" s="73"/>
      <c r="L12" s="109"/>
      <c r="M12" s="72" t="s">
        <v>95</v>
      </c>
      <c r="N12" s="72"/>
      <c r="O12" s="109"/>
      <c r="P12" s="72" t="s">
        <v>94</v>
      </c>
      <c r="Q12" s="73" t="s">
        <v>94</v>
      </c>
      <c r="R12" s="73" t="s">
        <v>95</v>
      </c>
      <c r="S12" s="73"/>
      <c r="T12" s="109"/>
      <c r="U12" s="74" t="s">
        <v>94</v>
      </c>
      <c r="V12" s="74" t="s">
        <v>95</v>
      </c>
      <c r="W12" s="109"/>
      <c r="X12" s="109"/>
      <c r="Y12" s="74" cm="1">
        <f t="array" ref="Y12">IFERROR(_xlfn._xlws.FILTER(_xlfn.ANCHORARRAY(P8),Y11=$P$7:$Y$7),0)</f>
        <v>0</v>
      </c>
      <c r="Z12" s="74" cm="1">
        <f t="array" ref="Z12">IFERROR(_xlfn._xlws.FILTER(_xlfn.ANCHORARRAY(P8),Z11=$P$7:$Y$7),0)</f>
        <v>75</v>
      </c>
      <c r="AA12" s="74" cm="1">
        <f t="array" ref="AA12">IFERROR(_xlfn._xlws.FILTER(_xlfn.ANCHORARRAY(P8),AA11=$P$7:$Y$7),0)</f>
        <v>25</v>
      </c>
      <c r="AB12" s="74" cm="1">
        <f t="array" ref="AB12">IFERROR(_xlfn._xlws.FILTER(_xlfn.ANCHORARRAY(P8),AB11=$P$7:$Y$7),0)</f>
        <v>0</v>
      </c>
      <c r="AC12" s="74" cm="1">
        <f t="array" ref="AC12">IFERROR(_xlfn._xlws.FILTER(_xlfn.ANCHORARRAY(P8),AC11=$P$7:$Y$7),0)</f>
        <v>75</v>
      </c>
      <c r="AD12" s="74" cm="1">
        <f t="array" ref="AD12">IFERROR(_xlfn._xlws.FILTER(_xlfn.ANCHORARRAY(P8),AD11=$P$7:$Y$7),0)</f>
        <v>25</v>
      </c>
    </row>
    <row r="13" spans="1:33" ht="15.75" x14ac:dyDescent="0.25">
      <c r="A13" s="7">
        <v>1</v>
      </c>
      <c r="B13" s="8" t="s">
        <v>0</v>
      </c>
      <c r="C13" s="42" t="s">
        <v>112</v>
      </c>
      <c r="D13" s="42" t="s">
        <v>113</v>
      </c>
      <c r="E13" s="2">
        <v>9</v>
      </c>
      <c r="F13" s="2"/>
      <c r="G13" s="76">
        <f t="shared" ref="G13:G38" si="0">SUM(C13:F13)</f>
        <v>9</v>
      </c>
      <c r="H13" s="2">
        <v>3.5</v>
      </c>
      <c r="I13" s="2">
        <v>2</v>
      </c>
      <c r="J13" s="2">
        <v>2</v>
      </c>
      <c r="K13" s="2"/>
      <c r="L13" s="76">
        <f t="shared" ref="L13:L38" si="1">SUM(H13:K13)</f>
        <v>7.5</v>
      </c>
      <c r="M13" s="2">
        <v>4</v>
      </c>
      <c r="N13" s="2"/>
      <c r="O13" s="76">
        <f t="shared" ref="O13:O38" si="2">SUM(M13:N13)</f>
        <v>4</v>
      </c>
      <c r="P13" s="10">
        <v>8</v>
      </c>
      <c r="Q13" s="2">
        <v>5</v>
      </c>
      <c r="R13" s="2">
        <v>3</v>
      </c>
      <c r="S13" s="9"/>
      <c r="T13" s="76">
        <f t="shared" ref="T13:T38" si="3">SUM(P13:S13)</f>
        <v>16</v>
      </c>
      <c r="U13" s="2">
        <v>5</v>
      </c>
      <c r="V13" s="10">
        <v>5</v>
      </c>
      <c r="W13" s="76">
        <f t="shared" ref="W13:W38" si="4">SUM(U13:V13)</f>
        <v>10</v>
      </c>
      <c r="X13" s="76">
        <f t="shared" ref="X13:X38" si="5">SUM(G13+L13+O13+T13+W13)</f>
        <v>46.5</v>
      </c>
      <c r="Y13" s="78">
        <f t="shared" ref="Y13:Y38" si="6">SUMIF($E$12:$V$12,$Y$11,E13:V13)</f>
        <v>0</v>
      </c>
      <c r="Z13" s="78">
        <f t="shared" ref="Z13:Z38" si="7">SUMIF($E$12:$V$12,$Z$11,E13:V13)</f>
        <v>34.5</v>
      </c>
      <c r="AA13" s="78">
        <f t="shared" ref="AA13:AA38" si="8">SUMIF($E$12:$V$12,$AA$11,E13:V13)</f>
        <v>12</v>
      </c>
      <c r="AB13" s="78">
        <f>IFERROR(IF(Y13/$Y$12*100&gt;=50,"Y","N"),0)</f>
        <v>0</v>
      </c>
      <c r="AC13" s="78" t="str">
        <f>IFERROR(IF(Z13/$Z$12*100&gt;=50,"Y","N"),0)</f>
        <v>N</v>
      </c>
      <c r="AD13" s="78" t="str">
        <f>IFERROR(IF(AA13/$AA$12*100&gt;=50,"Y","N"),0)</f>
        <v>N</v>
      </c>
    </row>
    <row r="14" spans="1:33" ht="15.75" x14ac:dyDescent="0.25">
      <c r="A14" s="11">
        <v>2</v>
      </c>
      <c r="B14" s="12" t="s">
        <v>1</v>
      </c>
      <c r="C14" s="42" t="s">
        <v>114</v>
      </c>
      <c r="D14" s="42" t="s">
        <v>115</v>
      </c>
      <c r="E14" s="2">
        <v>8</v>
      </c>
      <c r="F14" s="2"/>
      <c r="G14" s="76">
        <f t="shared" si="0"/>
        <v>8</v>
      </c>
      <c r="H14" s="5">
        <v>3</v>
      </c>
      <c r="I14" s="5">
        <v>8</v>
      </c>
      <c r="J14" s="5">
        <v>2</v>
      </c>
      <c r="K14" s="5"/>
      <c r="L14" s="76">
        <f t="shared" si="1"/>
        <v>13</v>
      </c>
      <c r="M14" s="5">
        <v>7</v>
      </c>
      <c r="N14" s="5"/>
      <c r="O14" s="76">
        <f t="shared" si="2"/>
        <v>7</v>
      </c>
      <c r="P14" s="21">
        <v>7</v>
      </c>
      <c r="Q14" s="5">
        <v>13</v>
      </c>
      <c r="R14" s="5">
        <v>5</v>
      </c>
      <c r="S14" s="9"/>
      <c r="T14" s="76">
        <f t="shared" si="3"/>
        <v>25</v>
      </c>
      <c r="U14" s="2">
        <v>5</v>
      </c>
      <c r="V14" s="10">
        <v>5</v>
      </c>
      <c r="W14" s="76">
        <f t="shared" si="4"/>
        <v>10</v>
      </c>
      <c r="X14" s="76">
        <f t="shared" si="5"/>
        <v>63</v>
      </c>
      <c r="Y14" s="78">
        <f t="shared" si="6"/>
        <v>0</v>
      </c>
      <c r="Z14" s="78">
        <f t="shared" si="7"/>
        <v>46</v>
      </c>
      <c r="AA14" s="78">
        <f t="shared" si="8"/>
        <v>17</v>
      </c>
      <c r="AB14" s="78">
        <f>IFERROR(IF(Y14/$Y$12*100&gt;=50,"Y","N"),0)</f>
        <v>0</v>
      </c>
      <c r="AC14" s="78" t="str">
        <f t="shared" ref="AC14:AC38" si="9">IFERROR(IF(Z14/$Z$12*100&gt;=50,"Y","N"),0)</f>
        <v>Y</v>
      </c>
      <c r="AD14" s="78" t="str">
        <f t="shared" ref="AD14:AD38" si="10">IFERROR(IF(AA14/$AA$12*100&gt;=50,"Y","N"),0)</f>
        <v>Y</v>
      </c>
      <c r="AE14" s="13"/>
      <c r="AF14" s="13"/>
      <c r="AG14" s="13"/>
    </row>
    <row r="15" spans="1:33" ht="15.75" x14ac:dyDescent="0.25">
      <c r="A15" s="11">
        <v>3</v>
      </c>
      <c r="B15" s="12" t="s">
        <v>2</v>
      </c>
      <c r="C15" s="42" t="s">
        <v>116</v>
      </c>
      <c r="D15" s="42" t="s">
        <v>117</v>
      </c>
      <c r="E15" s="2">
        <v>8</v>
      </c>
      <c r="F15" s="2"/>
      <c r="G15" s="76">
        <f t="shared" si="0"/>
        <v>8</v>
      </c>
      <c r="H15" s="5">
        <v>2</v>
      </c>
      <c r="I15" s="5">
        <v>9</v>
      </c>
      <c r="J15" s="5">
        <v>1</v>
      </c>
      <c r="K15" s="5"/>
      <c r="L15" s="76">
        <f t="shared" si="1"/>
        <v>12</v>
      </c>
      <c r="M15" s="5">
        <v>7</v>
      </c>
      <c r="N15" s="5"/>
      <c r="O15" s="76">
        <f t="shared" si="2"/>
        <v>7</v>
      </c>
      <c r="P15" s="21">
        <v>7</v>
      </c>
      <c r="Q15" s="5">
        <v>14</v>
      </c>
      <c r="R15" s="5">
        <v>6</v>
      </c>
      <c r="S15" s="9"/>
      <c r="T15" s="76">
        <f t="shared" si="3"/>
        <v>27</v>
      </c>
      <c r="U15" s="2">
        <v>5</v>
      </c>
      <c r="V15" s="10">
        <v>5</v>
      </c>
      <c r="W15" s="76">
        <f t="shared" si="4"/>
        <v>10</v>
      </c>
      <c r="X15" s="76">
        <f t="shared" si="5"/>
        <v>64</v>
      </c>
      <c r="Y15" s="78">
        <f t="shared" si="6"/>
        <v>0</v>
      </c>
      <c r="Z15" s="78">
        <f t="shared" si="7"/>
        <v>46</v>
      </c>
      <c r="AA15" s="78">
        <f t="shared" si="8"/>
        <v>18</v>
      </c>
      <c r="AB15" s="78">
        <f t="shared" ref="AB15:AB38" si="11">IFERROR(IF(Y15/$Y$12*100&gt;=50,"Y","N"),0)</f>
        <v>0</v>
      </c>
      <c r="AC15" s="78" t="str">
        <f t="shared" si="9"/>
        <v>Y</v>
      </c>
      <c r="AD15" s="78" t="str">
        <f t="shared" si="10"/>
        <v>Y</v>
      </c>
      <c r="AE15" s="13"/>
      <c r="AF15" s="13"/>
      <c r="AG15" s="13"/>
    </row>
    <row r="16" spans="1:33" ht="15.75" x14ac:dyDescent="0.25">
      <c r="A16" s="11">
        <v>4</v>
      </c>
      <c r="B16" s="12" t="s">
        <v>3</v>
      </c>
      <c r="C16" s="42" t="s">
        <v>118</v>
      </c>
      <c r="D16" s="42" t="s">
        <v>119</v>
      </c>
      <c r="E16" s="2">
        <v>7</v>
      </c>
      <c r="F16" s="2"/>
      <c r="G16" s="76">
        <f t="shared" si="0"/>
        <v>7</v>
      </c>
      <c r="H16" s="5">
        <v>3</v>
      </c>
      <c r="I16" s="5">
        <v>8</v>
      </c>
      <c r="J16" s="5">
        <v>0</v>
      </c>
      <c r="K16" s="5"/>
      <c r="L16" s="76">
        <f t="shared" si="1"/>
        <v>11</v>
      </c>
      <c r="M16" s="5">
        <v>7</v>
      </c>
      <c r="N16" s="5"/>
      <c r="O16" s="76">
        <f t="shared" si="2"/>
        <v>7</v>
      </c>
      <c r="P16" s="21">
        <v>6</v>
      </c>
      <c r="Q16" s="5">
        <v>14</v>
      </c>
      <c r="R16" s="5">
        <v>7</v>
      </c>
      <c r="S16" s="9"/>
      <c r="T16" s="76">
        <f t="shared" si="3"/>
        <v>27</v>
      </c>
      <c r="U16" s="2">
        <v>5</v>
      </c>
      <c r="V16" s="10">
        <v>5</v>
      </c>
      <c r="W16" s="76">
        <f t="shared" si="4"/>
        <v>10</v>
      </c>
      <c r="X16" s="76">
        <f t="shared" si="5"/>
        <v>62</v>
      </c>
      <c r="Y16" s="78">
        <f t="shared" si="6"/>
        <v>0</v>
      </c>
      <c r="Z16" s="78">
        <f t="shared" si="7"/>
        <v>43</v>
      </c>
      <c r="AA16" s="78">
        <f t="shared" si="8"/>
        <v>19</v>
      </c>
      <c r="AB16" s="78">
        <f t="shared" si="11"/>
        <v>0</v>
      </c>
      <c r="AC16" s="78" t="str">
        <f t="shared" si="9"/>
        <v>Y</v>
      </c>
      <c r="AD16" s="78" t="str">
        <f t="shared" si="10"/>
        <v>Y</v>
      </c>
      <c r="AE16" s="13"/>
      <c r="AF16" s="13"/>
      <c r="AG16" s="13"/>
    </row>
    <row r="17" spans="1:33" ht="15.75" x14ac:dyDescent="0.25">
      <c r="A17" s="11">
        <v>5</v>
      </c>
      <c r="B17" s="12" t="s">
        <v>4</v>
      </c>
      <c r="C17" s="42" t="s">
        <v>120</v>
      </c>
      <c r="D17" s="42" t="s">
        <v>121</v>
      </c>
      <c r="E17" s="196">
        <v>10</v>
      </c>
      <c r="F17" s="2"/>
      <c r="G17" s="76">
        <f t="shared" si="0"/>
        <v>10</v>
      </c>
      <c r="H17" s="5">
        <v>5</v>
      </c>
      <c r="I17" s="5">
        <v>16</v>
      </c>
      <c r="J17" s="5">
        <v>3</v>
      </c>
      <c r="K17" s="5"/>
      <c r="L17" s="76">
        <f t="shared" si="1"/>
        <v>24</v>
      </c>
      <c r="M17" s="197">
        <v>9</v>
      </c>
      <c r="N17" s="5"/>
      <c r="O17" s="76">
        <f t="shared" si="2"/>
        <v>9</v>
      </c>
      <c r="P17" s="21">
        <v>7</v>
      </c>
      <c r="Q17" s="5">
        <v>15</v>
      </c>
      <c r="R17" s="5">
        <v>5</v>
      </c>
      <c r="S17" s="9"/>
      <c r="T17" s="76">
        <f t="shared" si="3"/>
        <v>27</v>
      </c>
      <c r="U17" s="2">
        <v>5</v>
      </c>
      <c r="V17" s="10">
        <v>5</v>
      </c>
      <c r="W17" s="76">
        <f t="shared" si="4"/>
        <v>10</v>
      </c>
      <c r="X17" s="76">
        <f t="shared" si="5"/>
        <v>80</v>
      </c>
      <c r="Y17" s="78">
        <f t="shared" si="6"/>
        <v>0</v>
      </c>
      <c r="Z17" s="78">
        <f t="shared" si="7"/>
        <v>61</v>
      </c>
      <c r="AA17" s="78">
        <f t="shared" si="8"/>
        <v>19</v>
      </c>
      <c r="AB17" s="78">
        <f t="shared" si="11"/>
        <v>0</v>
      </c>
      <c r="AC17" s="78" t="str">
        <f t="shared" si="9"/>
        <v>Y</v>
      </c>
      <c r="AD17" s="78" t="str">
        <f t="shared" si="10"/>
        <v>Y</v>
      </c>
      <c r="AE17" s="13"/>
      <c r="AF17" s="13"/>
      <c r="AG17" s="13"/>
    </row>
    <row r="18" spans="1:33" ht="15.75" x14ac:dyDescent="0.25">
      <c r="A18" s="11">
        <v>6</v>
      </c>
      <c r="B18" s="12" t="s">
        <v>5</v>
      </c>
      <c r="C18" s="42" t="s">
        <v>122</v>
      </c>
      <c r="D18" s="42" t="s">
        <v>123</v>
      </c>
      <c r="E18" s="2">
        <v>8</v>
      </c>
      <c r="F18" s="2"/>
      <c r="G18" s="76">
        <f t="shared" si="0"/>
        <v>8</v>
      </c>
      <c r="H18" s="5">
        <v>3</v>
      </c>
      <c r="I18" s="5">
        <v>9</v>
      </c>
      <c r="J18" s="5">
        <v>1</v>
      </c>
      <c r="K18" s="5"/>
      <c r="L18" s="76">
        <f t="shared" si="1"/>
        <v>13</v>
      </c>
      <c r="M18" s="5">
        <v>7</v>
      </c>
      <c r="N18" s="5"/>
      <c r="O18" s="76">
        <f t="shared" si="2"/>
        <v>7</v>
      </c>
      <c r="P18" s="21">
        <v>7</v>
      </c>
      <c r="Q18" s="5">
        <v>6</v>
      </c>
      <c r="R18" s="5">
        <v>7</v>
      </c>
      <c r="S18" s="9"/>
      <c r="T18" s="76">
        <f t="shared" si="3"/>
        <v>20</v>
      </c>
      <c r="U18" s="2">
        <v>5</v>
      </c>
      <c r="V18" s="10">
        <v>5</v>
      </c>
      <c r="W18" s="76">
        <f t="shared" ref="W18" si="12">SUM(U18:V18)</f>
        <v>10</v>
      </c>
      <c r="X18" s="76">
        <f t="shared" ref="X18" si="13">SUM(G18+L18+O18+T18+W18)</f>
        <v>58</v>
      </c>
      <c r="Y18" s="78">
        <f t="shared" si="6"/>
        <v>0</v>
      </c>
      <c r="Z18" s="78">
        <f t="shared" si="7"/>
        <v>39</v>
      </c>
      <c r="AA18" s="78">
        <f t="shared" si="8"/>
        <v>19</v>
      </c>
      <c r="AB18" s="78">
        <f t="shared" si="11"/>
        <v>0</v>
      </c>
      <c r="AC18" s="78" t="str">
        <f t="shared" si="9"/>
        <v>Y</v>
      </c>
      <c r="AD18" s="78" t="str">
        <f t="shared" si="10"/>
        <v>Y</v>
      </c>
      <c r="AE18" s="13"/>
      <c r="AF18" s="13"/>
      <c r="AG18" s="13"/>
    </row>
    <row r="19" spans="1:33" s="92" customFormat="1" ht="15.75" x14ac:dyDescent="0.25">
      <c r="A19" s="81">
        <v>7</v>
      </c>
      <c r="B19" s="82" t="s">
        <v>6</v>
      </c>
      <c r="C19" s="83" t="s">
        <v>124</v>
      </c>
      <c r="D19" s="83" t="s">
        <v>125</v>
      </c>
      <c r="E19" s="2">
        <v>9</v>
      </c>
      <c r="F19" s="2"/>
      <c r="G19" s="76">
        <f t="shared" si="0"/>
        <v>9</v>
      </c>
      <c r="H19" s="5">
        <v>6</v>
      </c>
      <c r="I19" s="5">
        <v>13</v>
      </c>
      <c r="J19" s="5">
        <v>3</v>
      </c>
      <c r="K19" s="5"/>
      <c r="L19" s="76">
        <f t="shared" si="1"/>
        <v>22</v>
      </c>
      <c r="M19" s="5">
        <v>8</v>
      </c>
      <c r="N19" s="5"/>
      <c r="O19" s="76">
        <f t="shared" si="2"/>
        <v>8</v>
      </c>
      <c r="P19" s="21">
        <v>6</v>
      </c>
      <c r="Q19" s="5">
        <v>14</v>
      </c>
      <c r="R19" s="5">
        <v>7</v>
      </c>
      <c r="S19" s="9"/>
      <c r="T19" s="76">
        <f t="shared" si="3"/>
        <v>27</v>
      </c>
      <c r="U19" s="2">
        <v>5</v>
      </c>
      <c r="V19" s="10">
        <v>5</v>
      </c>
      <c r="W19" s="76">
        <f t="shared" si="4"/>
        <v>10</v>
      </c>
      <c r="X19" s="76">
        <f t="shared" si="5"/>
        <v>76</v>
      </c>
      <c r="Y19" s="90">
        <f t="shared" si="6"/>
        <v>0</v>
      </c>
      <c r="Z19" s="90">
        <f t="shared" si="7"/>
        <v>56</v>
      </c>
      <c r="AA19" s="90">
        <f t="shared" si="8"/>
        <v>20</v>
      </c>
      <c r="AB19" s="90">
        <f t="shared" si="11"/>
        <v>0</v>
      </c>
      <c r="AC19" s="90" t="str">
        <f t="shared" si="9"/>
        <v>Y</v>
      </c>
      <c r="AD19" s="90" t="str">
        <f t="shared" si="10"/>
        <v>Y</v>
      </c>
      <c r="AE19" s="91"/>
      <c r="AF19" s="91"/>
      <c r="AG19" s="91"/>
    </row>
    <row r="20" spans="1:33" ht="15.75" x14ac:dyDescent="0.25">
      <c r="A20" s="11">
        <v>10</v>
      </c>
      <c r="B20" s="12" t="s">
        <v>7</v>
      </c>
      <c r="C20" s="42" t="s">
        <v>126</v>
      </c>
      <c r="D20" s="42" t="s">
        <v>127</v>
      </c>
      <c r="E20" s="2">
        <v>7</v>
      </c>
      <c r="F20" s="2"/>
      <c r="G20" s="76">
        <f t="shared" si="0"/>
        <v>7</v>
      </c>
      <c r="H20" s="5">
        <v>6</v>
      </c>
      <c r="I20" s="5">
        <v>15</v>
      </c>
      <c r="J20" s="5">
        <v>3</v>
      </c>
      <c r="K20" s="5"/>
      <c r="L20" s="76">
        <f t="shared" si="1"/>
        <v>24</v>
      </c>
      <c r="M20" s="5">
        <v>5</v>
      </c>
      <c r="N20" s="5"/>
      <c r="O20" s="76">
        <v>7</v>
      </c>
      <c r="P20" s="21">
        <v>7</v>
      </c>
      <c r="Q20" s="5">
        <v>16</v>
      </c>
      <c r="R20" s="5">
        <v>7</v>
      </c>
      <c r="S20" s="9"/>
      <c r="T20" s="76">
        <f t="shared" si="3"/>
        <v>30</v>
      </c>
      <c r="U20" s="2">
        <v>4</v>
      </c>
      <c r="V20" s="10">
        <v>3</v>
      </c>
      <c r="W20" s="76">
        <f t="shared" si="4"/>
        <v>7</v>
      </c>
      <c r="X20" s="76">
        <f t="shared" si="5"/>
        <v>75</v>
      </c>
      <c r="Y20" s="78">
        <f t="shared" si="6"/>
        <v>0</v>
      </c>
      <c r="Z20" s="78">
        <f t="shared" si="7"/>
        <v>58</v>
      </c>
      <c r="AA20" s="78">
        <f t="shared" si="8"/>
        <v>15</v>
      </c>
      <c r="AB20" s="78">
        <f t="shared" si="11"/>
        <v>0</v>
      </c>
      <c r="AC20" s="78" t="str">
        <f t="shared" si="9"/>
        <v>Y</v>
      </c>
      <c r="AD20" s="78" t="str">
        <f t="shared" si="10"/>
        <v>Y</v>
      </c>
      <c r="AE20" s="13"/>
      <c r="AF20" s="13"/>
      <c r="AG20" s="13"/>
    </row>
    <row r="21" spans="1:33" s="92" customFormat="1" ht="15.75" x14ac:dyDescent="0.25">
      <c r="A21" s="81">
        <v>11</v>
      </c>
      <c r="B21" s="82" t="s">
        <v>8</v>
      </c>
      <c r="C21" s="83" t="s">
        <v>128</v>
      </c>
      <c r="D21" s="83" t="s">
        <v>129</v>
      </c>
      <c r="E21" s="2">
        <v>6</v>
      </c>
      <c r="F21" s="2"/>
      <c r="G21" s="76">
        <f t="shared" si="0"/>
        <v>6</v>
      </c>
      <c r="H21" s="5">
        <v>6</v>
      </c>
      <c r="I21" s="5">
        <v>14</v>
      </c>
      <c r="J21" s="5">
        <v>1</v>
      </c>
      <c r="K21" s="5"/>
      <c r="L21" s="76">
        <f t="shared" si="1"/>
        <v>21</v>
      </c>
      <c r="M21" s="5">
        <v>7</v>
      </c>
      <c r="N21" s="5"/>
      <c r="O21" s="76">
        <f t="shared" si="2"/>
        <v>7</v>
      </c>
      <c r="P21" s="21">
        <v>4</v>
      </c>
      <c r="Q21" s="5">
        <v>16</v>
      </c>
      <c r="R21" s="5">
        <v>8</v>
      </c>
      <c r="S21" s="9"/>
      <c r="T21" s="76">
        <f t="shared" si="3"/>
        <v>28</v>
      </c>
      <c r="U21" s="2">
        <v>4</v>
      </c>
      <c r="V21" s="10">
        <v>5</v>
      </c>
      <c r="W21" s="76">
        <f t="shared" si="4"/>
        <v>9</v>
      </c>
      <c r="X21" s="76">
        <f t="shared" si="5"/>
        <v>71</v>
      </c>
      <c r="Y21" s="90">
        <f t="shared" si="6"/>
        <v>0</v>
      </c>
      <c r="Z21" s="90">
        <f t="shared" si="7"/>
        <v>51</v>
      </c>
      <c r="AA21" s="90">
        <f t="shared" si="8"/>
        <v>20</v>
      </c>
      <c r="AB21" s="90">
        <f t="shared" si="11"/>
        <v>0</v>
      </c>
      <c r="AC21" s="90" t="str">
        <f t="shared" si="9"/>
        <v>Y</v>
      </c>
      <c r="AD21" s="90" t="str">
        <f t="shared" si="10"/>
        <v>Y</v>
      </c>
      <c r="AE21" s="91"/>
      <c r="AF21" s="91"/>
      <c r="AG21" s="91"/>
    </row>
    <row r="22" spans="1:33" ht="15.75" x14ac:dyDescent="0.25">
      <c r="A22" s="11">
        <v>12</v>
      </c>
      <c r="B22" s="12" t="s">
        <v>9</v>
      </c>
      <c r="C22" s="42" t="s">
        <v>130</v>
      </c>
      <c r="D22" s="42" t="s">
        <v>131</v>
      </c>
      <c r="E22" s="2">
        <v>8</v>
      </c>
      <c r="F22" s="2"/>
      <c r="G22" s="76">
        <f t="shared" si="0"/>
        <v>8</v>
      </c>
      <c r="H22" s="5">
        <v>7</v>
      </c>
      <c r="I22" s="5">
        <v>7</v>
      </c>
      <c r="J22" s="5">
        <v>2</v>
      </c>
      <c r="K22" s="5"/>
      <c r="L22" s="76">
        <f t="shared" si="1"/>
        <v>16</v>
      </c>
      <c r="M22" s="5">
        <v>8</v>
      </c>
      <c r="N22" s="5"/>
      <c r="O22" s="76">
        <f t="shared" si="2"/>
        <v>8</v>
      </c>
      <c r="P22" s="21">
        <v>7</v>
      </c>
      <c r="Q22" s="5">
        <v>12</v>
      </c>
      <c r="R22" s="5">
        <v>6</v>
      </c>
      <c r="S22" s="9"/>
      <c r="T22" s="76">
        <f t="shared" si="3"/>
        <v>25</v>
      </c>
      <c r="U22" s="2">
        <v>5</v>
      </c>
      <c r="V22" s="10">
        <v>5</v>
      </c>
      <c r="W22" s="76">
        <f t="shared" si="4"/>
        <v>10</v>
      </c>
      <c r="X22" s="76">
        <f t="shared" si="5"/>
        <v>67</v>
      </c>
      <c r="Y22" s="78">
        <f t="shared" si="6"/>
        <v>0</v>
      </c>
      <c r="Z22" s="78">
        <f t="shared" si="7"/>
        <v>48</v>
      </c>
      <c r="AA22" s="78">
        <f t="shared" si="8"/>
        <v>19</v>
      </c>
      <c r="AB22" s="78">
        <f t="shared" si="11"/>
        <v>0</v>
      </c>
      <c r="AC22" s="78" t="str">
        <f t="shared" si="9"/>
        <v>Y</v>
      </c>
      <c r="AD22" s="78" t="str">
        <f t="shared" si="10"/>
        <v>Y</v>
      </c>
      <c r="AE22" s="13"/>
      <c r="AF22" s="13"/>
      <c r="AG22" s="13"/>
    </row>
    <row r="23" spans="1:33" ht="15.75" x14ac:dyDescent="0.25">
      <c r="A23" s="11">
        <v>13</v>
      </c>
      <c r="B23" s="12" t="s">
        <v>10</v>
      </c>
      <c r="C23" s="44" t="s">
        <v>132</v>
      </c>
      <c r="D23" s="44" t="s">
        <v>133</v>
      </c>
      <c r="E23" s="2">
        <v>9</v>
      </c>
      <c r="F23" s="2"/>
      <c r="G23" s="76">
        <f t="shared" si="0"/>
        <v>9</v>
      </c>
      <c r="H23" s="5">
        <v>7</v>
      </c>
      <c r="I23" s="5">
        <v>12</v>
      </c>
      <c r="J23" s="5">
        <v>3</v>
      </c>
      <c r="K23" s="5"/>
      <c r="L23" s="76">
        <f t="shared" si="1"/>
        <v>22</v>
      </c>
      <c r="M23" s="5">
        <v>9</v>
      </c>
      <c r="N23" s="5"/>
      <c r="O23" s="76">
        <f t="shared" si="2"/>
        <v>9</v>
      </c>
      <c r="P23" s="21">
        <v>9</v>
      </c>
      <c r="Q23" s="5">
        <v>16</v>
      </c>
      <c r="R23" s="5">
        <v>7</v>
      </c>
      <c r="S23" s="9"/>
      <c r="T23" s="76">
        <f t="shared" si="3"/>
        <v>32</v>
      </c>
      <c r="U23" s="2">
        <v>5</v>
      </c>
      <c r="V23" s="10">
        <v>5</v>
      </c>
      <c r="W23" s="76">
        <f t="shared" si="4"/>
        <v>10</v>
      </c>
      <c r="X23" s="76">
        <f t="shared" si="5"/>
        <v>82</v>
      </c>
      <c r="Y23" s="78">
        <f t="shared" si="6"/>
        <v>0</v>
      </c>
      <c r="Z23" s="78">
        <f t="shared" si="7"/>
        <v>61</v>
      </c>
      <c r="AA23" s="78">
        <f t="shared" si="8"/>
        <v>21</v>
      </c>
      <c r="AB23" s="78">
        <f t="shared" si="11"/>
        <v>0</v>
      </c>
      <c r="AC23" s="78" t="str">
        <f t="shared" si="9"/>
        <v>Y</v>
      </c>
      <c r="AD23" s="78" t="str">
        <f t="shared" si="10"/>
        <v>Y</v>
      </c>
      <c r="AE23" s="13"/>
      <c r="AF23" s="13"/>
      <c r="AG23" s="13"/>
    </row>
    <row r="24" spans="1:33" ht="15.75" x14ac:dyDescent="0.25">
      <c r="A24" s="11">
        <v>14</v>
      </c>
      <c r="B24" s="12" t="s">
        <v>11</v>
      </c>
      <c r="C24" s="42" t="s">
        <v>134</v>
      </c>
      <c r="D24" s="42" t="s">
        <v>135</v>
      </c>
      <c r="E24" s="84"/>
      <c r="F24" s="84"/>
      <c r="G24" s="85">
        <f t="shared" si="0"/>
        <v>0</v>
      </c>
      <c r="H24" s="86"/>
      <c r="I24" s="86"/>
      <c r="J24" s="86"/>
      <c r="K24" s="86"/>
      <c r="L24" s="85">
        <f t="shared" si="1"/>
        <v>0</v>
      </c>
      <c r="M24" s="86"/>
      <c r="N24" s="86"/>
      <c r="O24" s="85">
        <f t="shared" si="2"/>
        <v>0</v>
      </c>
      <c r="P24" s="87"/>
      <c r="Q24" s="86"/>
      <c r="R24" s="86"/>
      <c r="S24" s="88"/>
      <c r="T24" s="85">
        <f t="shared" si="3"/>
        <v>0</v>
      </c>
      <c r="U24" s="84"/>
      <c r="V24" s="89"/>
      <c r="W24" s="85">
        <f t="shared" si="4"/>
        <v>0</v>
      </c>
      <c r="X24" s="85">
        <f t="shared" si="5"/>
        <v>0</v>
      </c>
      <c r="Y24" s="78">
        <f t="shared" si="6"/>
        <v>0</v>
      </c>
      <c r="Z24" s="78">
        <f t="shared" si="7"/>
        <v>0</v>
      </c>
      <c r="AA24" s="78">
        <f t="shared" si="8"/>
        <v>0</v>
      </c>
      <c r="AB24" s="78">
        <f t="shared" si="11"/>
        <v>0</v>
      </c>
      <c r="AC24" s="78" t="str">
        <f t="shared" si="9"/>
        <v>N</v>
      </c>
      <c r="AD24" s="78" t="str">
        <f t="shared" si="10"/>
        <v>N</v>
      </c>
      <c r="AE24" s="13"/>
      <c r="AF24" s="13"/>
      <c r="AG24" s="13"/>
    </row>
    <row r="25" spans="1:33" ht="15.75" x14ac:dyDescent="0.25">
      <c r="A25" s="11">
        <v>16</v>
      </c>
      <c r="B25" s="12" t="s">
        <v>12</v>
      </c>
      <c r="C25" s="42" t="s">
        <v>136</v>
      </c>
      <c r="D25" s="42" t="s">
        <v>137</v>
      </c>
      <c r="E25" s="84"/>
      <c r="F25" s="84"/>
      <c r="G25" s="85">
        <f t="shared" si="0"/>
        <v>0</v>
      </c>
      <c r="H25" s="86"/>
      <c r="I25" s="86"/>
      <c r="J25" s="86"/>
      <c r="K25" s="86"/>
      <c r="L25" s="85">
        <f t="shared" si="1"/>
        <v>0</v>
      </c>
      <c r="M25" s="86"/>
      <c r="N25" s="86"/>
      <c r="O25" s="85">
        <f t="shared" si="2"/>
        <v>0</v>
      </c>
      <c r="P25" s="87"/>
      <c r="Q25" s="86"/>
      <c r="R25" s="86"/>
      <c r="S25" s="88"/>
      <c r="T25" s="85">
        <f t="shared" si="3"/>
        <v>0</v>
      </c>
      <c r="U25" s="84"/>
      <c r="V25" s="89"/>
      <c r="W25" s="85">
        <f t="shared" si="4"/>
        <v>0</v>
      </c>
      <c r="X25" s="85">
        <f t="shared" si="5"/>
        <v>0</v>
      </c>
      <c r="Y25" s="78">
        <f t="shared" si="6"/>
        <v>0</v>
      </c>
      <c r="Z25" s="78">
        <f t="shared" si="7"/>
        <v>0</v>
      </c>
      <c r="AA25" s="78">
        <f t="shared" si="8"/>
        <v>0</v>
      </c>
      <c r="AB25" s="78">
        <f t="shared" si="11"/>
        <v>0</v>
      </c>
      <c r="AC25" s="78" t="str">
        <f t="shared" si="9"/>
        <v>N</v>
      </c>
      <c r="AD25" s="78" t="str">
        <f t="shared" si="10"/>
        <v>N</v>
      </c>
      <c r="AE25" s="13"/>
      <c r="AF25" s="13"/>
      <c r="AG25" s="13"/>
    </row>
    <row r="26" spans="1:33" ht="15.75" x14ac:dyDescent="0.25">
      <c r="A26" s="11">
        <v>17</v>
      </c>
      <c r="B26" s="12" t="s">
        <v>13</v>
      </c>
      <c r="C26" s="44" t="s">
        <v>138</v>
      </c>
      <c r="D26" s="44" t="s">
        <v>139</v>
      </c>
      <c r="E26" s="2">
        <v>7</v>
      </c>
      <c r="F26" s="2"/>
      <c r="G26" s="76">
        <f t="shared" si="0"/>
        <v>7</v>
      </c>
      <c r="H26" s="5">
        <v>5</v>
      </c>
      <c r="I26" s="5">
        <v>7</v>
      </c>
      <c r="J26" s="5">
        <v>3</v>
      </c>
      <c r="K26" s="5"/>
      <c r="L26" s="76">
        <f t="shared" si="1"/>
        <v>15</v>
      </c>
      <c r="M26" s="5">
        <v>9</v>
      </c>
      <c r="N26" s="5"/>
      <c r="O26" s="76">
        <f t="shared" si="2"/>
        <v>9</v>
      </c>
      <c r="P26" s="21">
        <v>7</v>
      </c>
      <c r="Q26" s="5">
        <v>11</v>
      </c>
      <c r="R26" s="5">
        <v>7</v>
      </c>
      <c r="S26" s="9"/>
      <c r="T26" s="76">
        <f t="shared" si="3"/>
        <v>25</v>
      </c>
      <c r="U26" s="2">
        <v>5</v>
      </c>
      <c r="V26" s="10">
        <v>5</v>
      </c>
      <c r="W26" s="76">
        <f t="shared" si="4"/>
        <v>10</v>
      </c>
      <c r="X26" s="76">
        <f t="shared" si="5"/>
        <v>66</v>
      </c>
      <c r="Y26" s="78">
        <f t="shared" si="6"/>
        <v>0</v>
      </c>
      <c r="Z26" s="78">
        <f t="shared" si="7"/>
        <v>45</v>
      </c>
      <c r="AA26" s="78">
        <f t="shared" si="8"/>
        <v>21</v>
      </c>
      <c r="AB26" s="78">
        <f t="shared" si="11"/>
        <v>0</v>
      </c>
      <c r="AC26" s="78" t="str">
        <f t="shared" si="9"/>
        <v>Y</v>
      </c>
      <c r="AD26" s="78" t="str">
        <f t="shared" si="10"/>
        <v>Y</v>
      </c>
      <c r="AE26" s="13"/>
      <c r="AF26" s="13"/>
      <c r="AG26" s="13"/>
    </row>
    <row r="27" spans="1:33" s="92" customFormat="1" ht="15.75" x14ac:dyDescent="0.25">
      <c r="A27" s="81">
        <v>18</v>
      </c>
      <c r="B27" s="82" t="s">
        <v>14</v>
      </c>
      <c r="C27" s="93" t="s">
        <v>140</v>
      </c>
      <c r="D27" s="94" t="s">
        <v>141</v>
      </c>
      <c r="E27" s="2">
        <v>7</v>
      </c>
      <c r="F27" s="2"/>
      <c r="G27" s="76">
        <f t="shared" si="0"/>
        <v>7</v>
      </c>
      <c r="H27" s="5">
        <v>3</v>
      </c>
      <c r="I27" s="5">
        <v>5</v>
      </c>
      <c r="J27" s="5">
        <v>3</v>
      </c>
      <c r="K27" s="5"/>
      <c r="L27" s="76">
        <f t="shared" si="1"/>
        <v>11</v>
      </c>
      <c r="M27" s="5">
        <v>8</v>
      </c>
      <c r="N27" s="5"/>
      <c r="O27" s="76">
        <f t="shared" si="2"/>
        <v>8</v>
      </c>
      <c r="P27" s="21">
        <v>5</v>
      </c>
      <c r="Q27" s="5">
        <v>10</v>
      </c>
      <c r="R27" s="5">
        <v>4</v>
      </c>
      <c r="S27" s="9"/>
      <c r="T27" s="76">
        <f t="shared" si="3"/>
        <v>19</v>
      </c>
      <c r="U27" s="2">
        <v>5</v>
      </c>
      <c r="V27" s="10">
        <v>5</v>
      </c>
      <c r="W27" s="76">
        <f t="shared" si="4"/>
        <v>10</v>
      </c>
      <c r="X27" s="76">
        <f t="shared" si="5"/>
        <v>55</v>
      </c>
      <c r="Y27" s="90">
        <f t="shared" si="6"/>
        <v>0</v>
      </c>
      <c r="Z27" s="90">
        <f t="shared" si="7"/>
        <v>38</v>
      </c>
      <c r="AA27" s="90">
        <f t="shared" si="8"/>
        <v>17</v>
      </c>
      <c r="AB27" s="90">
        <f t="shared" si="11"/>
        <v>0</v>
      </c>
      <c r="AC27" s="90" t="str">
        <f t="shared" si="9"/>
        <v>Y</v>
      </c>
      <c r="AD27" s="90" t="str">
        <f t="shared" si="10"/>
        <v>Y</v>
      </c>
      <c r="AE27" s="91"/>
      <c r="AF27" s="91"/>
      <c r="AG27" s="91"/>
    </row>
    <row r="28" spans="1:33" ht="15.75" x14ac:dyDescent="0.25">
      <c r="A28" s="11">
        <v>19</v>
      </c>
      <c r="B28" s="12" t="s">
        <v>15</v>
      </c>
      <c r="C28" s="45" t="s">
        <v>142</v>
      </c>
      <c r="D28" s="1" t="s">
        <v>143</v>
      </c>
      <c r="E28" s="84"/>
      <c r="F28" s="84"/>
      <c r="G28" s="85">
        <f t="shared" si="0"/>
        <v>0</v>
      </c>
      <c r="H28" s="86"/>
      <c r="I28" s="86"/>
      <c r="J28" s="86"/>
      <c r="K28" s="86"/>
      <c r="L28" s="85">
        <f t="shared" si="1"/>
        <v>0</v>
      </c>
      <c r="M28" s="86"/>
      <c r="N28" s="86"/>
      <c r="O28" s="85">
        <f t="shared" si="2"/>
        <v>0</v>
      </c>
      <c r="P28" s="87"/>
      <c r="Q28" s="86"/>
      <c r="R28" s="86"/>
      <c r="S28" s="88"/>
      <c r="T28" s="85">
        <f t="shared" si="3"/>
        <v>0</v>
      </c>
      <c r="U28" s="84"/>
      <c r="V28" s="89"/>
      <c r="W28" s="85">
        <f t="shared" si="4"/>
        <v>0</v>
      </c>
      <c r="X28" s="85">
        <f t="shared" si="5"/>
        <v>0</v>
      </c>
      <c r="Y28" s="78">
        <f t="shared" si="6"/>
        <v>0</v>
      </c>
      <c r="Z28" s="78">
        <f t="shared" si="7"/>
        <v>0</v>
      </c>
      <c r="AA28" s="78">
        <f t="shared" si="8"/>
        <v>0</v>
      </c>
      <c r="AB28" s="78">
        <f t="shared" si="11"/>
        <v>0</v>
      </c>
      <c r="AC28" s="78" t="str">
        <f t="shared" si="9"/>
        <v>N</v>
      </c>
      <c r="AD28" s="78" t="str">
        <f t="shared" si="10"/>
        <v>N</v>
      </c>
      <c r="AE28" s="13"/>
      <c r="AF28" s="13"/>
      <c r="AG28" s="13"/>
    </row>
    <row r="29" spans="1:33" s="92" customFormat="1" ht="15.75" x14ac:dyDescent="0.25">
      <c r="A29" s="81">
        <v>21</v>
      </c>
      <c r="B29" s="82" t="s">
        <v>16</v>
      </c>
      <c r="C29" s="93" t="s">
        <v>144</v>
      </c>
      <c r="D29" s="94" t="s">
        <v>145</v>
      </c>
      <c r="E29" s="84"/>
      <c r="F29" s="84"/>
      <c r="G29" s="85">
        <f t="shared" si="0"/>
        <v>0</v>
      </c>
      <c r="H29" s="86"/>
      <c r="I29" s="86"/>
      <c r="J29" s="86"/>
      <c r="K29" s="86"/>
      <c r="L29" s="85">
        <f t="shared" si="1"/>
        <v>0</v>
      </c>
      <c r="M29" s="86"/>
      <c r="N29" s="86"/>
      <c r="O29" s="85">
        <f t="shared" si="2"/>
        <v>0</v>
      </c>
      <c r="P29" s="87"/>
      <c r="Q29" s="86"/>
      <c r="R29" s="86"/>
      <c r="S29" s="88"/>
      <c r="T29" s="85">
        <f t="shared" si="3"/>
        <v>0</v>
      </c>
      <c r="U29" s="84"/>
      <c r="V29" s="89"/>
      <c r="W29" s="85">
        <f t="shared" si="4"/>
        <v>0</v>
      </c>
      <c r="X29" s="85">
        <f t="shared" si="5"/>
        <v>0</v>
      </c>
      <c r="Y29" s="90">
        <f t="shared" si="6"/>
        <v>0</v>
      </c>
      <c r="Z29" s="90">
        <f t="shared" si="7"/>
        <v>0</v>
      </c>
      <c r="AA29" s="90">
        <f t="shared" si="8"/>
        <v>0</v>
      </c>
      <c r="AB29" s="90">
        <f t="shared" si="11"/>
        <v>0</v>
      </c>
      <c r="AC29" s="90" t="str">
        <f t="shared" si="9"/>
        <v>N</v>
      </c>
      <c r="AD29" s="90" t="str">
        <f t="shared" si="10"/>
        <v>N</v>
      </c>
      <c r="AE29" s="91"/>
      <c r="AF29" s="91"/>
      <c r="AG29" s="91"/>
    </row>
    <row r="30" spans="1:33" ht="15.75" x14ac:dyDescent="0.25">
      <c r="A30" s="11">
        <v>22</v>
      </c>
      <c r="B30" s="12" t="s">
        <v>17</v>
      </c>
      <c r="C30" s="42" t="s">
        <v>146</v>
      </c>
      <c r="D30" s="42" t="s">
        <v>147</v>
      </c>
      <c r="E30" s="2">
        <v>9</v>
      </c>
      <c r="F30" s="2"/>
      <c r="G30" s="76">
        <f t="shared" si="0"/>
        <v>9</v>
      </c>
      <c r="H30" s="5">
        <v>2</v>
      </c>
      <c r="I30" s="5">
        <v>3</v>
      </c>
      <c r="J30" s="5">
        <v>0</v>
      </c>
      <c r="K30" s="5"/>
      <c r="L30" s="76">
        <f t="shared" si="1"/>
        <v>5</v>
      </c>
      <c r="M30" s="5">
        <v>9</v>
      </c>
      <c r="N30" s="5"/>
      <c r="O30" s="76">
        <f t="shared" si="2"/>
        <v>9</v>
      </c>
      <c r="P30" s="21">
        <v>6</v>
      </c>
      <c r="Q30" s="5">
        <v>11</v>
      </c>
      <c r="R30" s="5">
        <v>5</v>
      </c>
      <c r="S30" s="9"/>
      <c r="T30" s="76">
        <f t="shared" si="3"/>
        <v>22</v>
      </c>
      <c r="U30" s="2">
        <v>5</v>
      </c>
      <c r="V30" s="10">
        <v>5</v>
      </c>
      <c r="W30" s="76">
        <f t="shared" si="4"/>
        <v>10</v>
      </c>
      <c r="X30" s="76">
        <f t="shared" si="5"/>
        <v>55</v>
      </c>
      <c r="Y30" s="78">
        <f t="shared" si="6"/>
        <v>0</v>
      </c>
      <c r="Z30" s="78">
        <f t="shared" si="7"/>
        <v>36</v>
      </c>
      <c r="AA30" s="78">
        <f t="shared" si="8"/>
        <v>19</v>
      </c>
      <c r="AB30" s="78">
        <f t="shared" si="11"/>
        <v>0</v>
      </c>
      <c r="AC30" s="78" t="str">
        <f t="shared" si="9"/>
        <v>N</v>
      </c>
      <c r="AD30" s="78" t="str">
        <f t="shared" si="10"/>
        <v>Y</v>
      </c>
      <c r="AE30" s="13"/>
      <c r="AF30" s="13"/>
      <c r="AG30" s="13"/>
    </row>
    <row r="31" spans="1:33" ht="15.75" x14ac:dyDescent="0.25">
      <c r="A31" s="11">
        <v>23</v>
      </c>
      <c r="B31" s="12" t="s">
        <v>18</v>
      </c>
      <c r="C31" s="42" t="s">
        <v>148</v>
      </c>
      <c r="D31" s="42" t="s">
        <v>149</v>
      </c>
      <c r="E31" s="84"/>
      <c r="F31" s="84"/>
      <c r="G31" s="85">
        <f t="shared" si="0"/>
        <v>0</v>
      </c>
      <c r="H31" s="86"/>
      <c r="I31" s="86"/>
      <c r="J31" s="86"/>
      <c r="K31" s="86"/>
      <c r="L31" s="85">
        <f t="shared" si="1"/>
        <v>0</v>
      </c>
      <c r="M31" s="86"/>
      <c r="N31" s="86"/>
      <c r="O31" s="85">
        <f t="shared" si="2"/>
        <v>0</v>
      </c>
      <c r="P31" s="87"/>
      <c r="Q31" s="86"/>
      <c r="R31" s="86"/>
      <c r="S31" s="88"/>
      <c r="T31" s="85">
        <f t="shared" si="3"/>
        <v>0</v>
      </c>
      <c r="U31" s="84"/>
      <c r="V31" s="89"/>
      <c r="W31" s="85">
        <f t="shared" si="4"/>
        <v>0</v>
      </c>
      <c r="X31" s="85">
        <f t="shared" si="5"/>
        <v>0</v>
      </c>
      <c r="Y31" s="78">
        <f t="shared" si="6"/>
        <v>0</v>
      </c>
      <c r="Z31" s="78">
        <f t="shared" si="7"/>
        <v>0</v>
      </c>
      <c r="AA31" s="78">
        <f t="shared" si="8"/>
        <v>0</v>
      </c>
      <c r="AB31" s="78">
        <f t="shared" si="11"/>
        <v>0</v>
      </c>
      <c r="AC31" s="78" t="str">
        <f t="shared" si="9"/>
        <v>N</v>
      </c>
      <c r="AD31" s="78" t="str">
        <f t="shared" si="10"/>
        <v>N</v>
      </c>
      <c r="AE31" s="13"/>
      <c r="AF31" s="13"/>
      <c r="AG31" s="13"/>
    </row>
    <row r="32" spans="1:33" ht="15.75" x14ac:dyDescent="0.25">
      <c r="A32" s="11">
        <v>24</v>
      </c>
      <c r="B32" s="12" t="s">
        <v>19</v>
      </c>
      <c r="C32" s="42" t="s">
        <v>150</v>
      </c>
      <c r="D32" s="42" t="s">
        <v>151</v>
      </c>
      <c r="E32" s="196">
        <v>4</v>
      </c>
      <c r="F32" s="3"/>
      <c r="G32" s="76">
        <f t="shared" si="0"/>
        <v>4</v>
      </c>
      <c r="H32" s="5">
        <v>5</v>
      </c>
      <c r="I32" s="5">
        <v>8</v>
      </c>
      <c r="J32" s="5">
        <v>1</v>
      </c>
      <c r="K32" s="5"/>
      <c r="L32" s="76">
        <f t="shared" si="1"/>
        <v>14</v>
      </c>
      <c r="M32" s="5">
        <v>8</v>
      </c>
      <c r="N32" s="5"/>
      <c r="O32" s="76">
        <f t="shared" si="2"/>
        <v>8</v>
      </c>
      <c r="P32" s="21">
        <v>8</v>
      </c>
      <c r="Q32" s="5">
        <v>12</v>
      </c>
      <c r="R32" s="5">
        <v>6</v>
      </c>
      <c r="S32" s="9"/>
      <c r="T32" s="76">
        <f t="shared" si="3"/>
        <v>26</v>
      </c>
      <c r="U32" s="2">
        <v>5</v>
      </c>
      <c r="V32" s="10">
        <v>5</v>
      </c>
      <c r="W32" s="76">
        <f t="shared" si="4"/>
        <v>10</v>
      </c>
      <c r="X32" s="76">
        <f t="shared" si="5"/>
        <v>62</v>
      </c>
      <c r="Y32" s="78">
        <f t="shared" si="6"/>
        <v>0</v>
      </c>
      <c r="Z32" s="78">
        <f t="shared" si="7"/>
        <v>43</v>
      </c>
      <c r="AA32" s="78">
        <f t="shared" si="8"/>
        <v>19</v>
      </c>
      <c r="AB32" s="78">
        <f t="shared" si="11"/>
        <v>0</v>
      </c>
      <c r="AC32" s="78" t="str">
        <f t="shared" si="9"/>
        <v>Y</v>
      </c>
      <c r="AD32" s="78" t="str">
        <f t="shared" si="10"/>
        <v>Y</v>
      </c>
      <c r="AE32" s="13"/>
      <c r="AF32" s="13"/>
      <c r="AG32" s="13"/>
    </row>
    <row r="33" spans="1:33" s="92" customFormat="1" ht="15.75" x14ac:dyDescent="0.25">
      <c r="A33" s="81">
        <v>25</v>
      </c>
      <c r="B33" s="82" t="s">
        <v>20</v>
      </c>
      <c r="C33" s="95" t="s">
        <v>152</v>
      </c>
      <c r="D33" s="95" t="s">
        <v>153</v>
      </c>
      <c r="E33" s="2">
        <v>7</v>
      </c>
      <c r="F33" s="2"/>
      <c r="G33" s="76">
        <f t="shared" si="0"/>
        <v>7</v>
      </c>
      <c r="H33" s="5">
        <v>5</v>
      </c>
      <c r="I33" s="5">
        <v>9</v>
      </c>
      <c r="J33" s="5">
        <v>3</v>
      </c>
      <c r="K33" s="5"/>
      <c r="L33" s="76">
        <f t="shared" si="1"/>
        <v>17</v>
      </c>
      <c r="M33" s="5">
        <v>7</v>
      </c>
      <c r="N33" s="5"/>
      <c r="O33" s="76">
        <f t="shared" si="2"/>
        <v>7</v>
      </c>
      <c r="P33" s="21">
        <v>6</v>
      </c>
      <c r="Q33" s="5">
        <v>14</v>
      </c>
      <c r="R33" s="5">
        <v>8</v>
      </c>
      <c r="S33" s="9"/>
      <c r="T33" s="76">
        <f t="shared" si="3"/>
        <v>28</v>
      </c>
      <c r="U33" s="2">
        <v>5</v>
      </c>
      <c r="V33" s="10">
        <v>5</v>
      </c>
      <c r="W33" s="76">
        <f t="shared" si="4"/>
        <v>10</v>
      </c>
      <c r="X33" s="76">
        <f t="shared" si="5"/>
        <v>69</v>
      </c>
      <c r="Y33" s="90">
        <f t="shared" si="6"/>
        <v>0</v>
      </c>
      <c r="Z33" s="90">
        <f t="shared" si="7"/>
        <v>49</v>
      </c>
      <c r="AA33" s="90">
        <f t="shared" si="8"/>
        <v>20</v>
      </c>
      <c r="AB33" s="90">
        <f t="shared" si="11"/>
        <v>0</v>
      </c>
      <c r="AC33" s="90" t="str">
        <f t="shared" si="9"/>
        <v>Y</v>
      </c>
      <c r="AD33" s="90" t="str">
        <f t="shared" si="10"/>
        <v>Y</v>
      </c>
      <c r="AE33" s="91"/>
      <c r="AF33" s="91"/>
      <c r="AG33" s="91"/>
    </row>
    <row r="34" spans="1:33" s="92" customFormat="1" ht="15.75" x14ac:dyDescent="0.25">
      <c r="A34" s="81">
        <v>27</v>
      </c>
      <c r="B34" s="82" t="s">
        <v>21</v>
      </c>
      <c r="C34" s="83" t="s">
        <v>154</v>
      </c>
      <c r="D34" s="83" t="s">
        <v>155</v>
      </c>
      <c r="E34" s="2">
        <v>8</v>
      </c>
      <c r="F34" s="2"/>
      <c r="G34" s="76">
        <f t="shared" si="0"/>
        <v>8</v>
      </c>
      <c r="H34" s="5">
        <v>6</v>
      </c>
      <c r="I34" s="5">
        <v>11</v>
      </c>
      <c r="J34" s="5">
        <v>3</v>
      </c>
      <c r="K34" s="5"/>
      <c r="L34" s="76">
        <f t="shared" si="1"/>
        <v>20</v>
      </c>
      <c r="M34" s="5">
        <v>8</v>
      </c>
      <c r="N34" s="5"/>
      <c r="O34" s="76">
        <f t="shared" si="2"/>
        <v>8</v>
      </c>
      <c r="P34" s="21">
        <v>4</v>
      </c>
      <c r="Q34" s="5">
        <v>12</v>
      </c>
      <c r="R34" s="5">
        <v>8</v>
      </c>
      <c r="S34" s="9"/>
      <c r="T34" s="76">
        <f t="shared" si="3"/>
        <v>24</v>
      </c>
      <c r="U34" s="2">
        <v>5</v>
      </c>
      <c r="V34" s="10">
        <v>5</v>
      </c>
      <c r="W34" s="76">
        <f t="shared" si="4"/>
        <v>10</v>
      </c>
      <c r="X34" s="76">
        <f t="shared" si="5"/>
        <v>70</v>
      </c>
      <c r="Y34" s="90">
        <f t="shared" si="6"/>
        <v>0</v>
      </c>
      <c r="Z34" s="90">
        <f t="shared" si="7"/>
        <v>49</v>
      </c>
      <c r="AA34" s="90">
        <f t="shared" si="8"/>
        <v>21</v>
      </c>
      <c r="AB34" s="90">
        <f t="shared" si="11"/>
        <v>0</v>
      </c>
      <c r="AC34" s="90" t="str">
        <f t="shared" si="9"/>
        <v>Y</v>
      </c>
      <c r="AD34" s="90" t="str">
        <f t="shared" si="10"/>
        <v>Y</v>
      </c>
      <c r="AE34" s="91"/>
      <c r="AF34" s="91"/>
      <c r="AG34" s="91"/>
    </row>
    <row r="35" spans="1:33" ht="15.75" x14ac:dyDescent="0.25">
      <c r="A35" s="11">
        <v>28</v>
      </c>
      <c r="B35" s="12" t="s">
        <v>22</v>
      </c>
      <c r="C35" s="42" t="s">
        <v>156</v>
      </c>
      <c r="D35" s="42" t="s">
        <v>157</v>
      </c>
      <c r="E35" s="84"/>
      <c r="F35" s="84"/>
      <c r="G35" s="85">
        <f t="shared" si="0"/>
        <v>0</v>
      </c>
      <c r="H35" s="86"/>
      <c r="I35" s="86"/>
      <c r="J35" s="86"/>
      <c r="K35" s="86"/>
      <c r="L35" s="85">
        <f t="shared" si="1"/>
        <v>0</v>
      </c>
      <c r="M35" s="86"/>
      <c r="N35" s="86"/>
      <c r="O35" s="85">
        <f t="shared" si="2"/>
        <v>0</v>
      </c>
      <c r="P35" s="87"/>
      <c r="Q35" s="86"/>
      <c r="R35" s="86"/>
      <c r="S35" s="88"/>
      <c r="T35" s="85">
        <f t="shared" si="3"/>
        <v>0</v>
      </c>
      <c r="U35" s="84"/>
      <c r="V35" s="89"/>
      <c r="W35" s="85">
        <f t="shared" si="4"/>
        <v>0</v>
      </c>
      <c r="X35" s="85">
        <f t="shared" si="5"/>
        <v>0</v>
      </c>
      <c r="Y35" s="78">
        <f t="shared" si="6"/>
        <v>0</v>
      </c>
      <c r="Z35" s="78">
        <f t="shared" si="7"/>
        <v>0</v>
      </c>
      <c r="AA35" s="78">
        <f t="shared" si="8"/>
        <v>0</v>
      </c>
      <c r="AB35" s="78">
        <f t="shared" si="11"/>
        <v>0</v>
      </c>
      <c r="AC35" s="78" t="str">
        <f t="shared" si="9"/>
        <v>N</v>
      </c>
      <c r="AD35" s="78" t="str">
        <f t="shared" si="10"/>
        <v>N</v>
      </c>
      <c r="AE35" s="13"/>
      <c r="AF35" s="13"/>
      <c r="AG35" s="13"/>
    </row>
    <row r="36" spans="1:33" ht="15.75" x14ac:dyDescent="0.25">
      <c r="A36" s="11"/>
      <c r="B36" s="12"/>
      <c r="C36" s="42" t="s">
        <v>158</v>
      </c>
      <c r="D36" s="42" t="s">
        <v>159</v>
      </c>
      <c r="E36" s="2">
        <v>7</v>
      </c>
      <c r="F36" s="2"/>
      <c r="G36" s="76">
        <f t="shared" ref="G36:G49" si="14">SUM(C36:F36)</f>
        <v>7</v>
      </c>
      <c r="H36" s="5">
        <v>3</v>
      </c>
      <c r="I36" s="5">
        <v>5</v>
      </c>
      <c r="J36" s="5">
        <v>2</v>
      </c>
      <c r="K36" s="5"/>
      <c r="L36" s="76">
        <f t="shared" ref="L36:L49" si="15">SUM(H36:K36)</f>
        <v>10</v>
      </c>
      <c r="M36" s="5">
        <v>7</v>
      </c>
      <c r="N36" s="5"/>
      <c r="O36" s="76">
        <f t="shared" ref="O36:O49" si="16">SUM(M36:N36)</f>
        <v>7</v>
      </c>
      <c r="P36" s="21">
        <v>6</v>
      </c>
      <c r="Q36" s="5">
        <v>10</v>
      </c>
      <c r="R36" s="5">
        <v>3</v>
      </c>
      <c r="S36" s="9"/>
      <c r="T36" s="76">
        <f t="shared" ref="T36:T49" si="17">SUM(P36:S36)</f>
        <v>19</v>
      </c>
      <c r="U36" s="2">
        <v>5</v>
      </c>
      <c r="V36" s="10">
        <v>5</v>
      </c>
      <c r="W36" s="76">
        <f t="shared" ref="W36:W49" si="18">SUM(U36:V36)</f>
        <v>10</v>
      </c>
      <c r="X36" s="76">
        <f t="shared" ref="X36:X49" si="19">SUM(G36+L36+O36+T36+W36)</f>
        <v>53</v>
      </c>
      <c r="Y36" s="78">
        <f t="shared" si="6"/>
        <v>0</v>
      </c>
      <c r="Z36" s="78">
        <f t="shared" si="7"/>
        <v>38</v>
      </c>
      <c r="AA36" s="78">
        <f t="shared" si="8"/>
        <v>15</v>
      </c>
      <c r="AB36" s="78">
        <f t="shared" si="11"/>
        <v>0</v>
      </c>
      <c r="AC36" s="78" t="str">
        <f t="shared" si="9"/>
        <v>Y</v>
      </c>
      <c r="AD36" s="78" t="str">
        <f t="shared" si="10"/>
        <v>Y</v>
      </c>
      <c r="AE36" s="13"/>
      <c r="AF36" s="13"/>
      <c r="AG36" s="13"/>
    </row>
    <row r="37" spans="1:33" ht="15.75" x14ac:dyDescent="0.25">
      <c r="A37" s="11"/>
      <c r="B37" s="12"/>
      <c r="C37" s="42" t="s">
        <v>160</v>
      </c>
      <c r="D37" s="42" t="s">
        <v>161</v>
      </c>
      <c r="E37" s="2">
        <v>5</v>
      </c>
      <c r="F37" s="2"/>
      <c r="G37" s="76">
        <f t="shared" si="14"/>
        <v>5</v>
      </c>
      <c r="H37" s="5">
        <v>7</v>
      </c>
      <c r="I37" s="5">
        <v>14</v>
      </c>
      <c r="J37" s="5">
        <v>2</v>
      </c>
      <c r="K37" s="5"/>
      <c r="L37" s="76">
        <f t="shared" si="15"/>
        <v>23</v>
      </c>
      <c r="M37" s="5">
        <v>8</v>
      </c>
      <c r="N37" s="5"/>
      <c r="O37" s="76">
        <f t="shared" si="16"/>
        <v>8</v>
      </c>
      <c r="P37" s="21">
        <v>6</v>
      </c>
      <c r="Q37" s="5">
        <v>13</v>
      </c>
      <c r="R37" s="5">
        <v>6</v>
      </c>
      <c r="S37" s="9"/>
      <c r="T37" s="76">
        <f t="shared" si="17"/>
        <v>25</v>
      </c>
      <c r="U37" s="2">
        <v>5</v>
      </c>
      <c r="V37" s="10">
        <v>5</v>
      </c>
      <c r="W37" s="76">
        <f t="shared" si="18"/>
        <v>10</v>
      </c>
      <c r="X37" s="76">
        <f t="shared" si="19"/>
        <v>71</v>
      </c>
      <c r="Y37" s="78">
        <f t="shared" si="6"/>
        <v>0</v>
      </c>
      <c r="Z37" s="78">
        <f t="shared" si="7"/>
        <v>52</v>
      </c>
      <c r="AA37" s="78">
        <f t="shared" si="8"/>
        <v>19</v>
      </c>
      <c r="AB37" s="78">
        <f t="shared" si="11"/>
        <v>0</v>
      </c>
      <c r="AC37" s="78" t="str">
        <f t="shared" si="9"/>
        <v>Y</v>
      </c>
      <c r="AD37" s="78" t="str">
        <f t="shared" si="10"/>
        <v>Y</v>
      </c>
      <c r="AE37" s="13"/>
      <c r="AF37" s="13"/>
      <c r="AG37" s="13"/>
    </row>
    <row r="38" spans="1:33" ht="15.75" x14ac:dyDescent="0.25">
      <c r="A38" s="11"/>
      <c r="B38" s="12"/>
      <c r="C38" s="44" t="s">
        <v>162</v>
      </c>
      <c r="D38" s="44" t="s">
        <v>163</v>
      </c>
      <c r="E38" s="2">
        <v>4</v>
      </c>
      <c r="F38" s="2"/>
      <c r="G38" s="76">
        <f t="shared" si="14"/>
        <v>4</v>
      </c>
      <c r="H38" s="5">
        <v>5</v>
      </c>
      <c r="I38" s="5">
        <v>11</v>
      </c>
      <c r="J38" s="5">
        <v>3</v>
      </c>
      <c r="K38" s="5"/>
      <c r="L38" s="76">
        <f t="shared" si="15"/>
        <v>19</v>
      </c>
      <c r="M38" s="5">
        <v>6</v>
      </c>
      <c r="N38" s="5"/>
      <c r="O38" s="76">
        <f t="shared" si="16"/>
        <v>6</v>
      </c>
      <c r="P38" s="21">
        <v>7</v>
      </c>
      <c r="Q38" s="5">
        <v>13</v>
      </c>
      <c r="R38" s="5">
        <v>9</v>
      </c>
      <c r="S38" s="9"/>
      <c r="T38" s="76">
        <f t="shared" si="17"/>
        <v>29</v>
      </c>
      <c r="U38" s="2">
        <v>5</v>
      </c>
      <c r="V38" s="10">
        <v>5</v>
      </c>
      <c r="W38" s="76">
        <f t="shared" si="18"/>
        <v>10</v>
      </c>
      <c r="X38" s="76">
        <f t="shared" si="19"/>
        <v>68</v>
      </c>
      <c r="Y38" s="78">
        <f t="shared" si="6"/>
        <v>0</v>
      </c>
      <c r="Z38" s="78">
        <f t="shared" si="7"/>
        <v>48</v>
      </c>
      <c r="AA38" s="78">
        <f t="shared" si="8"/>
        <v>20</v>
      </c>
      <c r="AB38" s="78">
        <f t="shared" si="11"/>
        <v>0</v>
      </c>
      <c r="AC38" s="78" t="str">
        <f t="shared" si="9"/>
        <v>Y</v>
      </c>
      <c r="AD38" s="78" t="str">
        <f t="shared" si="10"/>
        <v>Y</v>
      </c>
      <c r="AE38" s="13"/>
      <c r="AF38" s="13"/>
      <c r="AG38" s="13"/>
    </row>
    <row r="39" spans="1:33" ht="15.75" x14ac:dyDescent="0.25">
      <c r="A39" s="11"/>
      <c r="B39" s="12"/>
      <c r="C39" s="44" t="s">
        <v>164</v>
      </c>
      <c r="D39" s="44" t="s">
        <v>165</v>
      </c>
      <c r="E39" s="2">
        <v>7</v>
      </c>
      <c r="F39" s="2"/>
      <c r="G39" s="76">
        <f t="shared" si="14"/>
        <v>7</v>
      </c>
      <c r="H39" s="5">
        <v>6</v>
      </c>
      <c r="I39" s="5">
        <v>10</v>
      </c>
      <c r="J39" s="5">
        <v>1</v>
      </c>
      <c r="K39" s="5"/>
      <c r="L39" s="76">
        <f t="shared" si="15"/>
        <v>17</v>
      </c>
      <c r="M39" s="5">
        <v>7</v>
      </c>
      <c r="N39" s="5"/>
      <c r="O39" s="76">
        <f t="shared" si="16"/>
        <v>7</v>
      </c>
      <c r="P39" s="21">
        <v>7</v>
      </c>
      <c r="Q39" s="5">
        <v>13</v>
      </c>
      <c r="R39" s="5">
        <v>5</v>
      </c>
      <c r="S39" s="9"/>
      <c r="T39" s="76">
        <f t="shared" si="17"/>
        <v>25</v>
      </c>
      <c r="U39" s="2">
        <v>5</v>
      </c>
      <c r="V39" s="10">
        <v>5</v>
      </c>
      <c r="W39" s="76">
        <f t="shared" si="18"/>
        <v>10</v>
      </c>
      <c r="X39" s="76">
        <f t="shared" si="19"/>
        <v>66</v>
      </c>
      <c r="Y39" s="78">
        <f t="shared" ref="Y39:Y55" si="20">SUMIF($E$12:$V$12,$Y$11,E39:V39)</f>
        <v>0</v>
      </c>
      <c r="Z39" s="78">
        <f t="shared" ref="Z39:Z55" si="21">SUMIF($E$12:$V$12,$Z$11,E39:V39)</f>
        <v>49</v>
      </c>
      <c r="AA39" s="78">
        <f t="shared" ref="AA39:AA55" si="22">SUMIF($E$12:$V$12,$AA$11,E39:V39)</f>
        <v>17</v>
      </c>
      <c r="AB39" s="78">
        <f t="shared" ref="AB39:AB55" si="23">IFERROR(IF(Y39/$Y$12*100&gt;=50,"Y","N"),0)</f>
        <v>0</v>
      </c>
      <c r="AC39" s="78" t="str">
        <f t="shared" ref="AC39:AC55" si="24">IFERROR(IF(Z39/$Z$12*100&gt;=50,"Y","N"),0)</f>
        <v>Y</v>
      </c>
      <c r="AD39" s="78" t="str">
        <f t="shared" ref="AD39:AD55" si="25">IFERROR(IF(AA39/$AA$12*100&gt;=50,"Y","N"),0)</f>
        <v>Y</v>
      </c>
      <c r="AE39" s="13"/>
      <c r="AF39" s="13"/>
      <c r="AG39" s="13"/>
    </row>
    <row r="40" spans="1:33" ht="15.75" x14ac:dyDescent="0.25">
      <c r="A40" s="11"/>
      <c r="B40" s="12"/>
      <c r="C40" s="44" t="s">
        <v>166</v>
      </c>
      <c r="D40" s="44" t="s">
        <v>167</v>
      </c>
      <c r="E40" s="2">
        <v>7</v>
      </c>
      <c r="F40" s="2"/>
      <c r="G40" s="76">
        <f t="shared" si="14"/>
        <v>7</v>
      </c>
      <c r="H40" s="5">
        <v>6</v>
      </c>
      <c r="I40" s="5">
        <v>16</v>
      </c>
      <c r="J40" s="5">
        <v>3</v>
      </c>
      <c r="K40" s="5"/>
      <c r="L40" s="76">
        <f t="shared" si="15"/>
        <v>25</v>
      </c>
      <c r="M40" s="197">
        <v>8</v>
      </c>
      <c r="N40" s="5"/>
      <c r="O40" s="76">
        <f t="shared" si="16"/>
        <v>8</v>
      </c>
      <c r="P40" s="21">
        <v>7</v>
      </c>
      <c r="Q40" s="5">
        <v>13</v>
      </c>
      <c r="R40" s="5">
        <v>7</v>
      </c>
      <c r="S40" s="9"/>
      <c r="T40" s="76">
        <f t="shared" si="17"/>
        <v>27</v>
      </c>
      <c r="U40" s="2">
        <v>5</v>
      </c>
      <c r="V40" s="10">
        <v>5</v>
      </c>
      <c r="W40" s="76">
        <f t="shared" si="18"/>
        <v>10</v>
      </c>
      <c r="X40" s="76">
        <f t="shared" si="19"/>
        <v>77</v>
      </c>
      <c r="Y40" s="78">
        <f t="shared" si="20"/>
        <v>0</v>
      </c>
      <c r="Z40" s="78">
        <f t="shared" si="21"/>
        <v>57</v>
      </c>
      <c r="AA40" s="78">
        <f t="shared" si="22"/>
        <v>20</v>
      </c>
      <c r="AB40" s="78">
        <f t="shared" si="23"/>
        <v>0</v>
      </c>
      <c r="AC40" s="78" t="str">
        <f t="shared" si="24"/>
        <v>Y</v>
      </c>
      <c r="AD40" s="78" t="str">
        <f t="shared" si="25"/>
        <v>Y</v>
      </c>
      <c r="AE40" s="13"/>
      <c r="AF40" s="13"/>
      <c r="AG40" s="13"/>
    </row>
    <row r="41" spans="1:33" ht="15.75" x14ac:dyDescent="0.25">
      <c r="A41" s="11"/>
      <c r="B41" s="12"/>
      <c r="C41" s="44" t="s">
        <v>168</v>
      </c>
      <c r="D41" s="44" t="s">
        <v>169</v>
      </c>
      <c r="E41" s="196">
        <v>7</v>
      </c>
      <c r="F41" s="2"/>
      <c r="G41" s="76">
        <f t="shared" si="14"/>
        <v>7</v>
      </c>
      <c r="H41" s="5">
        <v>5</v>
      </c>
      <c r="I41" s="5">
        <v>13</v>
      </c>
      <c r="J41" s="5">
        <v>3</v>
      </c>
      <c r="K41" s="5"/>
      <c r="L41" s="76">
        <f t="shared" si="15"/>
        <v>21</v>
      </c>
      <c r="M41" s="5">
        <v>9</v>
      </c>
      <c r="N41" s="5"/>
      <c r="O41" s="76">
        <f t="shared" si="16"/>
        <v>9</v>
      </c>
      <c r="P41" s="21">
        <v>7</v>
      </c>
      <c r="Q41" s="5">
        <v>11</v>
      </c>
      <c r="R41" s="5">
        <v>8</v>
      </c>
      <c r="S41" s="9"/>
      <c r="T41" s="76">
        <f t="shared" si="17"/>
        <v>26</v>
      </c>
      <c r="U41" s="2">
        <v>5</v>
      </c>
      <c r="V41" s="10">
        <v>5</v>
      </c>
      <c r="W41" s="76">
        <f t="shared" si="18"/>
        <v>10</v>
      </c>
      <c r="X41" s="76">
        <f t="shared" si="19"/>
        <v>73</v>
      </c>
      <c r="Y41" s="78">
        <f t="shared" si="20"/>
        <v>0</v>
      </c>
      <c r="Z41" s="78">
        <f t="shared" si="21"/>
        <v>51</v>
      </c>
      <c r="AA41" s="78">
        <f t="shared" si="22"/>
        <v>22</v>
      </c>
      <c r="AB41" s="78">
        <f t="shared" si="23"/>
        <v>0</v>
      </c>
      <c r="AC41" s="78" t="str">
        <f t="shared" si="24"/>
        <v>Y</v>
      </c>
      <c r="AD41" s="78" t="str">
        <f t="shared" si="25"/>
        <v>Y</v>
      </c>
      <c r="AE41" s="13"/>
      <c r="AF41" s="13"/>
      <c r="AG41" s="13"/>
    </row>
    <row r="42" spans="1:33" ht="15.75" x14ac:dyDescent="0.25">
      <c r="A42" s="11"/>
      <c r="B42" s="12"/>
      <c r="C42" s="44" t="s">
        <v>170</v>
      </c>
      <c r="D42" s="44" t="s">
        <v>171</v>
      </c>
      <c r="E42" s="2">
        <v>10</v>
      </c>
      <c r="F42" s="2"/>
      <c r="G42" s="76">
        <f t="shared" si="14"/>
        <v>10</v>
      </c>
      <c r="H42" s="5">
        <v>3</v>
      </c>
      <c r="I42" s="5">
        <v>2</v>
      </c>
      <c r="J42" s="5">
        <v>0</v>
      </c>
      <c r="K42" s="5"/>
      <c r="L42" s="76">
        <f t="shared" si="15"/>
        <v>5</v>
      </c>
      <c r="M42" s="197">
        <v>10</v>
      </c>
      <c r="N42" s="5"/>
      <c r="O42" s="76">
        <f t="shared" si="16"/>
        <v>10</v>
      </c>
      <c r="P42" s="21">
        <v>2</v>
      </c>
      <c r="Q42" s="5">
        <v>7</v>
      </c>
      <c r="R42" s="5">
        <v>5</v>
      </c>
      <c r="S42" s="9"/>
      <c r="T42" s="76">
        <f t="shared" si="17"/>
        <v>14</v>
      </c>
      <c r="U42" s="2">
        <v>5</v>
      </c>
      <c r="V42" s="10">
        <v>5</v>
      </c>
      <c r="W42" s="76">
        <f t="shared" si="18"/>
        <v>10</v>
      </c>
      <c r="X42" s="76">
        <f t="shared" si="19"/>
        <v>49</v>
      </c>
      <c r="Y42" s="78">
        <f t="shared" si="20"/>
        <v>0</v>
      </c>
      <c r="Z42" s="78">
        <f t="shared" si="21"/>
        <v>29</v>
      </c>
      <c r="AA42" s="78">
        <f t="shared" si="22"/>
        <v>20</v>
      </c>
      <c r="AB42" s="78">
        <f t="shared" si="23"/>
        <v>0</v>
      </c>
      <c r="AC42" s="78" t="str">
        <f t="shared" si="24"/>
        <v>N</v>
      </c>
      <c r="AD42" s="78" t="str">
        <f t="shared" si="25"/>
        <v>Y</v>
      </c>
      <c r="AE42" s="13"/>
      <c r="AF42" s="13"/>
      <c r="AG42" s="13"/>
    </row>
    <row r="43" spans="1:33" ht="15.75" x14ac:dyDescent="0.25">
      <c r="A43" s="11"/>
      <c r="B43" s="12"/>
      <c r="C43" s="44" t="s">
        <v>172</v>
      </c>
      <c r="D43" s="44" t="s">
        <v>173</v>
      </c>
      <c r="E43" s="2">
        <v>6</v>
      </c>
      <c r="F43" s="2"/>
      <c r="G43" s="76">
        <f t="shared" si="14"/>
        <v>6</v>
      </c>
      <c r="H43" s="5">
        <v>5</v>
      </c>
      <c r="I43" s="5">
        <v>5</v>
      </c>
      <c r="J43" s="5">
        <v>3</v>
      </c>
      <c r="K43" s="5"/>
      <c r="L43" s="76">
        <f t="shared" si="15"/>
        <v>13</v>
      </c>
      <c r="M43" s="5">
        <v>8</v>
      </c>
      <c r="N43" s="5"/>
      <c r="O43" s="76">
        <f t="shared" si="16"/>
        <v>8</v>
      </c>
      <c r="P43" s="21">
        <v>7</v>
      </c>
      <c r="Q43" s="5">
        <v>9</v>
      </c>
      <c r="R43" s="5">
        <v>6</v>
      </c>
      <c r="S43" s="9"/>
      <c r="T43" s="76">
        <f t="shared" si="17"/>
        <v>22</v>
      </c>
      <c r="U43" s="2">
        <v>5</v>
      </c>
      <c r="V43" s="10">
        <v>5</v>
      </c>
      <c r="W43" s="76">
        <f t="shared" si="18"/>
        <v>10</v>
      </c>
      <c r="X43" s="76">
        <f t="shared" si="19"/>
        <v>59</v>
      </c>
      <c r="Y43" s="78">
        <f t="shared" si="20"/>
        <v>0</v>
      </c>
      <c r="Z43" s="78">
        <f t="shared" si="21"/>
        <v>40</v>
      </c>
      <c r="AA43" s="78">
        <f t="shared" si="22"/>
        <v>19</v>
      </c>
      <c r="AB43" s="78">
        <f t="shared" si="23"/>
        <v>0</v>
      </c>
      <c r="AC43" s="78" t="str">
        <f t="shared" si="24"/>
        <v>Y</v>
      </c>
      <c r="AD43" s="78" t="str">
        <f t="shared" si="25"/>
        <v>Y</v>
      </c>
      <c r="AE43" s="13"/>
      <c r="AF43" s="13"/>
      <c r="AG43" s="13"/>
    </row>
    <row r="44" spans="1:33" ht="15.75" x14ac:dyDescent="0.25">
      <c r="A44" s="11"/>
      <c r="B44" s="12"/>
      <c r="C44" s="44" t="s">
        <v>174</v>
      </c>
      <c r="D44" s="44" t="s">
        <v>175</v>
      </c>
      <c r="E44" s="2">
        <v>9</v>
      </c>
      <c r="F44" s="2"/>
      <c r="G44" s="76">
        <f t="shared" si="14"/>
        <v>9</v>
      </c>
      <c r="H44" s="5">
        <v>2</v>
      </c>
      <c r="I44" s="5">
        <v>4</v>
      </c>
      <c r="J44" s="5">
        <v>2</v>
      </c>
      <c r="K44" s="5"/>
      <c r="L44" s="76">
        <f t="shared" si="15"/>
        <v>8</v>
      </c>
      <c r="M44" s="5">
        <v>7</v>
      </c>
      <c r="N44" s="5"/>
      <c r="O44" s="76">
        <f t="shared" si="16"/>
        <v>7</v>
      </c>
      <c r="P44" s="21">
        <v>6</v>
      </c>
      <c r="Q44" s="5">
        <v>10</v>
      </c>
      <c r="R44" s="5">
        <v>6</v>
      </c>
      <c r="S44" s="9"/>
      <c r="T44" s="76">
        <f t="shared" si="17"/>
        <v>22</v>
      </c>
      <c r="U44" s="2">
        <v>5</v>
      </c>
      <c r="V44" s="10">
        <v>5</v>
      </c>
      <c r="W44" s="76">
        <f t="shared" si="18"/>
        <v>10</v>
      </c>
      <c r="X44" s="76">
        <f t="shared" si="19"/>
        <v>56</v>
      </c>
      <c r="Y44" s="78">
        <f t="shared" si="20"/>
        <v>0</v>
      </c>
      <c r="Z44" s="78">
        <f t="shared" si="21"/>
        <v>38</v>
      </c>
      <c r="AA44" s="78">
        <f t="shared" si="22"/>
        <v>18</v>
      </c>
      <c r="AB44" s="78">
        <f t="shared" si="23"/>
        <v>0</v>
      </c>
      <c r="AC44" s="78" t="str">
        <f t="shared" si="24"/>
        <v>Y</v>
      </c>
      <c r="AD44" s="78" t="str">
        <f t="shared" si="25"/>
        <v>Y</v>
      </c>
      <c r="AE44" s="13"/>
      <c r="AF44" s="13"/>
      <c r="AG44" s="13"/>
    </row>
    <row r="45" spans="1:33" ht="15.75" x14ac:dyDescent="0.25">
      <c r="A45" s="11"/>
      <c r="B45" s="12"/>
      <c r="C45" s="44" t="s">
        <v>176</v>
      </c>
      <c r="D45" s="44" t="s">
        <v>177</v>
      </c>
      <c r="E45" s="2">
        <v>7</v>
      </c>
      <c r="F45" s="2"/>
      <c r="G45" s="76">
        <f t="shared" si="14"/>
        <v>7</v>
      </c>
      <c r="H45" s="5">
        <v>2</v>
      </c>
      <c r="I45" s="5">
        <v>8</v>
      </c>
      <c r="J45" s="5">
        <v>2</v>
      </c>
      <c r="K45" s="5"/>
      <c r="L45" s="76">
        <f t="shared" si="15"/>
        <v>12</v>
      </c>
      <c r="M45" s="5">
        <v>7</v>
      </c>
      <c r="N45" s="5"/>
      <c r="O45" s="76">
        <f t="shared" si="16"/>
        <v>7</v>
      </c>
      <c r="P45" s="21">
        <v>6</v>
      </c>
      <c r="Q45" s="5">
        <v>9</v>
      </c>
      <c r="R45" s="5">
        <v>3</v>
      </c>
      <c r="S45" s="9"/>
      <c r="T45" s="76">
        <f t="shared" si="17"/>
        <v>18</v>
      </c>
      <c r="U45" s="2">
        <v>5</v>
      </c>
      <c r="V45" s="10">
        <v>5</v>
      </c>
      <c r="W45" s="76">
        <f t="shared" si="18"/>
        <v>10</v>
      </c>
      <c r="X45" s="76">
        <f t="shared" si="19"/>
        <v>54</v>
      </c>
      <c r="Y45" s="78">
        <f t="shared" si="20"/>
        <v>0</v>
      </c>
      <c r="Z45" s="78">
        <f t="shared" si="21"/>
        <v>39</v>
      </c>
      <c r="AA45" s="78">
        <f t="shared" si="22"/>
        <v>15</v>
      </c>
      <c r="AB45" s="78">
        <f t="shared" si="23"/>
        <v>0</v>
      </c>
      <c r="AC45" s="78" t="str">
        <f t="shared" si="24"/>
        <v>Y</v>
      </c>
      <c r="AD45" s="78" t="str">
        <f t="shared" si="25"/>
        <v>Y</v>
      </c>
      <c r="AE45" s="13"/>
      <c r="AF45" s="13"/>
      <c r="AG45" s="13"/>
    </row>
    <row r="46" spans="1:33" ht="15.75" x14ac:dyDescent="0.25">
      <c r="A46" s="11"/>
      <c r="B46" s="12"/>
      <c r="C46" s="44" t="s">
        <v>178</v>
      </c>
      <c r="D46" s="44" t="s">
        <v>179</v>
      </c>
      <c r="E46" s="2">
        <v>8</v>
      </c>
      <c r="F46" s="2"/>
      <c r="G46" s="76">
        <f t="shared" si="14"/>
        <v>8</v>
      </c>
      <c r="H46" s="5">
        <v>2</v>
      </c>
      <c r="I46" s="5">
        <v>5</v>
      </c>
      <c r="J46" s="5">
        <v>0</v>
      </c>
      <c r="K46" s="5"/>
      <c r="L46" s="76">
        <f t="shared" si="15"/>
        <v>7</v>
      </c>
      <c r="M46" s="5">
        <v>8</v>
      </c>
      <c r="N46" s="5"/>
      <c r="O46" s="76">
        <f t="shared" si="16"/>
        <v>8</v>
      </c>
      <c r="P46" s="21">
        <v>7</v>
      </c>
      <c r="Q46" s="5">
        <v>11</v>
      </c>
      <c r="R46" s="5">
        <v>6</v>
      </c>
      <c r="S46" s="9"/>
      <c r="T46" s="76">
        <f t="shared" si="17"/>
        <v>24</v>
      </c>
      <c r="U46" s="2">
        <v>5</v>
      </c>
      <c r="V46" s="10">
        <v>5</v>
      </c>
      <c r="W46" s="76">
        <f t="shared" si="18"/>
        <v>10</v>
      </c>
      <c r="X46" s="76">
        <f t="shared" si="19"/>
        <v>57</v>
      </c>
      <c r="Y46" s="78">
        <f t="shared" si="20"/>
        <v>0</v>
      </c>
      <c r="Z46" s="78">
        <f t="shared" si="21"/>
        <v>38</v>
      </c>
      <c r="AA46" s="78">
        <f t="shared" si="22"/>
        <v>19</v>
      </c>
      <c r="AB46" s="78">
        <f t="shared" si="23"/>
        <v>0</v>
      </c>
      <c r="AC46" s="78" t="str">
        <f t="shared" si="24"/>
        <v>Y</v>
      </c>
      <c r="AD46" s="78" t="str">
        <f t="shared" si="25"/>
        <v>Y</v>
      </c>
      <c r="AE46" s="13"/>
      <c r="AF46" s="13"/>
      <c r="AG46" s="13"/>
    </row>
    <row r="47" spans="1:33" ht="15.75" x14ac:dyDescent="0.25">
      <c r="A47" s="11"/>
      <c r="B47" s="12"/>
      <c r="C47" s="44" t="s">
        <v>180</v>
      </c>
      <c r="D47" s="44" t="s">
        <v>181</v>
      </c>
      <c r="E47" s="2">
        <v>6</v>
      </c>
      <c r="F47" s="2"/>
      <c r="G47" s="76">
        <f t="shared" si="14"/>
        <v>6</v>
      </c>
      <c r="H47" s="5">
        <v>4</v>
      </c>
      <c r="I47" s="5">
        <v>7</v>
      </c>
      <c r="J47" s="5">
        <v>1</v>
      </c>
      <c r="K47" s="5"/>
      <c r="L47" s="76">
        <f t="shared" si="15"/>
        <v>12</v>
      </c>
      <c r="M47" s="5">
        <v>8</v>
      </c>
      <c r="N47" s="5"/>
      <c r="O47" s="76">
        <f t="shared" si="16"/>
        <v>8</v>
      </c>
      <c r="P47" s="21">
        <v>7</v>
      </c>
      <c r="Q47" s="5">
        <v>13</v>
      </c>
      <c r="R47" s="5">
        <v>4</v>
      </c>
      <c r="S47" s="9"/>
      <c r="T47" s="76">
        <f t="shared" si="17"/>
        <v>24</v>
      </c>
      <c r="U47" s="2">
        <v>5</v>
      </c>
      <c r="V47" s="10">
        <v>5</v>
      </c>
      <c r="W47" s="76">
        <f t="shared" si="18"/>
        <v>10</v>
      </c>
      <c r="X47" s="76">
        <f t="shared" si="19"/>
        <v>60</v>
      </c>
      <c r="Y47" s="78">
        <f t="shared" si="20"/>
        <v>0</v>
      </c>
      <c r="Z47" s="78">
        <f t="shared" si="21"/>
        <v>43</v>
      </c>
      <c r="AA47" s="78">
        <f t="shared" si="22"/>
        <v>17</v>
      </c>
      <c r="AB47" s="78">
        <f t="shared" si="23"/>
        <v>0</v>
      </c>
      <c r="AC47" s="78" t="str">
        <f t="shared" si="24"/>
        <v>Y</v>
      </c>
      <c r="AD47" s="78" t="str">
        <f t="shared" si="25"/>
        <v>Y</v>
      </c>
      <c r="AE47" s="13"/>
      <c r="AF47" s="13"/>
      <c r="AG47" s="13"/>
    </row>
    <row r="48" spans="1:33" ht="15.75" x14ac:dyDescent="0.25">
      <c r="A48" s="11"/>
      <c r="B48" s="12"/>
      <c r="C48" s="44" t="s">
        <v>182</v>
      </c>
      <c r="D48" s="44" t="s">
        <v>183</v>
      </c>
      <c r="E48" s="2">
        <v>5</v>
      </c>
      <c r="F48" s="2"/>
      <c r="G48" s="76">
        <f t="shared" si="14"/>
        <v>5</v>
      </c>
      <c r="H48" s="5">
        <v>5</v>
      </c>
      <c r="I48" s="5">
        <v>6</v>
      </c>
      <c r="J48" s="5">
        <v>1</v>
      </c>
      <c r="K48" s="5"/>
      <c r="L48" s="76">
        <f t="shared" si="15"/>
        <v>12</v>
      </c>
      <c r="M48" s="5">
        <v>7</v>
      </c>
      <c r="N48" s="5"/>
      <c r="O48" s="76">
        <f t="shared" si="16"/>
        <v>7</v>
      </c>
      <c r="P48" s="21">
        <v>6</v>
      </c>
      <c r="Q48" s="5">
        <v>12</v>
      </c>
      <c r="R48" s="5">
        <v>5</v>
      </c>
      <c r="S48" s="9"/>
      <c r="T48" s="76">
        <f t="shared" si="17"/>
        <v>23</v>
      </c>
      <c r="U48" s="2">
        <v>5</v>
      </c>
      <c r="V48" s="10">
        <v>5</v>
      </c>
      <c r="W48" s="76">
        <f t="shared" si="18"/>
        <v>10</v>
      </c>
      <c r="X48" s="76">
        <f t="shared" si="19"/>
        <v>57</v>
      </c>
      <c r="Y48" s="78">
        <f t="shared" si="20"/>
        <v>0</v>
      </c>
      <c r="Z48" s="78">
        <f t="shared" si="21"/>
        <v>40</v>
      </c>
      <c r="AA48" s="78">
        <f t="shared" si="22"/>
        <v>17</v>
      </c>
      <c r="AB48" s="78">
        <f t="shared" si="23"/>
        <v>0</v>
      </c>
      <c r="AC48" s="78" t="str">
        <f t="shared" si="24"/>
        <v>Y</v>
      </c>
      <c r="AD48" s="78" t="str">
        <f t="shared" si="25"/>
        <v>Y</v>
      </c>
      <c r="AE48" s="13"/>
      <c r="AF48" s="13"/>
      <c r="AG48" s="13"/>
    </row>
    <row r="49" spans="1:33" ht="15.75" x14ac:dyDescent="0.25">
      <c r="A49" s="11"/>
      <c r="B49" s="12"/>
      <c r="C49" s="44" t="s">
        <v>184</v>
      </c>
      <c r="D49" s="44" t="s">
        <v>185</v>
      </c>
      <c r="E49" s="2">
        <v>6</v>
      </c>
      <c r="F49" s="2"/>
      <c r="G49" s="76">
        <f t="shared" si="14"/>
        <v>6</v>
      </c>
      <c r="H49" s="5">
        <v>6</v>
      </c>
      <c r="I49" s="5">
        <v>10</v>
      </c>
      <c r="J49" s="5">
        <v>1</v>
      </c>
      <c r="K49" s="5"/>
      <c r="L49" s="76">
        <f t="shared" si="15"/>
        <v>17</v>
      </c>
      <c r="M49" s="5">
        <v>8</v>
      </c>
      <c r="N49" s="5"/>
      <c r="O49" s="76">
        <f t="shared" si="16"/>
        <v>8</v>
      </c>
      <c r="P49" s="21">
        <v>7</v>
      </c>
      <c r="Q49" s="5">
        <v>13</v>
      </c>
      <c r="R49" s="5">
        <v>6</v>
      </c>
      <c r="S49" s="9"/>
      <c r="T49" s="76">
        <f t="shared" si="17"/>
        <v>26</v>
      </c>
      <c r="U49" s="2">
        <v>5</v>
      </c>
      <c r="V49" s="10">
        <v>5</v>
      </c>
      <c r="W49" s="76">
        <f t="shared" si="18"/>
        <v>10</v>
      </c>
      <c r="X49" s="76">
        <f t="shared" si="19"/>
        <v>67</v>
      </c>
      <c r="Y49" s="78">
        <f t="shared" si="20"/>
        <v>0</v>
      </c>
      <c r="Z49" s="78">
        <f t="shared" si="21"/>
        <v>48</v>
      </c>
      <c r="AA49" s="78">
        <f t="shared" si="22"/>
        <v>19</v>
      </c>
      <c r="AB49" s="78">
        <f t="shared" si="23"/>
        <v>0</v>
      </c>
      <c r="AC49" s="78" t="str">
        <f t="shared" si="24"/>
        <v>Y</v>
      </c>
      <c r="AD49" s="78" t="str">
        <f t="shared" si="25"/>
        <v>Y</v>
      </c>
      <c r="AE49" s="13"/>
      <c r="AF49" s="13"/>
      <c r="AG49" s="13"/>
    </row>
    <row r="50" spans="1:33" ht="15.75" x14ac:dyDescent="0.25">
      <c r="A50" s="11"/>
      <c r="B50" s="12"/>
      <c r="C50" s="44" t="s">
        <v>186</v>
      </c>
      <c r="D50" s="44" t="s">
        <v>187</v>
      </c>
      <c r="E50" s="2">
        <v>5</v>
      </c>
      <c r="F50" s="2"/>
      <c r="G50" s="76">
        <f t="shared" ref="G50:G54" si="26">SUM(C50:F50)</f>
        <v>5</v>
      </c>
      <c r="H50" s="5">
        <v>7</v>
      </c>
      <c r="I50" s="5">
        <v>14</v>
      </c>
      <c r="J50" s="5">
        <v>2</v>
      </c>
      <c r="K50" s="5"/>
      <c r="L50" s="76">
        <f t="shared" ref="L50:L54" si="27">SUM(H50:K50)</f>
        <v>23</v>
      </c>
      <c r="M50" s="5">
        <v>8</v>
      </c>
      <c r="N50" s="5"/>
      <c r="O50" s="76">
        <f t="shared" ref="O50:O54" si="28">SUM(M50:N50)</f>
        <v>8</v>
      </c>
      <c r="P50" s="21">
        <v>6</v>
      </c>
      <c r="Q50" s="5">
        <v>13</v>
      </c>
      <c r="R50" s="5">
        <v>6</v>
      </c>
      <c r="S50" s="9"/>
      <c r="T50" s="76">
        <f t="shared" ref="T50:T54" si="29">SUM(P50:S50)</f>
        <v>25</v>
      </c>
      <c r="U50" s="2">
        <v>5</v>
      </c>
      <c r="V50" s="10">
        <v>5</v>
      </c>
      <c r="W50" s="76">
        <f t="shared" ref="W50:W54" si="30">SUM(U50:V50)</f>
        <v>10</v>
      </c>
      <c r="X50" s="76">
        <f t="shared" ref="X50:X54" si="31">SUM(G50+L50+O50+T50+W50)</f>
        <v>71</v>
      </c>
      <c r="Y50" s="78">
        <f t="shared" si="20"/>
        <v>0</v>
      </c>
      <c r="Z50" s="78">
        <f t="shared" si="21"/>
        <v>52</v>
      </c>
      <c r="AA50" s="78">
        <f t="shared" si="22"/>
        <v>19</v>
      </c>
      <c r="AB50" s="78">
        <f t="shared" si="23"/>
        <v>0</v>
      </c>
      <c r="AC50" s="78" t="str">
        <f t="shared" si="24"/>
        <v>Y</v>
      </c>
      <c r="AD50" s="78" t="str">
        <f t="shared" si="25"/>
        <v>Y</v>
      </c>
      <c r="AE50" s="13"/>
      <c r="AF50" s="13"/>
      <c r="AG50" s="13"/>
    </row>
    <row r="51" spans="1:33" s="92" customFormat="1" ht="15.75" x14ac:dyDescent="0.25">
      <c r="A51" s="81"/>
      <c r="B51" s="82"/>
      <c r="C51" s="95" t="s">
        <v>188</v>
      </c>
      <c r="D51" s="95" t="s">
        <v>189</v>
      </c>
      <c r="E51" s="2">
        <v>4</v>
      </c>
      <c r="F51" s="2"/>
      <c r="G51" s="76">
        <f t="shared" si="26"/>
        <v>4</v>
      </c>
      <c r="H51" s="5">
        <v>5</v>
      </c>
      <c r="I51" s="5">
        <v>11</v>
      </c>
      <c r="J51" s="5">
        <v>3</v>
      </c>
      <c r="K51" s="5"/>
      <c r="L51" s="76">
        <f t="shared" si="27"/>
        <v>19</v>
      </c>
      <c r="M51" s="5">
        <v>6</v>
      </c>
      <c r="N51" s="5"/>
      <c r="O51" s="76">
        <f t="shared" si="28"/>
        <v>6</v>
      </c>
      <c r="P51" s="21">
        <v>7</v>
      </c>
      <c r="Q51" s="5">
        <v>13</v>
      </c>
      <c r="R51" s="5">
        <v>9</v>
      </c>
      <c r="S51" s="9"/>
      <c r="T51" s="76">
        <f t="shared" si="29"/>
        <v>29</v>
      </c>
      <c r="U51" s="2">
        <v>5</v>
      </c>
      <c r="V51" s="10">
        <v>5</v>
      </c>
      <c r="W51" s="76">
        <f t="shared" si="30"/>
        <v>10</v>
      </c>
      <c r="X51" s="76">
        <f t="shared" si="31"/>
        <v>68</v>
      </c>
      <c r="Y51" s="90">
        <f t="shared" si="20"/>
        <v>0</v>
      </c>
      <c r="Z51" s="90">
        <f t="shared" si="21"/>
        <v>48</v>
      </c>
      <c r="AA51" s="90">
        <f t="shared" si="22"/>
        <v>20</v>
      </c>
      <c r="AB51" s="90">
        <f t="shared" si="23"/>
        <v>0</v>
      </c>
      <c r="AC51" s="90" t="str">
        <f t="shared" si="24"/>
        <v>Y</v>
      </c>
      <c r="AD51" s="90" t="str">
        <f t="shared" si="25"/>
        <v>Y</v>
      </c>
      <c r="AE51" s="91"/>
      <c r="AF51" s="91"/>
      <c r="AG51" s="91"/>
    </row>
    <row r="52" spans="1:33" s="101" customFormat="1" ht="15.75" x14ac:dyDescent="0.25">
      <c r="A52" s="96"/>
      <c r="B52" s="97"/>
      <c r="C52" s="98" t="s">
        <v>190</v>
      </c>
      <c r="D52" s="98" t="s">
        <v>191</v>
      </c>
      <c r="E52" s="2">
        <v>7</v>
      </c>
      <c r="F52" s="2"/>
      <c r="G52" s="76">
        <f t="shared" si="26"/>
        <v>7</v>
      </c>
      <c r="H52" s="5">
        <v>6</v>
      </c>
      <c r="I52" s="5">
        <v>10</v>
      </c>
      <c r="J52" s="5">
        <v>1</v>
      </c>
      <c r="K52" s="5"/>
      <c r="L52" s="76">
        <f t="shared" si="27"/>
        <v>17</v>
      </c>
      <c r="M52" s="5">
        <v>7</v>
      </c>
      <c r="N52" s="5"/>
      <c r="O52" s="76">
        <f t="shared" si="28"/>
        <v>7</v>
      </c>
      <c r="P52" s="21">
        <v>7</v>
      </c>
      <c r="Q52" s="5">
        <v>13</v>
      </c>
      <c r="R52" s="5">
        <v>5</v>
      </c>
      <c r="S52" s="9"/>
      <c r="T52" s="76">
        <f t="shared" si="29"/>
        <v>25</v>
      </c>
      <c r="U52" s="2">
        <v>5</v>
      </c>
      <c r="V52" s="10">
        <v>5</v>
      </c>
      <c r="W52" s="76">
        <f t="shared" si="30"/>
        <v>10</v>
      </c>
      <c r="X52" s="76">
        <f t="shared" si="31"/>
        <v>66</v>
      </c>
      <c r="Y52" s="99">
        <f t="shared" si="20"/>
        <v>0</v>
      </c>
      <c r="Z52" s="99">
        <f t="shared" si="21"/>
        <v>49</v>
      </c>
      <c r="AA52" s="99">
        <f t="shared" si="22"/>
        <v>17</v>
      </c>
      <c r="AB52" s="99">
        <f t="shared" si="23"/>
        <v>0</v>
      </c>
      <c r="AC52" s="99" t="str">
        <f t="shared" si="24"/>
        <v>Y</v>
      </c>
      <c r="AD52" s="99" t="str">
        <f t="shared" si="25"/>
        <v>Y</v>
      </c>
      <c r="AE52" s="100"/>
      <c r="AF52" s="100"/>
      <c r="AG52" s="100"/>
    </row>
    <row r="53" spans="1:33" ht="15.75" x14ac:dyDescent="0.25">
      <c r="A53" s="11"/>
      <c r="B53" s="12"/>
      <c r="C53" s="44" t="s">
        <v>192</v>
      </c>
      <c r="D53" s="44" t="s">
        <v>193</v>
      </c>
      <c r="E53" s="2">
        <v>7</v>
      </c>
      <c r="F53" s="2"/>
      <c r="G53" s="76">
        <f t="shared" si="26"/>
        <v>7</v>
      </c>
      <c r="H53" s="5">
        <v>6</v>
      </c>
      <c r="I53" s="5">
        <v>16</v>
      </c>
      <c r="J53" s="5">
        <v>3</v>
      </c>
      <c r="K53" s="5"/>
      <c r="L53" s="76">
        <f t="shared" si="27"/>
        <v>25</v>
      </c>
      <c r="M53" s="197">
        <v>8</v>
      </c>
      <c r="N53" s="5"/>
      <c r="O53" s="76">
        <f t="shared" si="28"/>
        <v>8</v>
      </c>
      <c r="P53" s="21">
        <v>7</v>
      </c>
      <c r="Q53" s="5">
        <v>13</v>
      </c>
      <c r="R53" s="5">
        <v>7</v>
      </c>
      <c r="S53" s="9"/>
      <c r="T53" s="76">
        <f t="shared" si="29"/>
        <v>27</v>
      </c>
      <c r="U53" s="2">
        <v>5</v>
      </c>
      <c r="V53" s="10">
        <v>5</v>
      </c>
      <c r="W53" s="76">
        <f t="shared" si="30"/>
        <v>10</v>
      </c>
      <c r="X53" s="76">
        <f t="shared" si="31"/>
        <v>77</v>
      </c>
      <c r="Y53" s="78">
        <f t="shared" si="20"/>
        <v>0</v>
      </c>
      <c r="Z53" s="78">
        <f t="shared" si="21"/>
        <v>57</v>
      </c>
      <c r="AA53" s="78">
        <f t="shared" si="22"/>
        <v>20</v>
      </c>
      <c r="AB53" s="78">
        <f t="shared" si="23"/>
        <v>0</v>
      </c>
      <c r="AC53" s="78" t="str">
        <f t="shared" si="24"/>
        <v>Y</v>
      </c>
      <c r="AD53" s="78" t="str">
        <f t="shared" si="25"/>
        <v>Y</v>
      </c>
      <c r="AE53" s="13"/>
      <c r="AF53" s="13"/>
      <c r="AG53" s="13"/>
    </row>
    <row r="54" spans="1:33" ht="15.75" x14ac:dyDescent="0.25">
      <c r="A54" s="11"/>
      <c r="B54" s="12"/>
      <c r="C54" s="44" t="s">
        <v>194</v>
      </c>
      <c r="D54" s="44" t="s">
        <v>195</v>
      </c>
      <c r="E54" s="196">
        <v>7</v>
      </c>
      <c r="F54" s="2"/>
      <c r="G54" s="76">
        <f t="shared" si="26"/>
        <v>7</v>
      </c>
      <c r="H54" s="5">
        <v>5</v>
      </c>
      <c r="I54" s="5">
        <v>13</v>
      </c>
      <c r="J54" s="5">
        <v>3</v>
      </c>
      <c r="K54" s="5"/>
      <c r="L54" s="76">
        <f t="shared" si="27"/>
        <v>21</v>
      </c>
      <c r="M54" s="5">
        <v>9</v>
      </c>
      <c r="N54" s="5"/>
      <c r="O54" s="76">
        <f t="shared" si="28"/>
        <v>9</v>
      </c>
      <c r="P54" s="21">
        <v>7</v>
      </c>
      <c r="Q54" s="5">
        <v>11</v>
      </c>
      <c r="R54" s="5">
        <v>8</v>
      </c>
      <c r="S54" s="9"/>
      <c r="T54" s="76">
        <f t="shared" si="29"/>
        <v>26</v>
      </c>
      <c r="U54" s="2">
        <v>5</v>
      </c>
      <c r="V54" s="10">
        <v>5</v>
      </c>
      <c r="W54" s="76">
        <f t="shared" si="30"/>
        <v>10</v>
      </c>
      <c r="X54" s="76">
        <f t="shared" si="31"/>
        <v>73</v>
      </c>
      <c r="Y54" s="78">
        <f>SUMIF($E$12:$V$12,$Y$11,E54:V54)</f>
        <v>0</v>
      </c>
      <c r="Z54" s="78">
        <f>SUMIF($E$12:$V$12,$Z$11,E54:V54)</f>
        <v>51</v>
      </c>
      <c r="AA54" s="78">
        <f>SUMIF($E$12:$V$12,$AA$11,E54:V54)</f>
        <v>22</v>
      </c>
      <c r="AB54" s="78">
        <f t="shared" si="23"/>
        <v>0</v>
      </c>
      <c r="AC54" s="78" t="str">
        <f t="shared" si="24"/>
        <v>Y</v>
      </c>
      <c r="AD54" s="78" t="str">
        <f t="shared" si="25"/>
        <v>Y</v>
      </c>
      <c r="AE54" s="13"/>
      <c r="AF54" s="13"/>
      <c r="AG54" s="13"/>
    </row>
    <row r="55" spans="1:33" ht="15.75" x14ac:dyDescent="0.25">
      <c r="A55" s="11"/>
      <c r="B55" s="12"/>
      <c r="C55" s="42" t="s">
        <v>196</v>
      </c>
      <c r="D55" s="42" t="s">
        <v>197</v>
      </c>
      <c r="E55" s="2">
        <v>5</v>
      </c>
      <c r="F55" s="2"/>
      <c r="G55" s="76">
        <f t="shared" ref="G39:G55" si="32">SUM(C55:F55)</f>
        <v>5</v>
      </c>
      <c r="H55" s="5">
        <v>1.5</v>
      </c>
      <c r="I55" s="5">
        <v>2</v>
      </c>
      <c r="J55" s="5">
        <v>0</v>
      </c>
      <c r="K55" s="5"/>
      <c r="L55" s="76">
        <f t="shared" ref="L39:L55" si="33">SUM(H55:K55)</f>
        <v>3.5</v>
      </c>
      <c r="M55" s="5">
        <v>7</v>
      </c>
      <c r="N55" s="5"/>
      <c r="O55" s="76">
        <f t="shared" ref="O39:O55" si="34">SUM(M55:N55)</f>
        <v>7</v>
      </c>
      <c r="P55" s="21">
        <v>7</v>
      </c>
      <c r="Q55" s="5">
        <v>6</v>
      </c>
      <c r="R55" s="5">
        <v>3</v>
      </c>
      <c r="S55" s="9"/>
      <c r="T55" s="76">
        <f t="shared" ref="T39:T55" si="35">SUM(P55:S55)</f>
        <v>16</v>
      </c>
      <c r="U55" s="2">
        <v>5</v>
      </c>
      <c r="V55" s="10">
        <v>5</v>
      </c>
      <c r="W55" s="76">
        <f t="shared" ref="W39:W55" si="36">SUM(U55:V55)</f>
        <v>10</v>
      </c>
      <c r="X55" s="76">
        <f t="shared" ref="X39:X55" si="37">SUM(G55+L55+O55+T55+W55)</f>
        <v>41.5</v>
      </c>
      <c r="Y55" s="78">
        <f t="shared" si="20"/>
        <v>0</v>
      </c>
      <c r="Z55" s="78">
        <f t="shared" si="21"/>
        <v>26.5</v>
      </c>
      <c r="AA55" s="78">
        <f t="shared" si="22"/>
        <v>15</v>
      </c>
      <c r="AB55" s="78">
        <f t="shared" si="23"/>
        <v>0</v>
      </c>
      <c r="AC55" s="78" t="str">
        <f t="shared" si="24"/>
        <v>N</v>
      </c>
      <c r="AD55" s="78" t="str">
        <f t="shared" si="25"/>
        <v>Y</v>
      </c>
      <c r="AE55" s="13"/>
      <c r="AF55" s="13"/>
      <c r="AG55" s="13"/>
    </row>
    <row r="56" spans="1:33" ht="15.75" x14ac:dyDescent="0.25">
      <c r="A56" s="14"/>
      <c r="B56" s="15"/>
      <c r="C56" s="48"/>
      <c r="D56" s="46"/>
      <c r="E56" s="46"/>
      <c r="F56" s="47"/>
      <c r="G56" s="47"/>
      <c r="H56" s="48"/>
      <c r="I56" s="48"/>
      <c r="J56" s="48"/>
      <c r="K56" s="48"/>
      <c r="L56" s="48"/>
      <c r="M56" s="48"/>
      <c r="N56" s="48"/>
      <c r="O56" s="48"/>
      <c r="P56" s="49"/>
      <c r="Q56" s="48"/>
      <c r="R56" s="48"/>
      <c r="S56" s="50"/>
      <c r="T56" s="50"/>
      <c r="U56" s="50"/>
      <c r="V56" s="50"/>
      <c r="W56" s="50"/>
      <c r="X56" s="51"/>
      <c r="Y56" s="51"/>
      <c r="Z56" s="51"/>
      <c r="AA56" s="51"/>
      <c r="AB56" s="52"/>
      <c r="AC56" s="52"/>
      <c r="AD56" s="52"/>
      <c r="AE56" s="13"/>
      <c r="AF56" s="13"/>
      <c r="AG56" s="13"/>
    </row>
    <row r="57" spans="1:33" ht="15.75" x14ac:dyDescent="0.25">
      <c r="A57" s="14"/>
      <c r="B57" s="15"/>
      <c r="C57" s="141" t="s">
        <v>49</v>
      </c>
      <c r="D57" s="142"/>
      <c r="E57" s="143"/>
      <c r="F57" s="79" t="str">
        <f>Y11</f>
        <v>PLO1</v>
      </c>
      <c r="G57" s="80">
        <f>COUNTIF($AB$13:$AB$55,"Y")</f>
        <v>0</v>
      </c>
      <c r="H57" s="80">
        <f>COUNTIF($AB$13:$AB$55,"N")</f>
        <v>0</v>
      </c>
      <c r="J57" s="48"/>
      <c r="K57" s="48"/>
      <c r="L57" s="48"/>
      <c r="M57" s="48"/>
      <c r="N57" s="48"/>
      <c r="O57" s="48"/>
      <c r="P57" s="49"/>
      <c r="Q57" s="48"/>
      <c r="R57" s="48"/>
      <c r="S57" s="50"/>
      <c r="T57" s="50"/>
      <c r="U57" s="50"/>
      <c r="V57" s="50"/>
      <c r="W57" s="50"/>
      <c r="X57" s="51"/>
      <c r="Y57" s="51"/>
      <c r="Z57" s="51"/>
      <c r="AA57" s="51"/>
      <c r="AB57" s="52"/>
      <c r="AC57" s="52"/>
      <c r="AD57" s="52"/>
      <c r="AE57" s="13"/>
      <c r="AF57" s="13"/>
      <c r="AG57" s="13"/>
    </row>
    <row r="58" spans="1:33" x14ac:dyDescent="0.25">
      <c r="A58" s="14"/>
      <c r="B58" s="15"/>
      <c r="C58" s="144"/>
      <c r="D58" s="145"/>
      <c r="E58" s="146"/>
      <c r="F58" s="79" t="str">
        <f>Z11</f>
        <v>PLO2</v>
      </c>
      <c r="G58" s="80">
        <f>COUNTIF($AC$13:$AC$55,"Y")</f>
        <v>33</v>
      </c>
      <c r="H58" s="80">
        <f>COUNTIF($AC$13:$AC$55,"N")</f>
        <v>10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 spans="1:33" x14ac:dyDescent="0.25">
      <c r="A59" s="14"/>
      <c r="B59" s="15"/>
      <c r="C59" s="147"/>
      <c r="D59" s="148"/>
      <c r="E59" s="149"/>
      <c r="F59" s="79" t="str">
        <f>AA11</f>
        <v>PLO3</v>
      </c>
      <c r="G59" s="80">
        <f>COUNTIF($AD$13:$AD$55,"Y")</f>
        <v>36</v>
      </c>
      <c r="H59" s="80">
        <f>COUNTIF($AD$13:$AD$55,"N")</f>
        <v>7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x14ac:dyDescent="0.25">
      <c r="A60" s="17">
        <v>9</v>
      </c>
      <c r="B60" s="18" t="s">
        <v>23</v>
      </c>
      <c r="C60" s="13"/>
      <c r="D60" s="16"/>
      <c r="E60" s="16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 spans="1:33" ht="33.950000000000003" customHeight="1" x14ac:dyDescent="0.25">
      <c r="A61" s="17">
        <v>10</v>
      </c>
      <c r="B61" s="18" t="s">
        <v>24</v>
      </c>
      <c r="C61" s="13"/>
      <c r="D61" s="16"/>
      <c r="E61" s="16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 spans="1:33" x14ac:dyDescent="0.25">
      <c r="A62" s="17">
        <v>11</v>
      </c>
      <c r="B62" s="18" t="s">
        <v>25</v>
      </c>
      <c r="C62" s="13"/>
      <c r="D62" s="16"/>
      <c r="E62" s="16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 spans="1:33" ht="31.5" customHeight="1" x14ac:dyDescent="0.25">
      <c r="A63" s="17">
        <v>12</v>
      </c>
      <c r="B63" s="18" t="s">
        <v>26</v>
      </c>
      <c r="C63" s="13"/>
      <c r="D63" s="16"/>
      <c r="E63" s="16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 spans="1:33" x14ac:dyDescent="0.25">
      <c r="A64" s="17">
        <v>13</v>
      </c>
      <c r="B64" s="18" t="s">
        <v>27</v>
      </c>
      <c r="C64" s="13"/>
      <c r="D64" s="16"/>
      <c r="E64" s="16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 spans="1:33" x14ac:dyDescent="0.25">
      <c r="A65" s="17">
        <v>14</v>
      </c>
      <c r="B65" s="18" t="s">
        <v>28</v>
      </c>
      <c r="C65" s="13"/>
      <c r="D65" s="16"/>
      <c r="E65" s="16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 spans="1:33" x14ac:dyDescent="0.25">
      <c r="A66" s="17">
        <v>15</v>
      </c>
      <c r="B66" s="18" t="s">
        <v>29</v>
      </c>
      <c r="C66" s="13"/>
      <c r="D66" s="16"/>
      <c r="E66" s="16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 spans="1:33" ht="32.1" customHeight="1" x14ac:dyDescent="0.25">
      <c r="A67" s="17">
        <v>16</v>
      </c>
      <c r="B67" s="18" t="s">
        <v>30</v>
      </c>
      <c r="C67" s="13"/>
      <c r="D67" s="16"/>
      <c r="E67" s="16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 spans="1:33" x14ac:dyDescent="0.25">
      <c r="A68" s="17">
        <v>17</v>
      </c>
      <c r="B68" s="18" t="s">
        <v>31</v>
      </c>
      <c r="C68" s="13"/>
      <c r="D68" s="16"/>
      <c r="E68" s="16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 spans="1:33" x14ac:dyDescent="0.25">
      <c r="A69" s="17">
        <v>18</v>
      </c>
      <c r="B69" s="18" t="s">
        <v>32</v>
      </c>
      <c r="C69" s="13"/>
      <c r="AE69" s="13"/>
      <c r="AF69" s="13"/>
      <c r="AG69" s="13"/>
    </row>
    <row r="70" spans="1:33" x14ac:dyDescent="0.25">
      <c r="A70" s="17">
        <v>19</v>
      </c>
      <c r="B70" s="18" t="s">
        <v>33</v>
      </c>
      <c r="C70" s="13"/>
      <c r="AE70" s="13"/>
      <c r="AF70" s="13"/>
      <c r="AG70" s="13"/>
    </row>
    <row r="71" spans="1:33" x14ac:dyDescent="0.25">
      <c r="A71" s="17">
        <v>20</v>
      </c>
      <c r="B71" s="18" t="s">
        <v>34</v>
      </c>
      <c r="C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 spans="1:33" x14ac:dyDescent="0.25">
      <c r="A72" s="17">
        <v>21</v>
      </c>
      <c r="B72" s="18" t="s">
        <v>35</v>
      </c>
      <c r="C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 spans="1:33" x14ac:dyDescent="0.25">
      <c r="A73" s="17">
        <v>22</v>
      </c>
      <c r="B73" s="18" t="s">
        <v>36</v>
      </c>
      <c r="C73" s="13"/>
      <c r="D73" s="53" t="str">
        <f>'Result Sheet'!A71</f>
        <v>Teacher Incharge Signature</v>
      </c>
      <c r="E73" s="5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16" t="str">
        <f>'Result Sheet'!D71</f>
        <v>Incharge Department Signature</v>
      </c>
      <c r="W73" s="116"/>
      <c r="X73" s="116"/>
      <c r="Y73" s="116"/>
      <c r="Z73" s="116"/>
      <c r="AA73" s="116"/>
      <c r="AB73" s="116"/>
      <c r="AC73" s="53"/>
      <c r="AD73" s="53"/>
      <c r="AE73" s="13"/>
      <c r="AF73" s="13"/>
      <c r="AG73" s="13"/>
    </row>
    <row r="74" spans="1:33" x14ac:dyDescent="0.25">
      <c r="A74" s="17">
        <v>23</v>
      </c>
      <c r="B74" s="18" t="s">
        <v>37</v>
      </c>
      <c r="C74" s="13"/>
      <c r="D74" s="13" t="str">
        <f>J5</f>
        <v>Mr. Abdul Basit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66" t="s">
        <v>202</v>
      </c>
      <c r="W74" s="166"/>
      <c r="X74" s="166"/>
      <c r="Y74" s="166"/>
      <c r="Z74" s="166"/>
      <c r="AA74" s="166"/>
      <c r="AB74" s="166"/>
      <c r="AC74" s="13"/>
      <c r="AD74" s="13"/>
      <c r="AE74" s="13"/>
      <c r="AF74" s="13"/>
      <c r="AG74" s="13"/>
    </row>
    <row r="75" spans="1:33" x14ac:dyDescent="0.25">
      <c r="A75" s="17">
        <v>24</v>
      </c>
      <c r="B75" s="18" t="s">
        <v>38</v>
      </c>
      <c r="C75" s="13"/>
      <c r="D75" s="16"/>
      <c r="E75" s="16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 spans="1:33" x14ac:dyDescent="0.25">
      <c r="A76" s="17">
        <v>25</v>
      </c>
      <c r="B76" s="18" t="s">
        <v>39</v>
      </c>
      <c r="C76" s="13"/>
      <c r="D76" s="16"/>
      <c r="E76" s="16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 spans="1:33" ht="15.75" thickBot="1" x14ac:dyDescent="0.3">
      <c r="A77" s="19">
        <v>26</v>
      </c>
      <c r="B77" s="20" t="s">
        <v>40</v>
      </c>
      <c r="C77" s="13"/>
      <c r="D77" s="16"/>
      <c r="E77" s="16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 spans="1:33" x14ac:dyDescent="0.25">
      <c r="D78" s="16"/>
      <c r="E78" s="16"/>
    </row>
    <row r="79" spans="1:33" x14ac:dyDescent="0.25">
      <c r="D79" s="16"/>
      <c r="E79" s="16"/>
    </row>
    <row r="80" spans="1:33" x14ac:dyDescent="0.25">
      <c r="D80" s="16"/>
      <c r="E80" s="16"/>
    </row>
    <row r="81" spans="4:5" x14ac:dyDescent="0.25">
      <c r="D81" s="16"/>
      <c r="E81" s="16"/>
    </row>
    <row r="82" spans="4:5" x14ac:dyDescent="0.25">
      <c r="D82" s="16"/>
      <c r="E82" s="16"/>
    </row>
    <row r="83" spans="4:5" x14ac:dyDescent="0.25">
      <c r="D83" s="16"/>
      <c r="E83" s="16"/>
    </row>
    <row r="84" spans="4:5" x14ac:dyDescent="0.25">
      <c r="D84" s="16"/>
      <c r="E84" s="16"/>
    </row>
    <row r="85" spans="4:5" x14ac:dyDescent="0.25">
      <c r="D85" s="16"/>
      <c r="E85" s="16"/>
    </row>
    <row r="86" spans="4:5" x14ac:dyDescent="0.25">
      <c r="D86" s="16"/>
      <c r="E86" s="16"/>
    </row>
    <row r="87" spans="4:5" x14ac:dyDescent="0.25">
      <c r="D87" s="16"/>
      <c r="E87" s="16"/>
    </row>
    <row r="88" spans="4:5" x14ac:dyDescent="0.25">
      <c r="D88" s="16"/>
      <c r="E88" s="16"/>
    </row>
  </sheetData>
  <protectedRanges>
    <protectedRange sqref="F10:F12 N10:N12 E13:F13 H10:K13 M13:N13 P10:S13 U10:V13 E55:F55 H55:K55 M55:N55 P55:S55 U55:V55" name="questions maping clo plo"/>
    <protectedRange sqref="C3:L6" name="Course Information"/>
    <protectedRange sqref="Y11:AA11" name="plo assesment"/>
    <protectedRange sqref="E10:E12" name="questions maping clo plo_1"/>
    <protectedRange sqref="M10:M12" name="questions maping clo plo_2"/>
    <protectedRange sqref="E14:F54 H14:K54 M14:N54 P14:S54 U14:V54" name="questions maping clo plo_3"/>
  </protectedRanges>
  <mergeCells count="35">
    <mergeCell ref="AA7:AD8"/>
    <mergeCell ref="C9:D9"/>
    <mergeCell ref="C10:D10"/>
    <mergeCell ref="C11:D11"/>
    <mergeCell ref="V74:AB74"/>
    <mergeCell ref="U9:W9"/>
    <mergeCell ref="P9:T9"/>
    <mergeCell ref="H9:L9"/>
    <mergeCell ref="M9:O9"/>
    <mergeCell ref="AB9:AD9"/>
    <mergeCell ref="X10:X12"/>
    <mergeCell ref="O11:O12"/>
    <mergeCell ref="T11:T12"/>
    <mergeCell ref="W11:W12"/>
    <mergeCell ref="C1:AD1"/>
    <mergeCell ref="C2:AD2"/>
    <mergeCell ref="Y9:AA9"/>
    <mergeCell ref="V73:AB73"/>
    <mergeCell ref="C5:C6"/>
    <mergeCell ref="D5:G5"/>
    <mergeCell ref="H5:I6"/>
    <mergeCell ref="J5:L6"/>
    <mergeCell ref="E6:G6"/>
    <mergeCell ref="A7:D8"/>
    <mergeCell ref="A9:A12"/>
    <mergeCell ref="B9:B12"/>
    <mergeCell ref="C57:E59"/>
    <mergeCell ref="E9:G9"/>
    <mergeCell ref="D3:G3"/>
    <mergeCell ref="H3:I4"/>
    <mergeCell ref="J3:L3"/>
    <mergeCell ref="D4:G4"/>
    <mergeCell ref="J4:L4"/>
    <mergeCell ref="G11:G12"/>
    <mergeCell ref="L11:L12"/>
  </mergeCells>
  <phoneticPr fontId="19" type="noConversion"/>
  <pageMargins left="0.25" right="0.25" top="0.5" bottom="0.7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8A53-F419-41AF-A0DD-C1E5005317A3}">
  <dimension ref="A1:M72"/>
  <sheetViews>
    <sheetView topLeftCell="A2" zoomScaleNormal="100" workbookViewId="0">
      <selection activeCell="D27" sqref="D27"/>
    </sheetView>
  </sheetViews>
  <sheetFormatPr defaultColWidth="19.140625" defaultRowHeight="15" x14ac:dyDescent="0.25"/>
  <cols>
    <col min="1" max="1" width="13" customWidth="1"/>
    <col min="2" max="2" width="28.42578125" customWidth="1"/>
    <col min="3" max="3" width="9.5703125" customWidth="1"/>
    <col min="4" max="4" width="9.42578125" customWidth="1"/>
    <col min="5" max="5" width="10.7109375" customWidth="1"/>
    <col min="6" max="6" width="10" customWidth="1"/>
    <col min="7" max="9" width="8.7109375" customWidth="1"/>
    <col min="10" max="10" width="7.7109375" customWidth="1"/>
  </cols>
  <sheetData>
    <row r="1" spans="1:10" ht="15" customHeight="1" x14ac:dyDescent="0.25">
      <c r="A1" s="174" t="s">
        <v>50</v>
      </c>
      <c r="B1" s="175"/>
      <c r="C1" s="175"/>
      <c r="D1" s="175"/>
      <c r="E1" s="175"/>
      <c r="F1" s="175"/>
      <c r="G1" s="175"/>
      <c r="H1" s="175"/>
      <c r="I1" s="175"/>
      <c r="J1" s="176"/>
    </row>
    <row r="2" spans="1:10" x14ac:dyDescent="0.25">
      <c r="A2" s="117" t="s">
        <v>51</v>
      </c>
      <c r="B2" s="102"/>
      <c r="C2" s="102"/>
      <c r="D2" s="102"/>
      <c r="E2" s="102"/>
      <c r="F2" s="102"/>
      <c r="G2" s="102"/>
      <c r="H2" s="102"/>
      <c r="I2" s="102"/>
      <c r="J2" s="177"/>
    </row>
    <row r="3" spans="1:10" x14ac:dyDescent="0.25">
      <c r="A3" s="23" t="s">
        <v>52</v>
      </c>
      <c r="B3" s="105" t="str">
        <f>'OBE Sheet'!D3</f>
        <v>BS Computer Science</v>
      </c>
      <c r="C3" s="153"/>
      <c r="D3" s="153"/>
      <c r="E3" s="154"/>
      <c r="F3" s="122" t="s">
        <v>53</v>
      </c>
      <c r="G3" s="123"/>
      <c r="H3" s="102" t="str">
        <f>'OBE Sheet'!J3</f>
        <v>3rd  Semester</v>
      </c>
      <c r="I3" s="103"/>
      <c r="J3" s="104"/>
    </row>
    <row r="4" spans="1:10" ht="12.75" customHeight="1" x14ac:dyDescent="0.25">
      <c r="A4" s="23" t="s">
        <v>54</v>
      </c>
      <c r="B4" s="105" t="str">
        <f>'OBE Sheet'!D4</f>
        <v>Fall 2023 Section-B (Morning)</v>
      </c>
      <c r="C4" s="106"/>
      <c r="D4" s="106"/>
      <c r="E4" s="107"/>
      <c r="F4" s="155"/>
      <c r="G4" s="156"/>
      <c r="H4" s="102" t="str">
        <f>'OBE Sheet'!J4</f>
        <v>Fall 2024</v>
      </c>
      <c r="I4" s="103"/>
      <c r="J4" s="104"/>
    </row>
    <row r="5" spans="1:10" ht="12.75" customHeight="1" x14ac:dyDescent="0.25">
      <c r="A5" s="117" t="s">
        <v>55</v>
      </c>
      <c r="B5" s="119" t="str">
        <f>'OBE Sheet'!D5</f>
        <v>Title (Code): Software Engineering (CS-234)</v>
      </c>
      <c r="C5" s="120"/>
      <c r="D5" s="120"/>
      <c r="E5" s="121"/>
      <c r="F5" s="122" t="s">
        <v>56</v>
      </c>
      <c r="G5" s="123"/>
      <c r="H5" s="179" t="str">
        <f>'OBE Sheet'!J5</f>
        <v>Mr. Abdul Basit</v>
      </c>
      <c r="I5" s="180"/>
      <c r="J5" s="181"/>
    </row>
    <row r="6" spans="1:10" ht="12.75" customHeight="1" thickBot="1" x14ac:dyDescent="0.3">
      <c r="A6" s="118"/>
      <c r="B6" s="65" t="s">
        <v>57</v>
      </c>
      <c r="C6" s="132" t="str">
        <f>'OBE Sheet'!E6</f>
        <v>3 Theory</v>
      </c>
      <c r="D6" s="133"/>
      <c r="E6" s="134"/>
      <c r="F6" s="124"/>
      <c r="G6" s="125"/>
      <c r="H6" s="182"/>
      <c r="I6" s="183"/>
      <c r="J6" s="184"/>
    </row>
    <row r="7" spans="1:10" ht="12.95" customHeight="1" x14ac:dyDescent="0.25">
      <c r="A7" s="61"/>
      <c r="B7" s="61"/>
      <c r="C7" s="61"/>
      <c r="D7" s="61"/>
      <c r="E7" s="61"/>
      <c r="F7" s="61"/>
      <c r="G7" s="61"/>
      <c r="H7" s="185"/>
      <c r="I7" s="185"/>
      <c r="J7" s="185"/>
    </row>
    <row r="8" spans="1:10" ht="12.95" customHeight="1" x14ac:dyDescent="0.25">
      <c r="A8" s="26"/>
      <c r="B8" s="26"/>
      <c r="C8" s="26"/>
      <c r="D8" s="26"/>
      <c r="E8" s="26"/>
      <c r="F8" s="26"/>
      <c r="G8" s="26"/>
      <c r="H8" s="27" t="s">
        <v>58</v>
      </c>
      <c r="I8" s="27" t="s">
        <v>59</v>
      </c>
      <c r="J8" s="28" t="s">
        <v>60</v>
      </c>
    </row>
    <row r="9" spans="1:10" ht="12.95" customHeight="1" x14ac:dyDescent="0.25">
      <c r="A9" s="26"/>
      <c r="B9" s="26"/>
      <c r="C9" s="26"/>
      <c r="D9" s="26"/>
      <c r="E9" s="26"/>
      <c r="F9" s="26"/>
      <c r="G9" s="26"/>
      <c r="H9" s="29">
        <v>0</v>
      </c>
      <c r="I9" s="30" t="s">
        <v>61</v>
      </c>
      <c r="J9" s="30">
        <f t="shared" ref="J9:J20" si="0">COUNTIF($J$25:$J$73,I9)</f>
        <v>6</v>
      </c>
    </row>
    <row r="10" spans="1:10" ht="12.95" customHeight="1" x14ac:dyDescent="0.25">
      <c r="A10" s="26"/>
      <c r="B10" s="26"/>
      <c r="C10" s="26"/>
      <c r="D10" s="26"/>
      <c r="E10" s="26"/>
      <c r="F10" s="26"/>
      <c r="G10" s="26"/>
      <c r="H10" s="29">
        <v>33</v>
      </c>
      <c r="I10" s="30" t="s">
        <v>62</v>
      </c>
      <c r="J10" s="30">
        <f t="shared" ref="J10" si="1">COUNTIF($J$25:$J$73,I10)</f>
        <v>0</v>
      </c>
    </row>
    <row r="11" spans="1:10" ht="12.95" customHeight="1" x14ac:dyDescent="0.25">
      <c r="A11" s="26"/>
      <c r="B11" s="26"/>
      <c r="C11" s="26"/>
      <c r="D11" s="26"/>
      <c r="E11" s="26"/>
      <c r="F11" s="26"/>
      <c r="G11" s="26"/>
      <c r="H11" s="29">
        <v>34</v>
      </c>
      <c r="I11" s="30" t="s">
        <v>203</v>
      </c>
      <c r="J11" s="30">
        <f t="shared" si="0"/>
        <v>0</v>
      </c>
    </row>
    <row r="12" spans="1:10" ht="12.95" customHeight="1" x14ac:dyDescent="0.25">
      <c r="A12" s="26"/>
      <c r="B12" s="26"/>
      <c r="C12" s="26"/>
      <c r="D12" s="26"/>
      <c r="E12" s="26"/>
      <c r="F12" s="26"/>
      <c r="G12" s="26"/>
      <c r="H12" s="29">
        <v>36</v>
      </c>
      <c r="I12" s="30" t="s">
        <v>63</v>
      </c>
      <c r="J12" s="30">
        <f t="shared" si="0"/>
        <v>0</v>
      </c>
    </row>
    <row r="13" spans="1:10" ht="12.95" customHeight="1" x14ac:dyDescent="0.25">
      <c r="A13" s="26"/>
      <c r="B13" s="26"/>
      <c r="C13" s="26"/>
      <c r="D13" s="26"/>
      <c r="E13" s="26"/>
      <c r="F13" s="26"/>
      <c r="G13" s="26"/>
      <c r="H13" s="29">
        <v>38</v>
      </c>
      <c r="I13" s="30" t="s">
        <v>64</v>
      </c>
      <c r="J13" s="30">
        <f t="shared" si="0"/>
        <v>0</v>
      </c>
    </row>
    <row r="14" spans="1:10" ht="12.95" customHeight="1" x14ac:dyDescent="0.25">
      <c r="A14" s="26"/>
      <c r="B14" s="26"/>
      <c r="C14" s="26"/>
      <c r="D14" s="26"/>
      <c r="E14" s="26"/>
      <c r="F14" s="26"/>
      <c r="G14" s="26"/>
      <c r="H14" s="29">
        <v>40</v>
      </c>
      <c r="I14" s="30" t="s">
        <v>65</v>
      </c>
      <c r="J14" s="30">
        <f t="shared" si="0"/>
        <v>1</v>
      </c>
    </row>
    <row r="15" spans="1:10" ht="12.95" customHeight="1" x14ac:dyDescent="0.25">
      <c r="A15" s="26"/>
      <c r="B15" s="26"/>
      <c r="C15" s="26"/>
      <c r="D15" s="26"/>
      <c r="E15" s="26"/>
      <c r="F15" s="26"/>
      <c r="G15" s="26"/>
      <c r="H15" s="29">
        <v>45</v>
      </c>
      <c r="I15" s="30" t="s">
        <v>66</v>
      </c>
      <c r="J15" s="30">
        <f t="shared" si="0"/>
        <v>2</v>
      </c>
    </row>
    <row r="16" spans="1:10" ht="12.95" customHeight="1" x14ac:dyDescent="0.25">
      <c r="A16" s="26"/>
      <c r="B16" s="26"/>
      <c r="C16" s="26"/>
      <c r="D16" s="26"/>
      <c r="E16" s="26"/>
      <c r="F16" s="26"/>
      <c r="G16" s="26"/>
      <c r="H16" s="29">
        <v>50</v>
      </c>
      <c r="I16" s="30" t="s">
        <v>67</v>
      </c>
      <c r="J16" s="30">
        <f t="shared" si="0"/>
        <v>9</v>
      </c>
    </row>
    <row r="17" spans="1:10" ht="12.95" customHeight="1" x14ac:dyDescent="0.25">
      <c r="A17" s="26"/>
      <c r="B17" s="26"/>
      <c r="C17" s="26"/>
      <c r="D17" s="26"/>
      <c r="E17" s="26"/>
      <c r="F17" s="26"/>
      <c r="G17" s="26"/>
      <c r="H17" s="29">
        <v>60</v>
      </c>
      <c r="I17" s="30" t="s">
        <v>68</v>
      </c>
      <c r="J17" s="30">
        <f t="shared" si="0"/>
        <v>13</v>
      </c>
    </row>
    <row r="18" spans="1:10" ht="12.95" customHeight="1" x14ac:dyDescent="0.25">
      <c r="A18" s="26"/>
      <c r="B18" s="26"/>
      <c r="C18" s="26"/>
      <c r="D18" s="26"/>
      <c r="E18" s="26"/>
      <c r="F18" s="26"/>
      <c r="G18" s="26"/>
      <c r="H18" s="29">
        <v>70</v>
      </c>
      <c r="I18" s="30" t="s">
        <v>69</v>
      </c>
      <c r="J18" s="30">
        <f t="shared" si="0"/>
        <v>10</v>
      </c>
    </row>
    <row r="19" spans="1:10" ht="12.95" customHeight="1" x14ac:dyDescent="0.25">
      <c r="A19" s="26"/>
      <c r="B19" s="26"/>
      <c r="C19" s="26"/>
      <c r="D19" s="26"/>
      <c r="E19" s="26"/>
      <c r="F19" s="26"/>
      <c r="G19" s="26"/>
      <c r="H19" s="29">
        <v>78</v>
      </c>
      <c r="I19" s="30" t="s">
        <v>70</v>
      </c>
      <c r="J19" s="30">
        <f t="shared" si="0"/>
        <v>2</v>
      </c>
    </row>
    <row r="20" spans="1:10" ht="12.95" customHeight="1" x14ac:dyDescent="0.25">
      <c r="A20" s="26"/>
      <c r="B20" s="26"/>
      <c r="C20" s="26"/>
      <c r="D20" s="26"/>
      <c r="E20" s="26"/>
      <c r="F20" s="26"/>
      <c r="G20" s="26"/>
      <c r="H20" s="29">
        <v>85</v>
      </c>
      <c r="I20" s="30" t="s">
        <v>71</v>
      </c>
      <c r="J20" s="30">
        <f t="shared" si="0"/>
        <v>0</v>
      </c>
    </row>
    <row r="21" spans="1:10" ht="12.95" customHeight="1" x14ac:dyDescent="0.25">
      <c r="A21" s="26"/>
      <c r="B21" s="26"/>
      <c r="C21" s="26"/>
      <c r="D21" s="26"/>
      <c r="E21" s="26"/>
      <c r="F21" s="26"/>
      <c r="G21" s="26"/>
      <c r="H21" s="186" t="s">
        <v>72</v>
      </c>
      <c r="I21" s="187"/>
      <c r="J21" s="25">
        <f>SUM(J9:J20)</f>
        <v>43</v>
      </c>
    </row>
    <row r="22" spans="1:10" ht="12.95" customHeight="1" x14ac:dyDescent="0.25">
      <c r="A22" s="31"/>
      <c r="B22" s="31"/>
      <c r="C22" s="31"/>
      <c r="D22" s="31"/>
      <c r="E22" s="31"/>
      <c r="F22" s="31"/>
      <c r="G22" s="31"/>
      <c r="H22" s="32"/>
      <c r="I22" s="33"/>
      <c r="J22" s="34"/>
    </row>
    <row r="23" spans="1:10" ht="24" customHeight="1" x14ac:dyDescent="0.25">
      <c r="A23" s="24" t="s">
        <v>73</v>
      </c>
      <c r="B23" s="188" t="s">
        <v>74</v>
      </c>
      <c r="C23" s="189"/>
      <c r="D23" s="35" t="s">
        <v>75</v>
      </c>
      <c r="E23" s="35" t="s">
        <v>45</v>
      </c>
      <c r="F23" s="35" t="s">
        <v>76</v>
      </c>
      <c r="G23" s="36" t="s">
        <v>47</v>
      </c>
      <c r="H23" s="37" t="s">
        <v>77</v>
      </c>
      <c r="I23" s="38" t="s">
        <v>43</v>
      </c>
      <c r="J23" s="24" t="s">
        <v>59</v>
      </c>
    </row>
    <row r="24" spans="1:10" x14ac:dyDescent="0.25">
      <c r="A24" s="190" t="s">
        <v>78</v>
      </c>
      <c r="B24" s="191"/>
      <c r="C24" s="192"/>
      <c r="D24" s="39">
        <v>10</v>
      </c>
      <c r="E24" s="39">
        <v>30</v>
      </c>
      <c r="F24" s="39">
        <v>10</v>
      </c>
      <c r="G24" s="39">
        <v>40</v>
      </c>
      <c r="H24" s="40">
        <v>10</v>
      </c>
      <c r="I24" s="41">
        <f>SUM(D25:H25)</f>
        <v>100</v>
      </c>
      <c r="J24" s="30"/>
    </row>
    <row r="25" spans="1:10" x14ac:dyDescent="0.25">
      <c r="A25" s="193" t="s">
        <v>79</v>
      </c>
      <c r="B25" s="194"/>
      <c r="C25" s="192"/>
      <c r="D25" s="39">
        <v>10</v>
      </c>
      <c r="E25" s="39">
        <v>30</v>
      </c>
      <c r="F25" s="39">
        <v>10</v>
      </c>
      <c r="G25" s="39">
        <v>40</v>
      </c>
      <c r="H25" s="40">
        <v>10</v>
      </c>
      <c r="I25" s="41">
        <v>100</v>
      </c>
      <c r="J25" s="30"/>
    </row>
    <row r="26" spans="1:10" ht="15" customHeight="1" x14ac:dyDescent="0.25">
      <c r="A26" s="42" t="str">
        <f>'OBE Sheet'!C13</f>
        <v>2023-CS-02</v>
      </c>
      <c r="B26" s="42" t="str">
        <f>'OBE Sheet'!D13</f>
        <v>Malaika khan</v>
      </c>
      <c r="C26" s="43"/>
      <c r="D26" s="55">
        <f>'OBE Sheet'!G13</f>
        <v>9</v>
      </c>
      <c r="E26" s="56">
        <f>'OBE Sheet'!L13</f>
        <v>7.5</v>
      </c>
      <c r="F26" s="55">
        <f>'OBE Sheet'!O13</f>
        <v>4</v>
      </c>
      <c r="G26" s="4">
        <f>'OBE Sheet'!T13</f>
        <v>16</v>
      </c>
      <c r="H26" s="40">
        <f>'OBE Sheet'!W13</f>
        <v>10</v>
      </c>
      <c r="I26" s="41">
        <f>SUM(D26:H26)</f>
        <v>46.5</v>
      </c>
      <c r="J26" s="30" t="str">
        <f t="shared" ref="J26:J30" si="2">VLOOKUP(I26,$H$9:$I$20,2,TRUE)</f>
        <v>B-</v>
      </c>
    </row>
    <row r="27" spans="1:10" ht="15" customHeight="1" x14ac:dyDescent="0.25">
      <c r="A27" s="42" t="str">
        <f>'OBE Sheet'!C14</f>
        <v>2023-CS-04</v>
      </c>
      <c r="B27" s="42" t="str">
        <f>'OBE Sheet'!D14</f>
        <v>Muskan Rana</v>
      </c>
      <c r="C27" s="43"/>
      <c r="D27" s="55">
        <f>'OBE Sheet'!G14</f>
        <v>8</v>
      </c>
      <c r="E27" s="56">
        <f>'OBE Sheet'!L14</f>
        <v>13</v>
      </c>
      <c r="F27" s="55">
        <f>'OBE Sheet'!O14</f>
        <v>7</v>
      </c>
      <c r="G27" s="4">
        <f>'OBE Sheet'!T14</f>
        <v>25</v>
      </c>
      <c r="H27" s="40">
        <f>'OBE Sheet'!W14</f>
        <v>10</v>
      </c>
      <c r="I27" s="41">
        <f t="shared" ref="I27:I30" si="3">SUM(D27:H27)</f>
        <v>63</v>
      </c>
      <c r="J27" s="30" t="str">
        <f t="shared" si="2"/>
        <v>B+</v>
      </c>
    </row>
    <row r="28" spans="1:10" ht="15" customHeight="1" x14ac:dyDescent="0.25">
      <c r="A28" s="42" t="str">
        <f>'OBE Sheet'!C15</f>
        <v>2023-CS-06</v>
      </c>
      <c r="B28" s="42" t="str">
        <f>'OBE Sheet'!D15</f>
        <v>Fatima Batool</v>
      </c>
      <c r="C28" s="43"/>
      <c r="D28" s="55">
        <f>'OBE Sheet'!G15</f>
        <v>8</v>
      </c>
      <c r="E28" s="56">
        <f>'OBE Sheet'!L15</f>
        <v>12</v>
      </c>
      <c r="F28" s="55">
        <f>'OBE Sheet'!O15</f>
        <v>7</v>
      </c>
      <c r="G28" s="4">
        <f>'OBE Sheet'!T15</f>
        <v>27</v>
      </c>
      <c r="H28" s="40">
        <f>'OBE Sheet'!W15</f>
        <v>10</v>
      </c>
      <c r="I28" s="41">
        <f t="shared" si="3"/>
        <v>64</v>
      </c>
      <c r="J28" s="30" t="str">
        <f t="shared" si="2"/>
        <v>B+</v>
      </c>
    </row>
    <row r="29" spans="1:10" ht="15" customHeight="1" x14ac:dyDescent="0.25">
      <c r="A29" s="42" t="str">
        <f>'OBE Sheet'!C16</f>
        <v>2023-CS-08</v>
      </c>
      <c r="B29" s="42" t="str">
        <f>'OBE Sheet'!D16</f>
        <v>Noor Fatima Khaleeq</v>
      </c>
      <c r="C29" s="43"/>
      <c r="D29" s="55">
        <f>'OBE Sheet'!G16</f>
        <v>7</v>
      </c>
      <c r="E29" s="56">
        <f>'OBE Sheet'!L16</f>
        <v>11</v>
      </c>
      <c r="F29" s="55">
        <f>'OBE Sheet'!O16</f>
        <v>7</v>
      </c>
      <c r="G29" s="4">
        <f>'OBE Sheet'!T16</f>
        <v>27</v>
      </c>
      <c r="H29" s="40">
        <f>'OBE Sheet'!W16</f>
        <v>10</v>
      </c>
      <c r="I29" s="41">
        <f t="shared" si="3"/>
        <v>62</v>
      </c>
      <c r="J29" s="30" t="str">
        <f t="shared" si="2"/>
        <v>B+</v>
      </c>
    </row>
    <row r="30" spans="1:10" ht="15" customHeight="1" x14ac:dyDescent="0.25">
      <c r="A30" s="42" t="str">
        <f>'OBE Sheet'!C17</f>
        <v>2023-CS-10</v>
      </c>
      <c r="B30" s="42" t="str">
        <f>'OBE Sheet'!D17</f>
        <v>Manahil  Raees</v>
      </c>
      <c r="C30" s="43"/>
      <c r="D30" s="55">
        <f>'OBE Sheet'!G17</f>
        <v>10</v>
      </c>
      <c r="E30" s="56">
        <f>'OBE Sheet'!L17</f>
        <v>24</v>
      </c>
      <c r="F30" s="55">
        <f>'OBE Sheet'!O17</f>
        <v>9</v>
      </c>
      <c r="G30" s="4">
        <f>'OBE Sheet'!T17</f>
        <v>27</v>
      </c>
      <c r="H30" s="40">
        <f>'OBE Sheet'!W17</f>
        <v>10</v>
      </c>
      <c r="I30" s="41">
        <f t="shared" si="3"/>
        <v>80</v>
      </c>
      <c r="J30" s="30" t="str">
        <f t="shared" si="2"/>
        <v>A</v>
      </c>
    </row>
    <row r="31" spans="1:10" ht="15" customHeight="1" x14ac:dyDescent="0.25">
      <c r="A31" s="42" t="str">
        <f>'OBE Sheet'!C18</f>
        <v>2023-CS-12</v>
      </c>
      <c r="B31" s="42" t="str">
        <f>'OBE Sheet'!D18</f>
        <v>Ghanwa Malik</v>
      </c>
      <c r="C31" s="43"/>
      <c r="D31" s="55">
        <f>'OBE Sheet'!G18</f>
        <v>8</v>
      </c>
      <c r="E31" s="56">
        <f>'OBE Sheet'!L18</f>
        <v>13</v>
      </c>
      <c r="F31" s="55">
        <f>'OBE Sheet'!O18</f>
        <v>7</v>
      </c>
      <c r="G31" s="4">
        <f>'OBE Sheet'!T18</f>
        <v>20</v>
      </c>
      <c r="H31" s="40">
        <f>'OBE Sheet'!W18</f>
        <v>10</v>
      </c>
      <c r="I31" s="41">
        <f t="shared" ref="I31:I68" si="4">SUM(D31:H31)</f>
        <v>58</v>
      </c>
      <c r="J31" s="30" t="str">
        <f t="shared" ref="J31:J68" si="5">VLOOKUP(I31,$H$9:$I$20,2,TRUE)</f>
        <v>B</v>
      </c>
    </row>
    <row r="32" spans="1:10" ht="15" customHeight="1" x14ac:dyDescent="0.25">
      <c r="A32" s="42" t="str">
        <f>'OBE Sheet'!C19</f>
        <v>2023-CS-14</v>
      </c>
      <c r="B32" s="42" t="str">
        <f>'OBE Sheet'!D19</f>
        <v>Zarwa Imran</v>
      </c>
      <c r="C32" s="43"/>
      <c r="D32" s="55">
        <f>'OBE Sheet'!G19</f>
        <v>9</v>
      </c>
      <c r="E32" s="56">
        <f>'OBE Sheet'!L19</f>
        <v>22</v>
      </c>
      <c r="F32" s="55">
        <f>'OBE Sheet'!O19</f>
        <v>8</v>
      </c>
      <c r="G32" s="4">
        <f>'OBE Sheet'!T19</f>
        <v>27</v>
      </c>
      <c r="H32" s="40">
        <f>'OBE Sheet'!W19</f>
        <v>10</v>
      </c>
      <c r="I32" s="41">
        <f t="shared" si="4"/>
        <v>76</v>
      </c>
      <c r="J32" s="30" t="str">
        <f t="shared" si="5"/>
        <v>A-</v>
      </c>
    </row>
    <row r="33" spans="1:10" ht="15" customHeight="1" x14ac:dyDescent="0.25">
      <c r="A33" s="42" t="str">
        <f>'OBE Sheet'!C20</f>
        <v>2023-CS-16</v>
      </c>
      <c r="B33" s="42" t="str">
        <f>'OBE Sheet'!D20</f>
        <v>Saira Aziz</v>
      </c>
      <c r="C33" s="43"/>
      <c r="D33" s="55">
        <f>'OBE Sheet'!G20</f>
        <v>7</v>
      </c>
      <c r="E33" s="56">
        <f>'OBE Sheet'!L20</f>
        <v>24</v>
      </c>
      <c r="F33" s="55">
        <f>'OBE Sheet'!O20</f>
        <v>7</v>
      </c>
      <c r="G33" s="4">
        <f>'OBE Sheet'!T20</f>
        <v>30</v>
      </c>
      <c r="H33" s="40">
        <f>'OBE Sheet'!W20</f>
        <v>7</v>
      </c>
      <c r="I33" s="41">
        <f t="shared" si="4"/>
        <v>75</v>
      </c>
      <c r="J33" s="30" t="str">
        <f t="shared" si="5"/>
        <v>A-</v>
      </c>
    </row>
    <row r="34" spans="1:10" ht="15" customHeight="1" x14ac:dyDescent="0.25">
      <c r="A34" s="42" t="str">
        <f>'OBE Sheet'!C21</f>
        <v>2023-CS-18</v>
      </c>
      <c r="B34" s="42" t="str">
        <f>'OBE Sheet'!D21</f>
        <v>Zahra Aslam</v>
      </c>
      <c r="C34" s="43"/>
      <c r="D34" s="55">
        <f>'OBE Sheet'!G21</f>
        <v>6</v>
      </c>
      <c r="E34" s="56">
        <f>'OBE Sheet'!L21</f>
        <v>21</v>
      </c>
      <c r="F34" s="55">
        <f>'OBE Sheet'!O21</f>
        <v>7</v>
      </c>
      <c r="G34" s="4">
        <f>'OBE Sheet'!T21</f>
        <v>28</v>
      </c>
      <c r="H34" s="40">
        <f>'OBE Sheet'!W21</f>
        <v>9</v>
      </c>
      <c r="I34" s="41">
        <f t="shared" si="4"/>
        <v>71</v>
      </c>
      <c r="J34" s="30" t="str">
        <f t="shared" si="5"/>
        <v>A-</v>
      </c>
    </row>
    <row r="35" spans="1:10" ht="15" customHeight="1" x14ac:dyDescent="0.25">
      <c r="A35" s="42" t="str">
        <f>'OBE Sheet'!C22</f>
        <v>2023-CS-20</v>
      </c>
      <c r="B35" s="42" t="str">
        <f>'OBE Sheet'!D22</f>
        <v>Uswa  farooq</v>
      </c>
      <c r="C35" s="43"/>
      <c r="D35" s="55">
        <f>'OBE Sheet'!G22</f>
        <v>8</v>
      </c>
      <c r="E35" s="56">
        <f>'OBE Sheet'!L22</f>
        <v>16</v>
      </c>
      <c r="F35" s="55">
        <f>'OBE Sheet'!O22</f>
        <v>8</v>
      </c>
      <c r="G35" s="4">
        <f>'OBE Sheet'!T22</f>
        <v>25</v>
      </c>
      <c r="H35" s="40">
        <f>'OBE Sheet'!W22</f>
        <v>10</v>
      </c>
      <c r="I35" s="41">
        <f t="shared" si="4"/>
        <v>67</v>
      </c>
      <c r="J35" s="30" t="str">
        <f t="shared" si="5"/>
        <v>B+</v>
      </c>
    </row>
    <row r="36" spans="1:10" ht="15" customHeight="1" x14ac:dyDescent="0.25">
      <c r="A36" s="42" t="str">
        <f>'OBE Sheet'!C23</f>
        <v>2023-CS-22</v>
      </c>
      <c r="B36" s="42" t="str">
        <f>'OBE Sheet'!D23</f>
        <v>Rimsha Nazeer</v>
      </c>
      <c r="C36" s="43"/>
      <c r="D36" s="55">
        <f>'OBE Sheet'!G23</f>
        <v>9</v>
      </c>
      <c r="E36" s="56">
        <f>'OBE Sheet'!L23</f>
        <v>22</v>
      </c>
      <c r="F36" s="55">
        <f>'OBE Sheet'!O23</f>
        <v>9</v>
      </c>
      <c r="G36" s="4">
        <f>'OBE Sheet'!T23</f>
        <v>32</v>
      </c>
      <c r="H36" s="40">
        <f>'OBE Sheet'!W23</f>
        <v>10</v>
      </c>
      <c r="I36" s="41">
        <f t="shared" si="4"/>
        <v>82</v>
      </c>
      <c r="J36" s="30" t="str">
        <f t="shared" si="5"/>
        <v>A</v>
      </c>
    </row>
    <row r="37" spans="1:10" ht="15" customHeight="1" x14ac:dyDescent="0.25">
      <c r="A37" s="42" t="str">
        <f>'OBE Sheet'!C24</f>
        <v>2023-CS-24</v>
      </c>
      <c r="B37" s="42" t="str">
        <f>'OBE Sheet'!D24</f>
        <v>Fareed Ahmed</v>
      </c>
      <c r="C37" s="43"/>
      <c r="D37" s="55">
        <f>'OBE Sheet'!G24</f>
        <v>0</v>
      </c>
      <c r="E37" s="56">
        <f>'OBE Sheet'!L24</f>
        <v>0</v>
      </c>
      <c r="F37" s="55">
        <f>'OBE Sheet'!O24</f>
        <v>0</v>
      </c>
      <c r="G37" s="4">
        <f>'OBE Sheet'!T24</f>
        <v>0</v>
      </c>
      <c r="H37" s="40">
        <f>'OBE Sheet'!W24</f>
        <v>0</v>
      </c>
      <c r="I37" s="41">
        <f t="shared" si="4"/>
        <v>0</v>
      </c>
      <c r="J37" s="30" t="str">
        <f t="shared" si="5"/>
        <v>F</v>
      </c>
    </row>
    <row r="38" spans="1:10" ht="15" customHeight="1" x14ac:dyDescent="0.25">
      <c r="A38" s="42" t="str">
        <f>'OBE Sheet'!C25</f>
        <v>2023-CS-26</v>
      </c>
      <c r="B38" s="42" t="str">
        <f>'OBE Sheet'!D25</f>
        <v>Muhammad Adnan Nasir</v>
      </c>
      <c r="C38" s="43"/>
      <c r="D38" s="55">
        <f>'OBE Sheet'!G25</f>
        <v>0</v>
      </c>
      <c r="E38" s="56">
        <f>'OBE Sheet'!L25</f>
        <v>0</v>
      </c>
      <c r="F38" s="55">
        <f>'OBE Sheet'!O25</f>
        <v>0</v>
      </c>
      <c r="G38" s="4">
        <f>'OBE Sheet'!T25</f>
        <v>0</v>
      </c>
      <c r="H38" s="40">
        <f>'OBE Sheet'!W25</f>
        <v>0</v>
      </c>
      <c r="I38" s="41">
        <f t="shared" si="4"/>
        <v>0</v>
      </c>
      <c r="J38" s="30" t="str">
        <f t="shared" si="5"/>
        <v>F</v>
      </c>
    </row>
    <row r="39" spans="1:10" ht="15" customHeight="1" x14ac:dyDescent="0.25">
      <c r="A39" s="42" t="str">
        <f>'OBE Sheet'!C26</f>
        <v>2023-CS-28</v>
      </c>
      <c r="B39" s="42" t="str">
        <f>'OBE Sheet'!D26</f>
        <v>Ahmed raza</v>
      </c>
      <c r="C39" s="43"/>
      <c r="D39" s="55">
        <f>'OBE Sheet'!G26</f>
        <v>7</v>
      </c>
      <c r="E39" s="56">
        <f>'OBE Sheet'!L26</f>
        <v>15</v>
      </c>
      <c r="F39" s="55">
        <f>'OBE Sheet'!O26</f>
        <v>9</v>
      </c>
      <c r="G39" s="4">
        <f>'OBE Sheet'!T26</f>
        <v>25</v>
      </c>
      <c r="H39" s="40">
        <f>'OBE Sheet'!W26</f>
        <v>10</v>
      </c>
      <c r="I39" s="41">
        <f t="shared" si="4"/>
        <v>66</v>
      </c>
      <c r="J39" s="30" t="str">
        <f t="shared" si="5"/>
        <v>B+</v>
      </c>
    </row>
    <row r="40" spans="1:10" ht="15" customHeight="1" x14ac:dyDescent="0.25">
      <c r="A40" s="42" t="str">
        <f>'OBE Sheet'!C27</f>
        <v>2023-CS-30</v>
      </c>
      <c r="B40" s="42" t="str">
        <f>'OBE Sheet'!D27</f>
        <v>Muhammad Rashid</v>
      </c>
      <c r="C40" s="43"/>
      <c r="D40" s="55">
        <f>'OBE Sheet'!G27</f>
        <v>7</v>
      </c>
      <c r="E40" s="56">
        <f>'OBE Sheet'!L27</f>
        <v>11</v>
      </c>
      <c r="F40" s="55">
        <f>'OBE Sheet'!O27</f>
        <v>8</v>
      </c>
      <c r="G40" s="4">
        <f>'OBE Sheet'!T27</f>
        <v>19</v>
      </c>
      <c r="H40" s="40">
        <f>'OBE Sheet'!W27</f>
        <v>10</v>
      </c>
      <c r="I40" s="41">
        <f t="shared" si="4"/>
        <v>55</v>
      </c>
      <c r="J40" s="30" t="str">
        <f t="shared" si="5"/>
        <v>B</v>
      </c>
    </row>
    <row r="41" spans="1:10" ht="15" customHeight="1" x14ac:dyDescent="0.25">
      <c r="A41" s="42" t="str">
        <f>'OBE Sheet'!C28</f>
        <v>2023-CS-32</v>
      </c>
      <c r="B41" s="42" t="str">
        <f>'OBE Sheet'!D28</f>
        <v>Muhammad Zubair</v>
      </c>
      <c r="C41" s="43"/>
      <c r="D41" s="55">
        <f>'OBE Sheet'!G28</f>
        <v>0</v>
      </c>
      <c r="E41" s="56">
        <f>'OBE Sheet'!L28</f>
        <v>0</v>
      </c>
      <c r="F41" s="55">
        <f>'OBE Sheet'!O28</f>
        <v>0</v>
      </c>
      <c r="G41" s="4">
        <f>'OBE Sheet'!T28</f>
        <v>0</v>
      </c>
      <c r="H41" s="40">
        <f>'OBE Sheet'!W28</f>
        <v>0</v>
      </c>
      <c r="I41" s="41">
        <f t="shared" si="4"/>
        <v>0</v>
      </c>
      <c r="J41" s="30" t="str">
        <f t="shared" si="5"/>
        <v>F</v>
      </c>
    </row>
    <row r="42" spans="1:10" ht="15" customHeight="1" x14ac:dyDescent="0.25">
      <c r="A42" s="42" t="str">
        <f>'OBE Sheet'!C29</f>
        <v>2023-CS-34</v>
      </c>
      <c r="B42" s="42" t="str">
        <f>'OBE Sheet'!D29</f>
        <v>Muhammad Waqas Inam</v>
      </c>
      <c r="C42" s="43"/>
      <c r="D42" s="55">
        <f>'OBE Sheet'!G29</f>
        <v>0</v>
      </c>
      <c r="E42" s="56">
        <f>'OBE Sheet'!L29</f>
        <v>0</v>
      </c>
      <c r="F42" s="55">
        <f>'OBE Sheet'!O29</f>
        <v>0</v>
      </c>
      <c r="G42" s="4">
        <f>'OBE Sheet'!T29</f>
        <v>0</v>
      </c>
      <c r="H42" s="40">
        <f>'OBE Sheet'!W29</f>
        <v>0</v>
      </c>
      <c r="I42" s="41">
        <f t="shared" si="4"/>
        <v>0</v>
      </c>
      <c r="J42" s="30" t="str">
        <f t="shared" si="5"/>
        <v>F</v>
      </c>
    </row>
    <row r="43" spans="1:10" ht="15" customHeight="1" x14ac:dyDescent="0.25">
      <c r="A43" s="42" t="str">
        <f>'OBE Sheet'!C30</f>
        <v>2023-CS-36</v>
      </c>
      <c r="B43" s="42" t="str">
        <f>'OBE Sheet'!D30</f>
        <v>Muhammad Nouman Yousaf</v>
      </c>
      <c r="C43" s="43"/>
      <c r="D43" s="55">
        <f>'OBE Sheet'!G30</f>
        <v>9</v>
      </c>
      <c r="E43" s="56">
        <f>'OBE Sheet'!L30</f>
        <v>5</v>
      </c>
      <c r="F43" s="55">
        <f>'OBE Sheet'!O30</f>
        <v>9</v>
      </c>
      <c r="G43" s="4">
        <f>'OBE Sheet'!T30</f>
        <v>22</v>
      </c>
      <c r="H43" s="40">
        <f>'OBE Sheet'!W30</f>
        <v>10</v>
      </c>
      <c r="I43" s="41">
        <f t="shared" si="4"/>
        <v>55</v>
      </c>
      <c r="J43" s="30" t="str">
        <f t="shared" si="5"/>
        <v>B</v>
      </c>
    </row>
    <row r="44" spans="1:10" ht="15" customHeight="1" x14ac:dyDescent="0.25">
      <c r="A44" s="42" t="str">
        <f>'OBE Sheet'!C31</f>
        <v>2023-CS-38</v>
      </c>
      <c r="B44" s="42" t="str">
        <f>'OBE Sheet'!D31</f>
        <v>Muhammad Fahad Khalid</v>
      </c>
      <c r="C44" s="43"/>
      <c r="D44" s="55">
        <f>'OBE Sheet'!G31</f>
        <v>0</v>
      </c>
      <c r="E44" s="56">
        <f>'OBE Sheet'!L31</f>
        <v>0</v>
      </c>
      <c r="F44" s="55">
        <f>'OBE Sheet'!O31</f>
        <v>0</v>
      </c>
      <c r="G44" s="4">
        <f>'OBE Sheet'!T31</f>
        <v>0</v>
      </c>
      <c r="H44" s="40">
        <f>'OBE Sheet'!W31</f>
        <v>0</v>
      </c>
      <c r="I44" s="41">
        <f t="shared" si="4"/>
        <v>0</v>
      </c>
      <c r="J44" s="30" t="str">
        <f t="shared" si="5"/>
        <v>F</v>
      </c>
    </row>
    <row r="45" spans="1:10" ht="15" customHeight="1" x14ac:dyDescent="0.25">
      <c r="A45" s="42" t="str">
        <f>'OBE Sheet'!C32</f>
        <v>2023-CS-40</v>
      </c>
      <c r="B45" s="42" t="str">
        <f>'OBE Sheet'!D32</f>
        <v>Muhammad Umair</v>
      </c>
      <c r="C45" s="43"/>
      <c r="D45" s="55">
        <f>'OBE Sheet'!G32</f>
        <v>4</v>
      </c>
      <c r="E45" s="56">
        <f>'OBE Sheet'!L32</f>
        <v>14</v>
      </c>
      <c r="F45" s="55">
        <f>'OBE Sheet'!O32</f>
        <v>8</v>
      </c>
      <c r="G45" s="4">
        <f>'OBE Sheet'!T32</f>
        <v>26</v>
      </c>
      <c r="H45" s="40">
        <f>'OBE Sheet'!W32</f>
        <v>10</v>
      </c>
      <c r="I45" s="41">
        <f t="shared" si="4"/>
        <v>62</v>
      </c>
      <c r="J45" s="30" t="str">
        <f t="shared" si="5"/>
        <v>B+</v>
      </c>
    </row>
    <row r="46" spans="1:10" ht="15" customHeight="1" x14ac:dyDescent="0.25">
      <c r="A46" s="42" t="str">
        <f>'OBE Sheet'!C33</f>
        <v>2023-CS-42</v>
      </c>
      <c r="B46" s="42" t="str">
        <f>'OBE Sheet'!D33</f>
        <v>Muhammad Anas</v>
      </c>
      <c r="C46" s="43"/>
      <c r="D46" s="55">
        <f>'OBE Sheet'!G33</f>
        <v>7</v>
      </c>
      <c r="E46" s="56">
        <f>'OBE Sheet'!L33</f>
        <v>17</v>
      </c>
      <c r="F46" s="55">
        <f>'OBE Sheet'!O33</f>
        <v>7</v>
      </c>
      <c r="G46" s="4">
        <f>'OBE Sheet'!T33</f>
        <v>28</v>
      </c>
      <c r="H46" s="40">
        <f>'OBE Sheet'!W33</f>
        <v>10</v>
      </c>
      <c r="I46" s="41">
        <f t="shared" si="4"/>
        <v>69</v>
      </c>
      <c r="J46" s="30" t="str">
        <f t="shared" si="5"/>
        <v>B+</v>
      </c>
    </row>
    <row r="47" spans="1:10" ht="15" customHeight="1" x14ac:dyDescent="0.25">
      <c r="A47" s="42" t="str">
        <f>'OBE Sheet'!C34</f>
        <v>2023-CS-44</v>
      </c>
      <c r="B47" s="42" t="str">
        <f>'OBE Sheet'!D34</f>
        <v>Shoaib Ahmed</v>
      </c>
      <c r="C47" s="43"/>
      <c r="D47" s="55">
        <f>'OBE Sheet'!G34</f>
        <v>8</v>
      </c>
      <c r="E47" s="56">
        <f>'OBE Sheet'!L34</f>
        <v>20</v>
      </c>
      <c r="F47" s="55">
        <f>'OBE Sheet'!O34</f>
        <v>8</v>
      </c>
      <c r="G47" s="4">
        <f>'OBE Sheet'!T34</f>
        <v>24</v>
      </c>
      <c r="H47" s="40">
        <f>'OBE Sheet'!W34</f>
        <v>10</v>
      </c>
      <c r="I47" s="41">
        <f t="shared" si="4"/>
        <v>70</v>
      </c>
      <c r="J47" s="30" t="str">
        <f t="shared" si="5"/>
        <v>A-</v>
      </c>
    </row>
    <row r="48" spans="1:10" ht="15" customHeight="1" x14ac:dyDescent="0.25">
      <c r="A48" s="42" t="str">
        <f>'OBE Sheet'!C35</f>
        <v>2023-CS-46</v>
      </c>
      <c r="B48" s="42" t="str">
        <f>'OBE Sheet'!D35</f>
        <v>Muhammad Ali Huzaifa</v>
      </c>
      <c r="C48" s="43"/>
      <c r="D48" s="55">
        <f>'OBE Sheet'!G35</f>
        <v>0</v>
      </c>
      <c r="E48" s="56">
        <f>'OBE Sheet'!L35</f>
        <v>0</v>
      </c>
      <c r="F48" s="55">
        <f>'OBE Sheet'!O35</f>
        <v>0</v>
      </c>
      <c r="G48" s="4">
        <f>'OBE Sheet'!T35</f>
        <v>0</v>
      </c>
      <c r="H48" s="40">
        <f>'OBE Sheet'!W35</f>
        <v>0</v>
      </c>
      <c r="I48" s="41">
        <f t="shared" si="4"/>
        <v>0</v>
      </c>
      <c r="J48" s="30" t="str">
        <f t="shared" si="5"/>
        <v>F</v>
      </c>
    </row>
    <row r="49" spans="1:10" ht="15" customHeight="1" x14ac:dyDescent="0.25">
      <c r="A49" s="42" t="str">
        <f>'OBE Sheet'!C36</f>
        <v>2023-CS-48</v>
      </c>
      <c r="B49" s="42" t="str">
        <f>'OBE Sheet'!D36</f>
        <v>Muhammad Samad Amir</v>
      </c>
      <c r="C49" s="43"/>
      <c r="D49" s="55">
        <f>'OBE Sheet'!G36</f>
        <v>7</v>
      </c>
      <c r="E49" s="56">
        <f>'OBE Sheet'!L36</f>
        <v>10</v>
      </c>
      <c r="F49" s="55">
        <f>'OBE Sheet'!O36</f>
        <v>7</v>
      </c>
      <c r="G49" s="4">
        <f>'OBE Sheet'!T36</f>
        <v>19</v>
      </c>
      <c r="H49" s="40">
        <f>'OBE Sheet'!W36</f>
        <v>10</v>
      </c>
      <c r="I49" s="41">
        <f t="shared" si="4"/>
        <v>53</v>
      </c>
      <c r="J49" s="30" t="str">
        <f t="shared" si="5"/>
        <v>B</v>
      </c>
    </row>
    <row r="50" spans="1:10" ht="15" customHeight="1" x14ac:dyDescent="0.25">
      <c r="A50" s="42" t="str">
        <f>'OBE Sheet'!C37</f>
        <v>2023-CS-50</v>
      </c>
      <c r="B50" s="42" t="str">
        <f>'OBE Sheet'!D37</f>
        <v>Muhammad Kamran Iqbal</v>
      </c>
      <c r="C50" s="43"/>
      <c r="D50" s="55">
        <f>'OBE Sheet'!G37</f>
        <v>5</v>
      </c>
      <c r="E50" s="56">
        <f>'OBE Sheet'!L37</f>
        <v>23</v>
      </c>
      <c r="F50" s="55">
        <f>'OBE Sheet'!O37</f>
        <v>8</v>
      </c>
      <c r="G50" s="4">
        <f>'OBE Sheet'!T37</f>
        <v>25</v>
      </c>
      <c r="H50" s="40">
        <f>'OBE Sheet'!W37</f>
        <v>10</v>
      </c>
      <c r="I50" s="41">
        <f t="shared" si="4"/>
        <v>71</v>
      </c>
      <c r="J50" s="30" t="str">
        <f t="shared" si="5"/>
        <v>A-</v>
      </c>
    </row>
    <row r="51" spans="1:10" ht="15" customHeight="1" x14ac:dyDescent="0.25">
      <c r="A51" s="42" t="str">
        <f>'OBE Sheet'!C38</f>
        <v>2023-CS-52</v>
      </c>
      <c r="B51" s="42" t="str">
        <f>'OBE Sheet'!D38</f>
        <v>Mirza Muhammad Umar</v>
      </c>
      <c r="C51" s="43"/>
      <c r="D51" s="55">
        <f>'OBE Sheet'!G38</f>
        <v>4</v>
      </c>
      <c r="E51" s="56">
        <f>'OBE Sheet'!L38</f>
        <v>19</v>
      </c>
      <c r="F51" s="55">
        <f>'OBE Sheet'!O38</f>
        <v>6</v>
      </c>
      <c r="G51" s="4">
        <f>'OBE Sheet'!T38</f>
        <v>29</v>
      </c>
      <c r="H51" s="40">
        <f>'OBE Sheet'!W38</f>
        <v>10</v>
      </c>
      <c r="I51" s="41">
        <f t="shared" si="4"/>
        <v>68</v>
      </c>
      <c r="J51" s="30" t="str">
        <f t="shared" si="5"/>
        <v>B+</v>
      </c>
    </row>
    <row r="52" spans="1:10" ht="15" customHeight="1" x14ac:dyDescent="0.25">
      <c r="A52" s="42" t="str">
        <f>'OBE Sheet'!C39</f>
        <v>2023-CS-54</v>
      </c>
      <c r="B52" s="42" t="str">
        <f>'OBE Sheet'!D39</f>
        <v>Muhammad Usman</v>
      </c>
      <c r="C52" s="43"/>
      <c r="D52" s="55">
        <f>'OBE Sheet'!G39</f>
        <v>7</v>
      </c>
      <c r="E52" s="56">
        <f>'OBE Sheet'!L39</f>
        <v>17</v>
      </c>
      <c r="F52" s="55">
        <f>'OBE Sheet'!O39</f>
        <v>7</v>
      </c>
      <c r="G52" s="4">
        <f>'OBE Sheet'!T39</f>
        <v>25</v>
      </c>
      <c r="H52" s="40">
        <f>'OBE Sheet'!W39</f>
        <v>10</v>
      </c>
      <c r="I52" s="41">
        <f t="shared" si="4"/>
        <v>66</v>
      </c>
      <c r="J52" s="30" t="str">
        <f t="shared" si="5"/>
        <v>B+</v>
      </c>
    </row>
    <row r="53" spans="1:10" ht="15" customHeight="1" x14ac:dyDescent="0.25">
      <c r="A53" s="42" t="str">
        <f>'OBE Sheet'!C40</f>
        <v>2023-CS-56</v>
      </c>
      <c r="B53" s="42" t="str">
        <f>'OBE Sheet'!D40</f>
        <v>Muhammad Arshad</v>
      </c>
      <c r="C53" s="43"/>
      <c r="D53" s="55">
        <f>'OBE Sheet'!G40</f>
        <v>7</v>
      </c>
      <c r="E53" s="56">
        <f>'OBE Sheet'!L40</f>
        <v>25</v>
      </c>
      <c r="F53" s="55">
        <f>'OBE Sheet'!O40</f>
        <v>8</v>
      </c>
      <c r="G53" s="4">
        <f>'OBE Sheet'!T40</f>
        <v>27</v>
      </c>
      <c r="H53" s="40">
        <f>'OBE Sheet'!W40</f>
        <v>10</v>
      </c>
      <c r="I53" s="41">
        <f t="shared" si="4"/>
        <v>77</v>
      </c>
      <c r="J53" s="30" t="str">
        <f t="shared" si="5"/>
        <v>A-</v>
      </c>
    </row>
    <row r="54" spans="1:10" ht="15" customHeight="1" x14ac:dyDescent="0.25">
      <c r="A54" s="42" t="str">
        <f>'OBE Sheet'!C41</f>
        <v>2023-CS-58</v>
      </c>
      <c r="B54" s="42" t="str">
        <f>'OBE Sheet'!D41</f>
        <v>Afaq Ahmed</v>
      </c>
      <c r="C54" s="43"/>
      <c r="D54" s="55">
        <f>'OBE Sheet'!G41</f>
        <v>7</v>
      </c>
      <c r="E54" s="56">
        <f>'OBE Sheet'!L41</f>
        <v>21</v>
      </c>
      <c r="F54" s="55">
        <f>'OBE Sheet'!O41</f>
        <v>9</v>
      </c>
      <c r="G54" s="4">
        <f>'OBE Sheet'!T41</f>
        <v>26</v>
      </c>
      <c r="H54" s="40">
        <f>'OBE Sheet'!W41</f>
        <v>10</v>
      </c>
      <c r="I54" s="41">
        <f t="shared" si="4"/>
        <v>73</v>
      </c>
      <c r="J54" s="30" t="str">
        <f t="shared" si="5"/>
        <v>A-</v>
      </c>
    </row>
    <row r="55" spans="1:10" ht="15" customHeight="1" x14ac:dyDescent="0.25">
      <c r="A55" s="42" t="str">
        <f>'OBE Sheet'!C42</f>
        <v>2023-CS-60</v>
      </c>
      <c r="B55" s="42" t="str">
        <f>'OBE Sheet'!D42</f>
        <v>Muhammad Abdullah</v>
      </c>
      <c r="C55" s="43"/>
      <c r="D55" s="55">
        <f>'OBE Sheet'!G42</f>
        <v>10</v>
      </c>
      <c r="E55" s="56">
        <f>'OBE Sheet'!L42</f>
        <v>5</v>
      </c>
      <c r="F55" s="55">
        <f>'OBE Sheet'!O42</f>
        <v>10</v>
      </c>
      <c r="G55" s="4">
        <f>'OBE Sheet'!T42</f>
        <v>14</v>
      </c>
      <c r="H55" s="40">
        <f>'OBE Sheet'!W42</f>
        <v>10</v>
      </c>
      <c r="I55" s="41">
        <f t="shared" si="4"/>
        <v>49</v>
      </c>
      <c r="J55" s="30" t="str">
        <f t="shared" si="5"/>
        <v>B-</v>
      </c>
    </row>
    <row r="56" spans="1:10" ht="15" customHeight="1" x14ac:dyDescent="0.25">
      <c r="A56" s="42" t="str">
        <f>'OBE Sheet'!C43</f>
        <v>2023-CS-64</v>
      </c>
      <c r="B56" s="42" t="str">
        <f>'OBE Sheet'!D43</f>
        <v>Muhammad Shahzaib Saeed</v>
      </c>
      <c r="C56" s="43"/>
      <c r="D56" s="55">
        <f>'OBE Sheet'!G43</f>
        <v>6</v>
      </c>
      <c r="E56" s="56">
        <f>'OBE Sheet'!L43</f>
        <v>13</v>
      </c>
      <c r="F56" s="55">
        <f>'OBE Sheet'!O43</f>
        <v>8</v>
      </c>
      <c r="G56" s="4">
        <f>'OBE Sheet'!T43</f>
        <v>22</v>
      </c>
      <c r="H56" s="40">
        <f>'OBE Sheet'!W43</f>
        <v>10</v>
      </c>
      <c r="I56" s="41">
        <f t="shared" si="4"/>
        <v>59</v>
      </c>
      <c r="J56" s="30" t="str">
        <f t="shared" si="5"/>
        <v>B</v>
      </c>
    </row>
    <row r="57" spans="1:10" ht="15" customHeight="1" x14ac:dyDescent="0.25">
      <c r="A57" s="42" t="str">
        <f>'OBE Sheet'!C44</f>
        <v>2023-CS-66</v>
      </c>
      <c r="B57" s="42" t="str">
        <f>'OBE Sheet'!D44</f>
        <v>Abdus Saboor Khan</v>
      </c>
      <c r="C57" s="43"/>
      <c r="D57" s="55">
        <f>'OBE Sheet'!G44</f>
        <v>9</v>
      </c>
      <c r="E57" s="56">
        <f>'OBE Sheet'!L44</f>
        <v>8</v>
      </c>
      <c r="F57" s="55">
        <f>'OBE Sheet'!O44</f>
        <v>7</v>
      </c>
      <c r="G57" s="4">
        <f>'OBE Sheet'!T44</f>
        <v>22</v>
      </c>
      <c r="H57" s="40">
        <f>'OBE Sheet'!W44</f>
        <v>10</v>
      </c>
      <c r="I57" s="41">
        <f t="shared" si="4"/>
        <v>56</v>
      </c>
      <c r="J57" s="30" t="str">
        <f t="shared" si="5"/>
        <v>B</v>
      </c>
    </row>
    <row r="58" spans="1:10" ht="15" customHeight="1" x14ac:dyDescent="0.25">
      <c r="A58" s="42" t="str">
        <f>'OBE Sheet'!C45</f>
        <v>2023-CS-68</v>
      </c>
      <c r="B58" s="42" t="str">
        <f>'OBE Sheet'!D45</f>
        <v>Mavedat Ali</v>
      </c>
      <c r="C58" s="43"/>
      <c r="D58" s="55">
        <f>'OBE Sheet'!G45</f>
        <v>7</v>
      </c>
      <c r="E58" s="56">
        <f>'OBE Sheet'!L45</f>
        <v>12</v>
      </c>
      <c r="F58" s="55">
        <f>'OBE Sheet'!O45</f>
        <v>7</v>
      </c>
      <c r="G58" s="4">
        <f>'OBE Sheet'!T45</f>
        <v>18</v>
      </c>
      <c r="H58" s="40">
        <f>'OBE Sheet'!W45</f>
        <v>10</v>
      </c>
      <c r="I58" s="41">
        <f t="shared" si="4"/>
        <v>54</v>
      </c>
      <c r="J58" s="30" t="str">
        <f t="shared" si="5"/>
        <v>B</v>
      </c>
    </row>
    <row r="59" spans="1:10" ht="15" customHeight="1" x14ac:dyDescent="0.25">
      <c r="A59" s="42" t="str">
        <f>'OBE Sheet'!C46</f>
        <v>2023-CS-70</v>
      </c>
      <c r="B59" s="42" t="str">
        <f>'OBE Sheet'!D46</f>
        <v>Ali Ibrahim</v>
      </c>
      <c r="C59" s="43"/>
      <c r="D59" s="55">
        <f>'OBE Sheet'!G46</f>
        <v>8</v>
      </c>
      <c r="E59" s="56">
        <f>'OBE Sheet'!L46</f>
        <v>7</v>
      </c>
      <c r="F59" s="55">
        <f>'OBE Sheet'!O46</f>
        <v>8</v>
      </c>
      <c r="G59" s="4">
        <f>'OBE Sheet'!T46</f>
        <v>24</v>
      </c>
      <c r="H59" s="40">
        <f>'OBE Sheet'!W46</f>
        <v>10</v>
      </c>
      <c r="I59" s="41">
        <f t="shared" si="4"/>
        <v>57</v>
      </c>
      <c r="J59" s="30" t="str">
        <f t="shared" si="5"/>
        <v>B</v>
      </c>
    </row>
    <row r="60" spans="1:10" ht="15" customHeight="1" x14ac:dyDescent="0.25">
      <c r="A60" s="42" t="str">
        <f>'OBE Sheet'!C47</f>
        <v>2023-CS-72</v>
      </c>
      <c r="B60" s="42" t="str">
        <f>'OBE Sheet'!D47</f>
        <v>Muntazer Mehdi</v>
      </c>
      <c r="C60" s="43"/>
      <c r="D60" s="55">
        <f>'OBE Sheet'!G47</f>
        <v>6</v>
      </c>
      <c r="E60" s="56">
        <f>'OBE Sheet'!L47</f>
        <v>12</v>
      </c>
      <c r="F60" s="55">
        <f>'OBE Sheet'!O47</f>
        <v>8</v>
      </c>
      <c r="G60" s="4">
        <f>'OBE Sheet'!T47</f>
        <v>24</v>
      </c>
      <c r="H60" s="40">
        <f>'OBE Sheet'!W47</f>
        <v>10</v>
      </c>
      <c r="I60" s="41">
        <f t="shared" si="4"/>
        <v>60</v>
      </c>
      <c r="J60" s="30" t="str">
        <f t="shared" si="5"/>
        <v>B+</v>
      </c>
    </row>
    <row r="61" spans="1:10" ht="15" customHeight="1" x14ac:dyDescent="0.25">
      <c r="A61" s="42" t="str">
        <f>'OBE Sheet'!C48</f>
        <v>2023-CS-74</v>
      </c>
      <c r="B61" s="42" t="str">
        <f>'OBE Sheet'!D48</f>
        <v>Owais Tariq</v>
      </c>
      <c r="C61" s="43"/>
      <c r="D61" s="55">
        <f>'OBE Sheet'!G48</f>
        <v>5</v>
      </c>
      <c r="E61" s="56">
        <f>'OBE Sheet'!L48</f>
        <v>12</v>
      </c>
      <c r="F61" s="55">
        <f>'OBE Sheet'!O48</f>
        <v>7</v>
      </c>
      <c r="G61" s="4">
        <f>'OBE Sheet'!T48</f>
        <v>23</v>
      </c>
      <c r="H61" s="40">
        <f>'OBE Sheet'!W48</f>
        <v>10</v>
      </c>
      <c r="I61" s="41">
        <f t="shared" si="4"/>
        <v>57</v>
      </c>
      <c r="J61" s="30" t="str">
        <f t="shared" si="5"/>
        <v>B</v>
      </c>
    </row>
    <row r="62" spans="1:10" ht="15" customHeight="1" x14ac:dyDescent="0.25">
      <c r="A62" s="42" t="str">
        <f>'OBE Sheet'!C49</f>
        <v>2023-CS-75</v>
      </c>
      <c r="B62" s="42" t="str">
        <f>'OBE Sheet'!D49</f>
        <v>Taha</v>
      </c>
      <c r="C62" s="43"/>
      <c r="D62" s="55">
        <f>'OBE Sheet'!G49</f>
        <v>6</v>
      </c>
      <c r="E62" s="56">
        <f>'OBE Sheet'!L49</f>
        <v>17</v>
      </c>
      <c r="F62" s="55">
        <f>'OBE Sheet'!O49</f>
        <v>8</v>
      </c>
      <c r="G62" s="4">
        <f>'OBE Sheet'!T49</f>
        <v>26</v>
      </c>
      <c r="H62" s="40">
        <f>'OBE Sheet'!W49</f>
        <v>10</v>
      </c>
      <c r="I62" s="41">
        <f t="shared" si="4"/>
        <v>67</v>
      </c>
      <c r="J62" s="30" t="str">
        <f t="shared" si="5"/>
        <v>B+</v>
      </c>
    </row>
    <row r="63" spans="1:10" ht="15" customHeight="1" x14ac:dyDescent="0.25">
      <c r="A63" s="42" t="str">
        <f>'OBE Sheet'!C50</f>
        <v>2023-CS-76</v>
      </c>
      <c r="B63" s="42" t="str">
        <f>'OBE Sheet'!D50</f>
        <v>Muhammad Adeel</v>
      </c>
      <c r="C63" s="43"/>
      <c r="D63" s="55">
        <f>'OBE Sheet'!G50</f>
        <v>5</v>
      </c>
      <c r="E63" s="56">
        <f>'OBE Sheet'!L50</f>
        <v>23</v>
      </c>
      <c r="F63" s="55">
        <f>'OBE Sheet'!O50</f>
        <v>8</v>
      </c>
      <c r="G63" s="4">
        <f>'OBE Sheet'!T50</f>
        <v>25</v>
      </c>
      <c r="H63" s="40">
        <f>'OBE Sheet'!W50</f>
        <v>10</v>
      </c>
      <c r="I63" s="41">
        <f t="shared" si="4"/>
        <v>71</v>
      </c>
      <c r="J63" s="30" t="str">
        <f t="shared" si="5"/>
        <v>A-</v>
      </c>
    </row>
    <row r="64" spans="1:10" ht="15" customHeight="1" x14ac:dyDescent="0.25">
      <c r="A64" s="42" t="str">
        <f>'OBE Sheet'!C51</f>
        <v>2023-CS-78</v>
      </c>
      <c r="B64" s="42" t="str">
        <f>'OBE Sheet'!D51</f>
        <v>Momina Amjad</v>
      </c>
      <c r="C64" s="43"/>
      <c r="D64" s="55">
        <f>'OBE Sheet'!G51</f>
        <v>4</v>
      </c>
      <c r="E64" s="56">
        <f>'OBE Sheet'!L51</f>
        <v>19</v>
      </c>
      <c r="F64" s="55">
        <f>'OBE Sheet'!O51</f>
        <v>6</v>
      </c>
      <c r="G64" s="4">
        <f>'OBE Sheet'!T51</f>
        <v>29</v>
      </c>
      <c r="H64" s="40">
        <f>'OBE Sheet'!W51</f>
        <v>10</v>
      </c>
      <c r="I64" s="41">
        <f t="shared" si="4"/>
        <v>68</v>
      </c>
      <c r="J64" s="30" t="str">
        <f t="shared" si="5"/>
        <v>B+</v>
      </c>
    </row>
    <row r="65" spans="1:13" ht="15" customHeight="1" x14ac:dyDescent="0.25">
      <c r="A65" s="42" t="str">
        <f>'OBE Sheet'!C52</f>
        <v>2023-CS-80</v>
      </c>
      <c r="B65" s="42" t="str">
        <f>'OBE Sheet'!D52</f>
        <v>Ahmed</v>
      </c>
      <c r="C65" s="43"/>
      <c r="D65" s="55">
        <f>'OBE Sheet'!G52</f>
        <v>7</v>
      </c>
      <c r="E65" s="56">
        <f>'OBE Sheet'!L52</f>
        <v>17</v>
      </c>
      <c r="F65" s="55">
        <f>'OBE Sheet'!O52</f>
        <v>7</v>
      </c>
      <c r="G65" s="4">
        <f>'OBE Sheet'!T52</f>
        <v>25</v>
      </c>
      <c r="H65" s="40">
        <f>'OBE Sheet'!W52</f>
        <v>10</v>
      </c>
      <c r="I65" s="41">
        <f t="shared" si="4"/>
        <v>66</v>
      </c>
      <c r="J65" s="30" t="str">
        <f t="shared" si="5"/>
        <v>B+</v>
      </c>
      <c r="M65" t="s">
        <v>80</v>
      </c>
    </row>
    <row r="66" spans="1:13" ht="15" customHeight="1" x14ac:dyDescent="0.25">
      <c r="A66" s="42" t="str">
        <f>'OBE Sheet'!C53</f>
        <v>2023-CS-132</v>
      </c>
      <c r="B66" s="42" t="str">
        <f>'OBE Sheet'!D53</f>
        <v>Muhammad Hassan</v>
      </c>
      <c r="C66" s="43"/>
      <c r="D66" s="55">
        <f>'OBE Sheet'!G53</f>
        <v>7</v>
      </c>
      <c r="E66" s="56">
        <f>'OBE Sheet'!L53</f>
        <v>25</v>
      </c>
      <c r="F66" s="55">
        <f>'OBE Sheet'!O53</f>
        <v>8</v>
      </c>
      <c r="G66" s="4">
        <f>'OBE Sheet'!T53</f>
        <v>27</v>
      </c>
      <c r="H66" s="40">
        <f>'OBE Sheet'!W53</f>
        <v>10</v>
      </c>
      <c r="I66" s="41">
        <f t="shared" si="4"/>
        <v>77</v>
      </c>
      <c r="J66" s="30" t="str">
        <f t="shared" si="5"/>
        <v>A-</v>
      </c>
    </row>
    <row r="67" spans="1:13" ht="15" customHeight="1" x14ac:dyDescent="0.25">
      <c r="A67" s="42" t="str">
        <f>'OBE Sheet'!C54</f>
        <v>2023-CS-148</v>
      </c>
      <c r="B67" s="42" t="str">
        <f>'OBE Sheet'!D54</f>
        <v>Muhammad Ali Bahadur</v>
      </c>
      <c r="C67" s="43"/>
      <c r="D67" s="55">
        <f>'OBE Sheet'!G54</f>
        <v>7</v>
      </c>
      <c r="E67" s="56">
        <f>'OBE Sheet'!L54</f>
        <v>21</v>
      </c>
      <c r="F67" s="55">
        <f>'OBE Sheet'!O54</f>
        <v>9</v>
      </c>
      <c r="G67" s="4">
        <f>'OBE Sheet'!T54</f>
        <v>26</v>
      </c>
      <c r="H67" s="40">
        <f>'OBE Sheet'!W54</f>
        <v>10</v>
      </c>
      <c r="I67" s="41">
        <f t="shared" si="4"/>
        <v>73</v>
      </c>
      <c r="J67" s="30" t="str">
        <f t="shared" si="5"/>
        <v>A-</v>
      </c>
    </row>
    <row r="68" spans="1:13" ht="15" customHeight="1" x14ac:dyDescent="0.25">
      <c r="A68" s="42" t="str">
        <f>'OBE Sheet'!C55</f>
        <v>2023-CS-160</v>
      </c>
      <c r="B68" s="42" t="str">
        <f>'OBE Sheet'!D55</f>
        <v>Muhammad Hanzla</v>
      </c>
      <c r="C68" s="43"/>
      <c r="D68" s="55">
        <f>'OBE Sheet'!G55</f>
        <v>5</v>
      </c>
      <c r="E68" s="56">
        <f>'OBE Sheet'!L55</f>
        <v>3.5</v>
      </c>
      <c r="F68" s="55">
        <f>'OBE Sheet'!O55</f>
        <v>7</v>
      </c>
      <c r="G68" s="4">
        <f>'OBE Sheet'!T55</f>
        <v>16</v>
      </c>
      <c r="H68" s="40">
        <f>'OBE Sheet'!W55</f>
        <v>10</v>
      </c>
      <c r="I68" s="41">
        <f t="shared" si="4"/>
        <v>41.5</v>
      </c>
      <c r="J68" s="30" t="str">
        <f t="shared" si="5"/>
        <v>C+</v>
      </c>
    </row>
    <row r="69" spans="1:13" ht="15" customHeight="1" x14ac:dyDescent="0.25">
      <c r="A69" s="57"/>
      <c r="B69" s="57"/>
      <c r="C69" s="58"/>
      <c r="D69" s="47"/>
      <c r="E69" s="47"/>
      <c r="F69" s="62"/>
      <c r="G69" s="47"/>
      <c r="H69" s="59"/>
      <c r="I69" s="60"/>
      <c r="J69" s="61"/>
    </row>
    <row r="70" spans="1:13" ht="15" customHeight="1" x14ac:dyDescent="0.25">
      <c r="A70" s="57"/>
      <c r="B70" s="57"/>
      <c r="C70" s="58"/>
      <c r="D70" s="47"/>
      <c r="E70" s="47"/>
      <c r="F70" s="62"/>
      <c r="G70" s="47"/>
      <c r="H70" s="59"/>
      <c r="I70" s="60"/>
      <c r="J70" s="61"/>
    </row>
    <row r="71" spans="1:13" x14ac:dyDescent="0.25">
      <c r="A71" s="195" t="s">
        <v>81</v>
      </c>
      <c r="B71" s="195"/>
      <c r="C71" s="195"/>
      <c r="D71" s="195" t="s">
        <v>82</v>
      </c>
      <c r="E71" s="195"/>
      <c r="F71" s="195"/>
      <c r="G71" s="195"/>
      <c r="H71" s="195"/>
      <c r="I71" s="195"/>
      <c r="J71" s="195"/>
    </row>
    <row r="72" spans="1:13" x14ac:dyDescent="0.25">
      <c r="A72" s="178" t="str">
        <f>H5</f>
        <v>Mr. Abdul Basit</v>
      </c>
      <c r="B72" s="178"/>
      <c r="C72" s="178"/>
      <c r="D72" s="178" t="str">
        <f>'OBE Sheet'!V74</f>
        <v>(Engr. Dr. Muhammad Shahzad)</v>
      </c>
      <c r="E72" s="178"/>
      <c r="F72" s="178"/>
      <c r="G72" s="178"/>
      <c r="H72" s="178"/>
      <c r="I72" s="178"/>
      <c r="J72" s="178"/>
    </row>
  </sheetData>
  <protectedRanges>
    <protectedRange sqref="H9:H20" name="Range1"/>
  </protectedRanges>
  <mergeCells count="21">
    <mergeCell ref="A72:C72"/>
    <mergeCell ref="H5:J6"/>
    <mergeCell ref="H7:J7"/>
    <mergeCell ref="H21:I21"/>
    <mergeCell ref="B23:C23"/>
    <mergeCell ref="A24:C24"/>
    <mergeCell ref="A25:C25"/>
    <mergeCell ref="A71:C71"/>
    <mergeCell ref="A5:A6"/>
    <mergeCell ref="B5:E5"/>
    <mergeCell ref="F5:G6"/>
    <mergeCell ref="C6:E6"/>
    <mergeCell ref="D71:J71"/>
    <mergeCell ref="D72:J72"/>
    <mergeCell ref="A1:J1"/>
    <mergeCell ref="A2:J2"/>
    <mergeCell ref="B3:E3"/>
    <mergeCell ref="F3:G4"/>
    <mergeCell ref="H3:J3"/>
    <mergeCell ref="B4:E4"/>
    <mergeCell ref="H4:J4"/>
  </mergeCells>
  <conditionalFormatting sqref="I22:I70">
    <cfRule type="cellIs" dxfId="2" priority="1" operator="between">
      <formula>10</formula>
      <formula>40</formula>
    </cfRule>
    <cfRule type="cellIs" dxfId="1" priority="2" operator="between">
      <formula>1</formula>
      <formula>40</formula>
    </cfRule>
    <cfRule type="cellIs" dxfId="0" priority="3" operator="between">
      <formula>1</formula>
      <formula>45</formula>
    </cfRule>
  </conditionalFormatting>
  <printOptions horizontalCentered="1" verticalCentered="1"/>
  <pageMargins left="1.143700787" right="0.31496062992126" top="0.511811023622047" bottom="0.35433070866141703" header="0.31496062992126" footer="0.31496062992126"/>
  <pageSetup paperSize="9" scale="70" fitToHeight="0" orientation="portrait" r:id="rId1"/>
  <ignoredErrors>
    <ignoredError sqref="I2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B14A-4388-4462-BD91-A77105D087B4}">
  <dimension ref="A1:X10"/>
  <sheetViews>
    <sheetView workbookViewId="0">
      <selection activeCell="F6" sqref="F6"/>
    </sheetView>
  </sheetViews>
  <sheetFormatPr defaultRowHeight="15" x14ac:dyDescent="0.25"/>
  <cols>
    <col min="2" max="2" width="9.140625" customWidth="1"/>
  </cols>
  <sheetData>
    <row r="1" spans="1:24" x14ac:dyDescent="0.25">
      <c r="A1" s="66" t="s">
        <v>83</v>
      </c>
      <c r="B1" s="66" cm="1">
        <f t="array" ref="B1:D1">IFERROR(_xlfn._xlws.FILTER('OBE Sheet'!$E$10:$V$10,'CLO &amp; PLO'!A1='OBE Sheet'!$E$11:$V$11),0)</f>
        <v>10</v>
      </c>
      <c r="C1" s="66">
        <v>7</v>
      </c>
      <c r="D1" s="66">
        <v>10</v>
      </c>
      <c r="E1" s="66"/>
      <c r="F1" s="66"/>
      <c r="G1" s="66"/>
      <c r="H1" s="66"/>
      <c r="I1" s="66"/>
      <c r="J1" s="66"/>
      <c r="K1" s="66">
        <f>SUM(B1:J1)</f>
        <v>27</v>
      </c>
      <c r="L1" s="66"/>
      <c r="M1" s="66"/>
      <c r="N1" s="66" t="s">
        <v>93</v>
      </c>
      <c r="O1" s="66" cm="1">
        <f t="array" ref="O1">IFERROR( _xlfn._xlws.FILTER('OBE Sheet'!$E$10:$W$10,'CLO &amp; PLO'!N1='OBE Sheet'!$E$12:$W$12),0)</f>
        <v>0</v>
      </c>
      <c r="P1" s="66"/>
      <c r="Q1" s="66"/>
      <c r="R1" s="66"/>
      <c r="S1" s="66"/>
      <c r="T1" s="66"/>
      <c r="U1" s="66"/>
      <c r="V1" s="66"/>
      <c r="W1" s="66"/>
      <c r="X1" s="66">
        <f>SUM(O1:W1)</f>
        <v>0</v>
      </c>
    </row>
    <row r="2" spans="1:24" x14ac:dyDescent="0.25">
      <c r="A2" s="66" t="s">
        <v>84</v>
      </c>
      <c r="B2" s="66" cm="1">
        <f t="array" ref="B2:C2">IFERROR(_xlfn._xlws.FILTER('OBE Sheet'!$E$10:$V$10,'CLO &amp; PLO'!A2='OBE Sheet'!$E$11:$V$11),0)</f>
        <v>20</v>
      </c>
      <c r="C2" s="66">
        <v>5</v>
      </c>
      <c r="D2" s="66"/>
      <c r="E2" s="66"/>
      <c r="F2" s="66"/>
      <c r="G2" s="66"/>
      <c r="H2" s="66"/>
      <c r="I2" s="66"/>
      <c r="J2" s="66"/>
      <c r="K2" s="66">
        <f t="shared" ref="K2:K10" si="0">SUM(B2:J2)</f>
        <v>25</v>
      </c>
      <c r="L2" s="66"/>
      <c r="M2" s="66"/>
      <c r="N2" s="66" t="s">
        <v>94</v>
      </c>
      <c r="O2" s="66" cm="1">
        <f t="array" ref="O2:U2">IFERROR( _xlfn._xlws.FILTER('OBE Sheet'!$E$10:$W$10,'CLO &amp; PLO'!N2='OBE Sheet'!$E$12:$W$12),0)</f>
        <v>10</v>
      </c>
      <c r="P2" s="66">
        <v>7</v>
      </c>
      <c r="Q2" s="66">
        <v>20</v>
      </c>
      <c r="R2" s="66">
        <v>3</v>
      </c>
      <c r="S2" s="66">
        <v>10</v>
      </c>
      <c r="T2" s="66">
        <v>20</v>
      </c>
      <c r="U2" s="66">
        <v>5</v>
      </c>
      <c r="V2" s="66"/>
      <c r="W2" s="66"/>
      <c r="X2" s="66">
        <f t="shared" ref="X2:X10" si="1">SUM(O2:W2)</f>
        <v>75</v>
      </c>
    </row>
    <row r="3" spans="1:24" x14ac:dyDescent="0.25">
      <c r="A3" s="66" t="s">
        <v>85</v>
      </c>
      <c r="B3" s="66" cm="1">
        <f t="array" ref="B3:C3">IFERROR(_xlfn._xlws.FILTER('OBE Sheet'!$E$10:$V$10,'CLO &amp; PLO'!A3='OBE Sheet'!$E$11:$V$11),0)</f>
        <v>3</v>
      </c>
      <c r="C3" s="66">
        <v>20</v>
      </c>
      <c r="D3" s="66"/>
      <c r="E3" s="66"/>
      <c r="F3" s="66"/>
      <c r="G3" s="66"/>
      <c r="H3" s="66"/>
      <c r="I3" s="66"/>
      <c r="J3" s="66"/>
      <c r="K3" s="66">
        <f t="shared" si="0"/>
        <v>23</v>
      </c>
      <c r="L3" s="66"/>
      <c r="M3" s="66"/>
      <c r="N3" s="66" t="s">
        <v>95</v>
      </c>
      <c r="O3" s="66" cm="1">
        <f t="array" ref="O3:Q3">IFERROR( _xlfn._xlws.FILTER('OBE Sheet'!$E$10:$W$10,'CLO &amp; PLO'!N3='OBE Sheet'!$E$12:$W$12),0)</f>
        <v>10</v>
      </c>
      <c r="P3" s="66">
        <v>10</v>
      </c>
      <c r="Q3" s="66">
        <v>5</v>
      </c>
      <c r="R3" s="66"/>
      <c r="S3" s="66"/>
      <c r="T3" s="66"/>
      <c r="U3" s="66"/>
      <c r="V3" s="66"/>
      <c r="W3" s="66"/>
      <c r="X3" s="66">
        <f t="shared" si="1"/>
        <v>25</v>
      </c>
    </row>
    <row r="4" spans="1:24" x14ac:dyDescent="0.25">
      <c r="A4" s="66" t="s">
        <v>86</v>
      </c>
      <c r="B4" s="66" cm="1">
        <f t="array" ref="B4:D4">IFERROR(_xlfn._xlws.FILTER('OBE Sheet'!$E$10:$V$10,'CLO &amp; PLO'!A4='OBE Sheet'!$E$11:$V$11),0)</f>
        <v>10</v>
      </c>
      <c r="C4" s="66">
        <v>10</v>
      </c>
      <c r="D4" s="66">
        <v>5</v>
      </c>
      <c r="E4" s="66"/>
      <c r="F4" s="66"/>
      <c r="G4" s="66"/>
      <c r="H4" s="66"/>
      <c r="I4" s="66"/>
      <c r="J4" s="66"/>
      <c r="K4" s="66">
        <f t="shared" si="0"/>
        <v>25</v>
      </c>
      <c r="L4" s="66"/>
      <c r="M4" s="66"/>
      <c r="N4" s="66" t="s">
        <v>96</v>
      </c>
      <c r="O4" s="66" cm="1">
        <f t="array" ref="O4">IFERROR( _xlfn._xlws.FILTER('OBE Sheet'!$E$10:$W$10,'CLO &amp; PLO'!N4='OBE Sheet'!$E$12:$W$12),0)</f>
        <v>0</v>
      </c>
      <c r="P4" s="66"/>
      <c r="Q4" s="66"/>
      <c r="R4" s="66"/>
      <c r="S4" s="66"/>
      <c r="T4" s="66"/>
      <c r="U4" s="66"/>
      <c r="V4" s="66"/>
      <c r="W4" s="66"/>
      <c r="X4" s="66">
        <f t="shared" si="1"/>
        <v>0</v>
      </c>
    </row>
    <row r="5" spans="1:24" x14ac:dyDescent="0.25">
      <c r="A5" s="66" t="s">
        <v>87</v>
      </c>
      <c r="B5" s="66" cm="1">
        <f t="array" ref="B5">IFERROR(_xlfn._xlws.FILTER('OBE Sheet'!$E$10:$V$10,'CLO &amp; PLO'!A5='OBE Sheet'!$E$11:$V$11),0)</f>
        <v>0</v>
      </c>
      <c r="C5" s="66"/>
      <c r="D5" s="66"/>
      <c r="E5" s="66"/>
      <c r="F5" s="66"/>
      <c r="G5" s="66"/>
      <c r="H5" s="66"/>
      <c r="I5" s="66"/>
      <c r="J5" s="66"/>
      <c r="K5" s="66">
        <f t="shared" si="0"/>
        <v>0</v>
      </c>
      <c r="L5" s="66"/>
      <c r="M5" s="66"/>
      <c r="N5" s="66" t="s">
        <v>97</v>
      </c>
      <c r="O5" s="66" cm="1">
        <f t="array" ref="O5">IFERROR( _xlfn._xlws.FILTER('OBE Sheet'!$E$10:$W$10,'CLO &amp; PLO'!N5='OBE Sheet'!$E$12:$W$12),0)</f>
        <v>0</v>
      </c>
      <c r="P5" s="66"/>
      <c r="Q5" s="66"/>
      <c r="R5" s="66"/>
      <c r="S5" s="66"/>
      <c r="T5" s="66"/>
      <c r="U5" s="66"/>
      <c r="V5" s="66"/>
      <c r="W5" s="66"/>
      <c r="X5" s="66">
        <f t="shared" si="1"/>
        <v>0</v>
      </c>
    </row>
    <row r="6" spans="1:24" x14ac:dyDescent="0.25">
      <c r="A6" s="66" t="s">
        <v>88</v>
      </c>
      <c r="B6" s="66" cm="1">
        <f t="array" ref="B6">IFERROR(_xlfn._xlws.FILTER('OBE Sheet'!$E$10:$V$10,'CLO &amp; PLO'!A6='OBE Sheet'!$E$11:$V$11),0)</f>
        <v>0</v>
      </c>
      <c r="C6" s="66"/>
      <c r="D6" s="66"/>
      <c r="E6" s="66"/>
      <c r="F6" s="66"/>
      <c r="G6" s="66"/>
      <c r="H6" s="66"/>
      <c r="I6" s="66"/>
      <c r="J6" s="66"/>
      <c r="K6" s="66">
        <f t="shared" si="0"/>
        <v>0</v>
      </c>
      <c r="L6" s="66"/>
      <c r="M6" s="66"/>
      <c r="N6" s="66" t="s">
        <v>98</v>
      </c>
      <c r="O6" s="66" cm="1">
        <f t="array" ref="O6">IFERROR( _xlfn._xlws.FILTER('OBE Sheet'!$E$10:$W$10,'CLO &amp; PLO'!N6='OBE Sheet'!$E$12:$W$12),0)</f>
        <v>0</v>
      </c>
      <c r="P6" s="66"/>
      <c r="Q6" s="66"/>
      <c r="R6" s="66"/>
      <c r="S6" s="66"/>
      <c r="T6" s="66"/>
      <c r="U6" s="66"/>
      <c r="V6" s="66"/>
      <c r="W6" s="66"/>
      <c r="X6" s="66">
        <f t="shared" si="1"/>
        <v>0</v>
      </c>
    </row>
    <row r="7" spans="1:24" x14ac:dyDescent="0.25">
      <c r="A7" s="66" t="s">
        <v>89</v>
      </c>
      <c r="B7" s="66" cm="1">
        <f t="array" ref="B7">IFERROR(_xlfn._xlws.FILTER('OBE Sheet'!$E$10:$V$10,'CLO &amp; PLO'!A7='OBE Sheet'!$E$11:$V$11),0)</f>
        <v>0</v>
      </c>
      <c r="C7" s="66"/>
      <c r="D7" s="66"/>
      <c r="E7" s="66"/>
      <c r="F7" s="66"/>
      <c r="G7" s="66"/>
      <c r="H7" s="66"/>
      <c r="I7" s="66"/>
      <c r="J7" s="66"/>
      <c r="K7" s="66">
        <f t="shared" si="0"/>
        <v>0</v>
      </c>
      <c r="L7" s="66"/>
      <c r="M7" s="66"/>
      <c r="N7" s="66" t="s">
        <v>99</v>
      </c>
      <c r="O7" s="66" cm="1">
        <f t="array" ref="O7">IFERROR( _xlfn._xlws.FILTER('OBE Sheet'!$E$10:$W$10,'CLO &amp; PLO'!N7='OBE Sheet'!$E$12:$W$12),0)</f>
        <v>0</v>
      </c>
      <c r="P7" s="66"/>
      <c r="Q7" s="66"/>
      <c r="R7" s="66"/>
      <c r="S7" s="66"/>
      <c r="T7" s="66"/>
      <c r="U7" s="66"/>
      <c r="V7" s="66"/>
      <c r="W7" s="66"/>
      <c r="X7" s="66">
        <f t="shared" si="1"/>
        <v>0</v>
      </c>
    </row>
    <row r="8" spans="1:24" x14ac:dyDescent="0.25">
      <c r="A8" s="66" t="s">
        <v>90</v>
      </c>
      <c r="B8" s="66" cm="1">
        <f t="array" ref="B8">IFERROR(_xlfn._xlws.FILTER('OBE Sheet'!$E$10:$V$10,'CLO &amp; PLO'!A8='OBE Sheet'!$E$11:$V$11),0)</f>
        <v>0</v>
      </c>
      <c r="C8" s="66"/>
      <c r="D8" s="66"/>
      <c r="E8" s="66"/>
      <c r="F8" s="66"/>
      <c r="G8" s="66"/>
      <c r="H8" s="66"/>
      <c r="I8" s="66"/>
      <c r="J8" s="66"/>
      <c r="K8" s="66">
        <f t="shared" si="0"/>
        <v>0</v>
      </c>
      <c r="L8" s="66"/>
      <c r="M8" s="66"/>
      <c r="N8" s="66" t="s">
        <v>100</v>
      </c>
      <c r="O8" s="66" cm="1">
        <f t="array" ref="O8">IFERROR( _xlfn._xlws.FILTER('OBE Sheet'!$E$10:$W$10,'CLO &amp; PLO'!N8='OBE Sheet'!$E$12:$W$12),0)</f>
        <v>0</v>
      </c>
      <c r="P8" s="66"/>
      <c r="Q8" s="66"/>
      <c r="R8" s="66"/>
      <c r="S8" s="66"/>
      <c r="T8" s="66"/>
      <c r="U8" s="66"/>
      <c r="V8" s="66"/>
      <c r="W8" s="66"/>
      <c r="X8" s="66">
        <f t="shared" si="1"/>
        <v>0</v>
      </c>
    </row>
    <row r="9" spans="1:24" x14ac:dyDescent="0.25">
      <c r="A9" s="66" t="s">
        <v>91</v>
      </c>
      <c r="B9" s="66" cm="1">
        <f t="array" ref="B9">IFERROR(_xlfn._xlws.FILTER('OBE Sheet'!$E$10:$V$10,'CLO &amp; PLO'!A9='OBE Sheet'!$E$11:$V$11),0)</f>
        <v>0</v>
      </c>
      <c r="C9" s="66"/>
      <c r="D9" s="66"/>
      <c r="E9" s="66"/>
      <c r="F9" s="66"/>
      <c r="G9" s="66"/>
      <c r="H9" s="66"/>
      <c r="I9" s="66"/>
      <c r="J9" s="66"/>
      <c r="K9" s="66">
        <f t="shared" si="0"/>
        <v>0</v>
      </c>
      <c r="L9" s="66"/>
      <c r="M9" s="66"/>
      <c r="N9" s="66" t="s">
        <v>101</v>
      </c>
      <c r="O9" s="66" cm="1">
        <f t="array" ref="O9">IFERROR( _xlfn._xlws.FILTER('OBE Sheet'!$E$10:$W$10,'CLO &amp; PLO'!N9='OBE Sheet'!$E$12:$W$12),0)</f>
        <v>0</v>
      </c>
      <c r="P9" s="66"/>
      <c r="Q9" s="66"/>
      <c r="R9" s="66"/>
      <c r="S9" s="66"/>
      <c r="T9" s="66"/>
      <c r="U9" s="66"/>
      <c r="V9" s="66"/>
      <c r="W9" s="66"/>
      <c r="X9" s="66">
        <f t="shared" si="1"/>
        <v>0</v>
      </c>
    </row>
    <row r="10" spans="1:24" x14ac:dyDescent="0.25">
      <c r="A10" s="66" t="s">
        <v>92</v>
      </c>
      <c r="B10" s="66" cm="1">
        <f t="array" ref="B10">IFERROR(_xlfn._xlws.FILTER('OBE Sheet'!$E$10:$V$10,'CLO &amp; PLO'!A10='OBE Sheet'!$E$11:$V$11),0)</f>
        <v>0</v>
      </c>
      <c r="C10" s="66"/>
      <c r="D10" s="66"/>
      <c r="E10" s="66"/>
      <c r="F10" s="66"/>
      <c r="G10" s="66"/>
      <c r="H10" s="66"/>
      <c r="I10" s="66"/>
      <c r="J10" s="66"/>
      <c r="K10" s="66">
        <f t="shared" si="0"/>
        <v>0</v>
      </c>
      <c r="L10" s="66"/>
      <c r="M10" s="66"/>
      <c r="N10" s="66" t="s">
        <v>102</v>
      </c>
      <c r="O10" s="66" cm="1">
        <f t="array" ref="O10">IFERROR( _xlfn._xlws.FILTER('OBE Sheet'!$E$10:$W$10,'CLO &amp; PLO'!N10='OBE Sheet'!$E$12:$W$12),0)</f>
        <v>0</v>
      </c>
      <c r="P10" s="66"/>
      <c r="Q10" s="66"/>
      <c r="R10" s="66"/>
      <c r="S10" s="66"/>
      <c r="T10" s="66"/>
      <c r="U10" s="66"/>
      <c r="V10" s="66"/>
      <c r="W10" s="66"/>
      <c r="X10" s="66">
        <f t="shared" si="1"/>
        <v>0</v>
      </c>
    </row>
  </sheetData>
  <sheetProtection algorithmName="SHA-512" hashValue="ie1aAWsmDEzef+nq7gZt5pvrvHvMXldIL2MQ6Y3ZFhZEgDge84dNmrtFhVUZZvtc2cAR/Iq5cDBik4Eh6x/Vgg==" saltValue="Eiy08jP6YIFimPEDictlAg==" spinCount="100000" sheet="1" objects="1" scenarios="1" selectLockedCells="1" selectUnlockedCells="1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OBE Sheet</vt:lpstr>
      <vt:lpstr>Result Sheet</vt:lpstr>
      <vt:lpstr>CLO &amp; PLO</vt:lpstr>
      <vt:lpstr>'OBE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Abdul Basit</cp:lastModifiedBy>
  <cp:lastPrinted>2025-01-24T06:22:07Z</cp:lastPrinted>
  <dcterms:created xsi:type="dcterms:W3CDTF">2017-11-28T16:12:23Z</dcterms:created>
  <dcterms:modified xsi:type="dcterms:W3CDTF">2025-02-03T07:30:36Z</dcterms:modified>
</cp:coreProperties>
</file>