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F2C2929D-B6FA-42BA-ACAB-181578B8A00F}" xr6:coauthVersionLast="47" xr6:coauthVersionMax="47" xr10:uidLastSave="{00000000-0000-0000-0000-000000000000}"/>
  <bookViews>
    <workbookView xWindow="-120" yWindow="-120" windowWidth="20730" windowHeight="11160" xr2:uid="{3F237A4C-153A-4BCF-9042-705D4180B32E}"/>
  </bookViews>
  <sheets>
    <sheet name="Sheet1" sheetId="1" r:id="rId1"/>
    <sheet name="Electi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1" i="1" l="1"/>
  <c r="E111" i="1"/>
  <c r="H78" i="1"/>
  <c r="H33" i="1"/>
  <c r="H98" i="1"/>
  <c r="H91" i="1"/>
  <c r="H61" i="1"/>
  <c r="H45" i="1"/>
  <c r="H23" i="1"/>
  <c r="H14" i="1"/>
  <c r="H100" i="1" l="1"/>
</calcChain>
</file>

<file path=xl/sharedStrings.xml><?xml version="1.0" encoding="utf-8"?>
<sst xmlns="http://schemas.openxmlformats.org/spreadsheetml/2006/main" count="562" uniqueCount="247">
  <si>
    <t xml:space="preserve">Code </t>
  </si>
  <si>
    <t>Pre-</t>
  </si>
  <si>
    <t>Course Title</t>
  </si>
  <si>
    <t xml:space="preserve">Dom </t>
  </si>
  <si>
    <t>Cr Hr</t>
  </si>
  <si>
    <t xml:space="preserve"> </t>
  </si>
  <si>
    <t xml:space="preserve">Programming Fundamentals </t>
  </si>
  <si>
    <t xml:space="preserve">Core </t>
  </si>
  <si>
    <t xml:space="preserve">Object Oriented Programming </t>
  </si>
  <si>
    <t xml:space="preserve">Database Systems </t>
  </si>
  <si>
    <t xml:space="preserve">Digital Logic Design </t>
  </si>
  <si>
    <t xml:space="preserve">3 (2-3) </t>
  </si>
  <si>
    <t xml:space="preserve">Data Structures </t>
  </si>
  <si>
    <t xml:space="preserve">Information Security </t>
  </si>
  <si>
    <t xml:space="preserve">Artificial Intelligence </t>
  </si>
  <si>
    <t xml:space="preserve">Computer Networks </t>
  </si>
  <si>
    <t xml:space="preserve">Software Engineering </t>
  </si>
  <si>
    <t xml:space="preserve">3 (3-0) </t>
  </si>
  <si>
    <t xml:space="preserve">Computer Organization &amp; Assembly Language </t>
  </si>
  <si>
    <t xml:space="preserve">Operating Systems    </t>
  </si>
  <si>
    <t xml:space="preserve">Analysis of Algorithms </t>
  </si>
  <si>
    <t xml:space="preserve">Final Year Project - I                                                   </t>
  </si>
  <si>
    <t xml:space="preserve">FYP-I </t>
  </si>
  <si>
    <t xml:space="preserve">Final Year Project - II                                                 </t>
  </si>
  <si>
    <t xml:space="preserve">Total </t>
  </si>
  <si>
    <t>Total CR</t>
  </si>
  <si>
    <t xml:space="preserve">Web Technologies </t>
  </si>
  <si>
    <t xml:space="preserve">Domain Core </t>
  </si>
  <si>
    <t xml:space="preserve">Cyber Security </t>
  </si>
  <si>
    <t xml:space="preserve">DB Administration &amp; Management </t>
  </si>
  <si>
    <t xml:space="preserve">System &amp; Network Administration </t>
  </si>
  <si>
    <t xml:space="preserve">Information Technology Infrastructure </t>
  </si>
  <si>
    <t xml:space="preserve">Application of Information &amp; Communication Technologies </t>
  </si>
  <si>
    <t xml:space="preserve">GER </t>
  </si>
  <si>
    <t xml:space="preserve">Functional English </t>
  </si>
  <si>
    <t xml:space="preserve">Expository Writing </t>
  </si>
  <si>
    <t xml:space="preserve">Islamic Studies                                             </t>
  </si>
  <si>
    <t xml:space="preserve">2 (2-0) </t>
  </si>
  <si>
    <t xml:space="preserve">Ideology and Constitution of Pakistan                                           </t>
  </si>
  <si>
    <t xml:space="preserve">Social Sciences (Example: Introduction to Management) </t>
  </si>
  <si>
    <t xml:space="preserve">Entrepreneurship </t>
  </si>
  <si>
    <t xml:space="preserve">Linear Algebra </t>
  </si>
  <si>
    <t xml:space="preserve">Maths </t>
  </si>
  <si>
    <t xml:space="preserve">Probability &amp; Statistics </t>
  </si>
  <si>
    <t xml:space="preserve">Multivariable Calculus </t>
  </si>
  <si>
    <t xml:space="preserve">Technical &amp; Business Writing </t>
  </si>
  <si>
    <t xml:space="preserve">EW </t>
  </si>
  <si>
    <t xml:space="preserve">SS </t>
  </si>
  <si>
    <t xml:space="preserve">Visual Programming  </t>
  </si>
  <si>
    <t xml:space="preserve">Theory of Automata </t>
  </si>
  <si>
    <t xml:space="preserve">HCI &amp; Computer Graphics </t>
  </si>
  <si>
    <t xml:space="preserve">Web Engineering </t>
  </si>
  <si>
    <t xml:space="preserve">Cloud Computing </t>
  </si>
  <si>
    <t xml:space="preserve">Software Project Management </t>
  </si>
  <si>
    <t xml:space="preserve">Civics and Community Engagement </t>
  </si>
  <si>
    <t xml:space="preserve">Applied Physics </t>
  </si>
  <si>
    <t>Functional English</t>
  </si>
  <si>
    <t>Calculus and Analytic Geometry</t>
  </si>
  <si>
    <t xml:space="preserve"> Data Structures </t>
  </si>
  <si>
    <t>Discrete Structures</t>
  </si>
  <si>
    <t>#</t>
  </si>
  <si>
    <t>Domain Elective-II</t>
  </si>
  <si>
    <t>Domain Elective-I</t>
  </si>
  <si>
    <t>Domain Elective-III</t>
  </si>
  <si>
    <t>Domain Elective-IV</t>
  </si>
  <si>
    <t>Domain Elective-V</t>
  </si>
  <si>
    <t>Domain Elective-VI</t>
  </si>
  <si>
    <t>Domain Elective-VII</t>
  </si>
  <si>
    <t>ENG-161</t>
  </si>
  <si>
    <t>MTH-171</t>
  </si>
  <si>
    <t>ENG-162</t>
  </si>
  <si>
    <t>MTH-172</t>
  </si>
  <si>
    <t>MTH-273</t>
  </si>
  <si>
    <t>ENG-263</t>
  </si>
  <si>
    <t>MTH-274</t>
  </si>
  <si>
    <t>PHY-151</t>
  </si>
  <si>
    <t>CSC-111</t>
  </si>
  <si>
    <t>CSC-112</t>
  </si>
  <si>
    <t>CSC-213</t>
  </si>
  <si>
    <t>CSC-214</t>
  </si>
  <si>
    <t>CSC-152</t>
  </si>
  <si>
    <t>IST-201</t>
  </si>
  <si>
    <t>PST-201</t>
  </si>
  <si>
    <t>CSC-253</t>
  </si>
  <si>
    <t>CSC-221</t>
  </si>
  <si>
    <t>CSC-215</t>
  </si>
  <si>
    <t>CSC-331</t>
  </si>
  <si>
    <t>CSC-332</t>
  </si>
  <si>
    <t>PP-401</t>
  </si>
  <si>
    <t>MGT-401</t>
  </si>
  <si>
    <t>MGT-402</t>
  </si>
  <si>
    <t>CSC-315</t>
  </si>
  <si>
    <t>CS-101</t>
  </si>
  <si>
    <t>CS-102</t>
  </si>
  <si>
    <t>Applied Physics</t>
  </si>
  <si>
    <t xml:space="preserve">Computer Architecture </t>
  </si>
  <si>
    <t xml:space="preserve">Network Security </t>
  </si>
  <si>
    <t xml:space="preserve">Software Requirement Engineering </t>
  </si>
  <si>
    <t>Domain Elective</t>
  </si>
  <si>
    <t>Professional Practices</t>
  </si>
  <si>
    <t>MGT-403</t>
  </si>
  <si>
    <t>SS-201</t>
  </si>
  <si>
    <t>Financial Accounting</t>
  </si>
  <si>
    <t xml:space="preserve">Virtual Systems &amp; Services </t>
  </si>
  <si>
    <t xml:space="preserve">Domain Elective </t>
  </si>
  <si>
    <t xml:space="preserve">Enterprise Systems </t>
  </si>
  <si>
    <t>Wireless Networks</t>
  </si>
  <si>
    <t>Digital Signal Processing</t>
  </si>
  <si>
    <t xml:space="preserve">Mobile Application Development 1 </t>
  </si>
  <si>
    <t>CSC-381</t>
  </si>
  <si>
    <t>Semester</t>
  </si>
  <si>
    <t>CSC-111L</t>
  </si>
  <si>
    <t xml:space="preserve">1(0-3) </t>
  </si>
  <si>
    <t>PHY-151L</t>
  </si>
  <si>
    <t>CSC-112L</t>
  </si>
  <si>
    <t>CSC-152L</t>
  </si>
  <si>
    <t>CSC-213L</t>
  </si>
  <si>
    <t>CSC-253L</t>
  </si>
  <si>
    <t>CSC-221L</t>
  </si>
  <si>
    <t>CSC-215L</t>
  </si>
  <si>
    <t>CSC-331L</t>
  </si>
  <si>
    <t>CSC-315L</t>
  </si>
  <si>
    <t>CSC-332L</t>
  </si>
  <si>
    <t>GER</t>
  </si>
  <si>
    <t>1(1-0)</t>
  </si>
  <si>
    <t>Teaching of Holy Quran with Translation-IV</t>
  </si>
  <si>
    <t>Teaching of Holy Quran with Translation-I/ Ethics-I</t>
  </si>
  <si>
    <t>Teaching of Holy Quran with Translation-II/ Ethics-II</t>
  </si>
  <si>
    <t>*3</t>
  </si>
  <si>
    <t>MTH-101</t>
  </si>
  <si>
    <t>MTH-102</t>
  </si>
  <si>
    <t xml:space="preserve"> Scheme of Study  BS Information Technology </t>
  </si>
  <si>
    <t>Teaching of Holy Quran with Translation-III/ Ethics-III</t>
  </si>
  <si>
    <t>FYP-491</t>
  </si>
  <si>
    <t>FYP-492</t>
  </si>
  <si>
    <t>Basic Math-II ( Deficiency Course )</t>
  </si>
  <si>
    <t>Basic Math-I ( Deficiency Course )</t>
  </si>
  <si>
    <t>QS-110</t>
  </si>
  <si>
    <t>QS-210</t>
  </si>
  <si>
    <t>ITC-333</t>
  </si>
  <si>
    <t>ITC-333L</t>
  </si>
  <si>
    <t>ITC-343</t>
  </si>
  <si>
    <t>ITC-343L</t>
  </si>
  <si>
    <t>ITC-434</t>
  </si>
  <si>
    <t>ITC-434L</t>
  </si>
  <si>
    <t>ITC-435</t>
  </si>
  <si>
    <t>ITC-435L</t>
  </si>
  <si>
    <t>ITC-416</t>
  </si>
  <si>
    <t>ITC-416L</t>
  </si>
  <si>
    <t>ITE-2001</t>
  </si>
  <si>
    <t>ITE-2002</t>
  </si>
  <si>
    <t>ITE-3XXX</t>
  </si>
  <si>
    <t>ITE-3403</t>
  </si>
  <si>
    <t>ITE-3804</t>
  </si>
  <si>
    <t>ITE-3305</t>
  </si>
  <si>
    <t>ITE-3806</t>
  </si>
  <si>
    <t>ITE-4XXX</t>
  </si>
  <si>
    <t>Sr.</t>
  </si>
  <si>
    <t>Course Code</t>
  </si>
  <si>
    <t>ITE-3107</t>
  </si>
  <si>
    <t>ITE-3108</t>
  </si>
  <si>
    <t>ITE-3109</t>
  </si>
  <si>
    <t>ITE-3310</t>
  </si>
  <si>
    <t>ITE-4511</t>
  </si>
  <si>
    <t>ITE-4312</t>
  </si>
  <si>
    <t>ITE-4113</t>
  </si>
  <si>
    <t>ITE-4114</t>
  </si>
  <si>
    <t xml:space="preserve">Generic Structure for Computing Disciplines: </t>
  </si>
  <si>
    <t xml:space="preserve">Areas </t>
  </si>
  <si>
    <t xml:space="preserve">Credit Hours </t>
  </si>
  <si>
    <t xml:space="preserve">Courses </t>
  </si>
  <si>
    <t xml:space="preserve">Computing Core </t>
  </si>
  <si>
    <t xml:space="preserve">Mathematics &amp; Supporting Courses </t>
  </si>
  <si>
    <t xml:space="preserve">Elective Supporting Courses </t>
  </si>
  <si>
    <t xml:space="preserve">General Education Requirement </t>
  </si>
  <si>
    <t xml:space="preserve">Totals </t>
  </si>
  <si>
    <t>QS-410</t>
  </si>
  <si>
    <t>QS-310</t>
  </si>
  <si>
    <t>Domain Elective-II &amp; III</t>
  </si>
  <si>
    <t>ITE-2XXX</t>
  </si>
  <si>
    <t>ITE-2901</t>
  </si>
  <si>
    <t>ITE-2902</t>
  </si>
  <si>
    <t>ITE-39XX</t>
  </si>
  <si>
    <t>ITE-3903</t>
  </si>
  <si>
    <t>ITE-3904</t>
  </si>
  <si>
    <t>ITE-3905</t>
  </si>
  <si>
    <t>ITE-3906</t>
  </si>
  <si>
    <t>Data Structures</t>
  </si>
  <si>
    <t>Database Systems</t>
  </si>
  <si>
    <t xml:space="preserve">Operating Systems </t>
  </si>
  <si>
    <t>Information Technology Infrastructure</t>
  </si>
  <si>
    <t>ITC-322</t>
  </si>
  <si>
    <t>ITC-322L</t>
  </si>
  <si>
    <t>Domain Elective-IV, V &amp; VI</t>
  </si>
  <si>
    <t xml:space="preserve">Mobile Application Development  </t>
  </si>
  <si>
    <t>ITE-3308</t>
  </si>
  <si>
    <t>ITE-3309</t>
  </si>
  <si>
    <t>ITE-3311</t>
  </si>
  <si>
    <t>ITE-3312</t>
  </si>
  <si>
    <t xml:space="preserve">Data Base </t>
  </si>
  <si>
    <t>Networking</t>
  </si>
  <si>
    <t xml:space="preserve">Elective Course </t>
  </si>
  <si>
    <t xml:space="preserve">Course Category </t>
  </si>
  <si>
    <t xml:space="preserve">Number </t>
  </si>
  <si>
    <t>Programming Fundamentals</t>
  </si>
  <si>
    <t xml:space="preserve">English </t>
  </si>
  <si>
    <t>Math</t>
  </si>
  <si>
    <t>Web</t>
  </si>
  <si>
    <t>General</t>
  </si>
  <si>
    <t>Architecture</t>
  </si>
  <si>
    <t>Software Development</t>
  </si>
  <si>
    <t xml:space="preserve">Related SDG </t>
  </si>
  <si>
    <t>4,9</t>
  </si>
  <si>
    <t>4,8,916</t>
  </si>
  <si>
    <t>1,2,4,9,16</t>
  </si>
  <si>
    <t>4,8,9,12,16</t>
  </si>
  <si>
    <t>4,16</t>
  </si>
  <si>
    <t>4,8,9</t>
  </si>
  <si>
    <t>4,9,12,15</t>
  </si>
  <si>
    <t>4,9,11,12</t>
  </si>
  <si>
    <t>4,11</t>
  </si>
  <si>
    <t>4,10,16,17</t>
  </si>
  <si>
    <t>4,5,16,16,17</t>
  </si>
  <si>
    <t>1,8,9</t>
  </si>
  <si>
    <t>3,4,7,8,9,11,12,13,16,17</t>
  </si>
  <si>
    <t>4,8,9,11,16</t>
  </si>
  <si>
    <t>4,8,9,11,13,16</t>
  </si>
  <si>
    <t>4,8,9,10,17</t>
  </si>
  <si>
    <t>4,8,9,12</t>
  </si>
  <si>
    <t>4,8,9,16</t>
  </si>
  <si>
    <t>4,8,9,10</t>
  </si>
  <si>
    <t>4,8,9,11,17</t>
  </si>
  <si>
    <t>4,8,10,16,17</t>
  </si>
  <si>
    <t>4,8,9,10,11,13</t>
  </si>
  <si>
    <t>8,9,12</t>
  </si>
  <si>
    <t>E-Commerce</t>
  </si>
  <si>
    <t>Multimedia Systems and Design</t>
  </si>
  <si>
    <t xml:space="preserve">Business Intelligence </t>
  </si>
  <si>
    <t>ITE-4015</t>
  </si>
  <si>
    <t>Introduction to Data Science</t>
  </si>
  <si>
    <t xml:space="preserve"> Introduction to Data Science </t>
  </si>
  <si>
    <t xml:space="preserve"> Core </t>
  </si>
  <si>
    <t>8,9,12,17</t>
  </si>
  <si>
    <t>Human Computer Interaction</t>
  </si>
  <si>
    <t>3,4,8,9,10</t>
  </si>
  <si>
    <t>ITE-3313</t>
  </si>
  <si>
    <t>ITE-4016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</si>
</sst>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7"/>
      <color rgb="FF000000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8"/>
      <name val="Times New Roman"/>
      <family val="1"/>
    </font>
    <font>
      <b/>
      <sz val="8"/>
      <color rgb="FF000000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/>
    <xf numFmtId="0" fontId="9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847A-FFE9-457F-95BC-C637BB2C4154}">
  <sheetPr>
    <pageSetUpPr fitToPage="1"/>
  </sheetPr>
  <dimension ref="A2:I142"/>
  <sheetViews>
    <sheetView tabSelected="1" topLeftCell="A34" zoomScale="130" zoomScaleNormal="130" workbookViewId="0">
      <selection activeCell="D40" sqref="D40"/>
    </sheetView>
  </sheetViews>
  <sheetFormatPr defaultRowHeight="20.25" x14ac:dyDescent="0.25"/>
  <cols>
    <col min="1" max="1" width="3.140625" style="34" customWidth="1"/>
    <col min="2" max="2" width="7.140625" style="54" customWidth="1"/>
    <col min="3" max="3" width="19.5703125" style="44" customWidth="1"/>
    <col min="4" max="4" width="37.85546875" style="44" customWidth="1"/>
    <col min="5" max="5" width="11.42578125" style="34" customWidth="1"/>
    <col min="6" max="6" width="8.7109375" style="34" customWidth="1"/>
    <col min="7" max="7" width="7" style="34" bestFit="1" customWidth="1"/>
    <col min="8" max="8" width="6.7109375" style="34" bestFit="1" customWidth="1"/>
    <col min="9" max="9" width="10" style="41" bestFit="1" customWidth="1"/>
    <col min="10" max="16384" width="9.140625" style="4"/>
  </cols>
  <sheetData>
    <row r="2" spans="1:9" x14ac:dyDescent="0.25">
      <c r="B2" s="101" t="s">
        <v>131</v>
      </c>
      <c r="C2" s="102"/>
      <c r="D2" s="102"/>
      <c r="E2" s="102"/>
      <c r="F2" s="102"/>
      <c r="G2" s="102"/>
      <c r="H2" s="102"/>
    </row>
    <row r="3" spans="1:9" ht="21" thickBot="1" x14ac:dyDescent="0.3"/>
    <row r="4" spans="1:9" ht="27" customHeight="1" x14ac:dyDescent="0.25">
      <c r="A4" s="27" t="s">
        <v>60</v>
      </c>
      <c r="B4" s="48" t="s">
        <v>0</v>
      </c>
      <c r="C4" s="9" t="s">
        <v>1</v>
      </c>
      <c r="D4" s="31" t="s">
        <v>2</v>
      </c>
      <c r="E4" s="10" t="s">
        <v>3</v>
      </c>
      <c r="F4" s="95" t="s">
        <v>211</v>
      </c>
      <c r="G4" s="10" t="s">
        <v>4</v>
      </c>
      <c r="H4" s="10" t="s">
        <v>24</v>
      </c>
      <c r="I4" s="11" t="s">
        <v>110</v>
      </c>
    </row>
    <row r="5" spans="1:9" x14ac:dyDescent="0.25">
      <c r="A5" s="28">
        <v>1</v>
      </c>
      <c r="B5" s="6" t="s">
        <v>76</v>
      </c>
      <c r="C5" s="3" t="s">
        <v>5</v>
      </c>
      <c r="D5" s="1" t="s">
        <v>6</v>
      </c>
      <c r="E5" s="2" t="s">
        <v>7</v>
      </c>
      <c r="F5" s="2" t="s">
        <v>212</v>
      </c>
      <c r="G5" s="2">
        <v>3</v>
      </c>
      <c r="H5" s="2">
        <v>3</v>
      </c>
      <c r="I5" s="12">
        <v>1</v>
      </c>
    </row>
    <row r="6" spans="1:9" x14ac:dyDescent="0.25">
      <c r="A6" s="28">
        <v>2</v>
      </c>
      <c r="B6" s="6" t="s">
        <v>111</v>
      </c>
      <c r="C6" s="3" t="s">
        <v>5</v>
      </c>
      <c r="D6" s="1" t="s">
        <v>6</v>
      </c>
      <c r="E6" s="2" t="s">
        <v>7</v>
      </c>
      <c r="F6" s="2"/>
      <c r="G6" s="2" t="s">
        <v>112</v>
      </c>
      <c r="H6" s="2">
        <v>1</v>
      </c>
      <c r="I6" s="12">
        <v>1</v>
      </c>
    </row>
    <row r="7" spans="1:9" ht="22.5" x14ac:dyDescent="0.25">
      <c r="A7" s="28">
        <v>3</v>
      </c>
      <c r="B7" s="6" t="s">
        <v>92</v>
      </c>
      <c r="C7" s="7" t="s">
        <v>5</v>
      </c>
      <c r="D7" s="7" t="s">
        <v>32</v>
      </c>
      <c r="E7" s="2" t="s">
        <v>33</v>
      </c>
      <c r="F7" s="2">
        <v>4</v>
      </c>
      <c r="G7" s="2">
        <v>3</v>
      </c>
      <c r="H7" s="2">
        <v>3</v>
      </c>
      <c r="I7" s="12">
        <v>1</v>
      </c>
    </row>
    <row r="8" spans="1:9" x14ac:dyDescent="0.25">
      <c r="A8" s="28">
        <v>4</v>
      </c>
      <c r="B8" s="6" t="s">
        <v>68</v>
      </c>
      <c r="C8" s="7" t="s">
        <v>5</v>
      </c>
      <c r="D8" s="7" t="s">
        <v>34</v>
      </c>
      <c r="E8" s="2" t="s">
        <v>33</v>
      </c>
      <c r="F8" s="2">
        <v>4</v>
      </c>
      <c r="G8" s="6" t="s">
        <v>17</v>
      </c>
      <c r="H8" s="6">
        <v>3</v>
      </c>
      <c r="I8" s="12">
        <v>1</v>
      </c>
    </row>
    <row r="9" spans="1:9" x14ac:dyDescent="0.25">
      <c r="A9" s="28">
        <v>5</v>
      </c>
      <c r="B9" s="6" t="s">
        <v>69</v>
      </c>
      <c r="C9" s="7"/>
      <c r="D9" s="7" t="s">
        <v>57</v>
      </c>
      <c r="E9" s="2" t="s">
        <v>33</v>
      </c>
      <c r="F9" s="2" t="s">
        <v>213</v>
      </c>
      <c r="G9" s="6" t="s">
        <v>17</v>
      </c>
      <c r="H9" s="35">
        <v>3</v>
      </c>
      <c r="I9" s="12">
        <v>1</v>
      </c>
    </row>
    <row r="10" spans="1:9" x14ac:dyDescent="0.25">
      <c r="A10" s="28">
        <v>6</v>
      </c>
      <c r="B10" s="6" t="s">
        <v>75</v>
      </c>
      <c r="C10" s="7" t="s">
        <v>5</v>
      </c>
      <c r="D10" s="7" t="s">
        <v>94</v>
      </c>
      <c r="E10" s="2" t="s">
        <v>33</v>
      </c>
      <c r="F10" s="2" t="s">
        <v>218</v>
      </c>
      <c r="G10" s="2">
        <v>2</v>
      </c>
      <c r="H10" s="2">
        <v>2</v>
      </c>
      <c r="I10" s="12">
        <v>1</v>
      </c>
    </row>
    <row r="11" spans="1:9" ht="22.5" x14ac:dyDescent="0.25">
      <c r="A11" s="28">
        <v>7</v>
      </c>
      <c r="B11" s="6" t="s">
        <v>113</v>
      </c>
      <c r="C11" s="7" t="s">
        <v>5</v>
      </c>
      <c r="D11" s="7" t="s">
        <v>55</v>
      </c>
      <c r="E11" s="2" t="s">
        <v>33</v>
      </c>
      <c r="F11" s="2"/>
      <c r="G11" s="2" t="s">
        <v>112</v>
      </c>
      <c r="H11" s="2">
        <v>1</v>
      </c>
      <c r="I11" s="12">
        <v>1</v>
      </c>
    </row>
    <row r="12" spans="1:9" x14ac:dyDescent="0.25">
      <c r="A12" s="28">
        <v>8</v>
      </c>
      <c r="B12" s="6" t="s">
        <v>137</v>
      </c>
      <c r="C12" s="7"/>
      <c r="D12" s="7" t="s">
        <v>126</v>
      </c>
      <c r="E12" s="2" t="s">
        <v>123</v>
      </c>
      <c r="F12" s="2" t="s">
        <v>221</v>
      </c>
      <c r="G12" s="2" t="s">
        <v>124</v>
      </c>
      <c r="H12" s="35">
        <v>1</v>
      </c>
      <c r="I12" s="12">
        <v>1</v>
      </c>
    </row>
    <row r="13" spans="1:9" ht="22.5" x14ac:dyDescent="0.25">
      <c r="A13" s="13"/>
      <c r="B13" s="6" t="s">
        <v>129</v>
      </c>
      <c r="C13" s="7"/>
      <c r="D13" s="7" t="s">
        <v>136</v>
      </c>
      <c r="E13" s="2" t="s">
        <v>123</v>
      </c>
      <c r="F13" s="2">
        <v>4</v>
      </c>
      <c r="G13" s="2" t="s">
        <v>128</v>
      </c>
      <c r="H13" s="35"/>
      <c r="I13" s="12">
        <v>1</v>
      </c>
    </row>
    <row r="14" spans="1:9" ht="21" thickBot="1" x14ac:dyDescent="0.3">
      <c r="A14" s="38"/>
      <c r="B14" s="50"/>
      <c r="C14" s="43"/>
      <c r="D14" s="43" t="s">
        <v>25</v>
      </c>
      <c r="E14" s="33"/>
      <c r="F14" s="33"/>
      <c r="G14" s="33"/>
      <c r="H14" s="33">
        <f>SUM(H5:H13)</f>
        <v>17</v>
      </c>
      <c r="I14" s="39">
        <v>1</v>
      </c>
    </row>
    <row r="15" spans="1:9" x14ac:dyDescent="0.25">
      <c r="A15" s="68">
        <v>1</v>
      </c>
      <c r="B15" s="15" t="s">
        <v>77</v>
      </c>
      <c r="C15" s="17" t="s">
        <v>6</v>
      </c>
      <c r="D15" s="14" t="s">
        <v>8</v>
      </c>
      <c r="E15" s="15" t="s">
        <v>7</v>
      </c>
      <c r="F15" s="15" t="s">
        <v>214</v>
      </c>
      <c r="G15" s="15">
        <v>3</v>
      </c>
      <c r="H15" s="15">
        <v>3</v>
      </c>
      <c r="I15" s="16">
        <v>2</v>
      </c>
    </row>
    <row r="16" spans="1:9" x14ac:dyDescent="0.25">
      <c r="A16" s="28">
        <v>2</v>
      </c>
      <c r="B16" s="2" t="s">
        <v>114</v>
      </c>
      <c r="C16" s="3" t="s">
        <v>6</v>
      </c>
      <c r="D16" s="1" t="s">
        <v>8</v>
      </c>
      <c r="E16" s="2" t="s">
        <v>7</v>
      </c>
      <c r="F16" s="2"/>
      <c r="G16" s="2" t="s">
        <v>112</v>
      </c>
      <c r="H16" s="2">
        <v>1</v>
      </c>
      <c r="I16" s="12">
        <v>2</v>
      </c>
    </row>
    <row r="17" spans="1:9" x14ac:dyDescent="0.25">
      <c r="A17" s="28">
        <v>3</v>
      </c>
      <c r="B17" s="2" t="s">
        <v>80</v>
      </c>
      <c r="C17" s="3" t="s">
        <v>55</v>
      </c>
      <c r="D17" s="1" t="s">
        <v>10</v>
      </c>
      <c r="E17" s="2" t="s">
        <v>7</v>
      </c>
      <c r="F17" s="2">
        <v>4</v>
      </c>
      <c r="G17" s="2">
        <v>2</v>
      </c>
      <c r="H17" s="2">
        <v>2</v>
      </c>
      <c r="I17" s="12">
        <v>2</v>
      </c>
    </row>
    <row r="18" spans="1:9" x14ac:dyDescent="0.25">
      <c r="A18" s="28">
        <v>4</v>
      </c>
      <c r="B18" s="2" t="s">
        <v>115</v>
      </c>
      <c r="C18" s="3" t="s">
        <v>55</v>
      </c>
      <c r="D18" s="1" t="s">
        <v>10</v>
      </c>
      <c r="E18" s="2" t="s">
        <v>7</v>
      </c>
      <c r="F18" s="2"/>
      <c r="G18" s="2" t="s">
        <v>112</v>
      </c>
      <c r="H18" s="2">
        <v>1</v>
      </c>
      <c r="I18" s="12">
        <v>2</v>
      </c>
    </row>
    <row r="19" spans="1:9" ht="22.5" x14ac:dyDescent="0.25">
      <c r="A19" s="28">
        <v>5</v>
      </c>
      <c r="B19" s="6" t="s">
        <v>70</v>
      </c>
      <c r="C19" s="7" t="s">
        <v>56</v>
      </c>
      <c r="D19" s="7" t="s">
        <v>35</v>
      </c>
      <c r="E19" s="2" t="s">
        <v>33</v>
      </c>
      <c r="F19" s="2">
        <v>4</v>
      </c>
      <c r="G19" s="6" t="s">
        <v>17</v>
      </c>
      <c r="H19" s="6">
        <v>3</v>
      </c>
      <c r="I19" s="12">
        <v>2</v>
      </c>
    </row>
    <row r="20" spans="1:9" x14ac:dyDescent="0.25">
      <c r="A20" s="28">
        <v>6</v>
      </c>
      <c r="B20" s="6" t="s">
        <v>93</v>
      </c>
      <c r="C20" s="7" t="s">
        <v>5</v>
      </c>
      <c r="D20" s="7" t="s">
        <v>59</v>
      </c>
      <c r="E20" s="2" t="s">
        <v>33</v>
      </c>
      <c r="F20" s="2">
        <v>4</v>
      </c>
      <c r="G20" s="6" t="s">
        <v>17</v>
      </c>
      <c r="H20" s="6">
        <v>3</v>
      </c>
      <c r="I20" s="12">
        <v>2</v>
      </c>
    </row>
    <row r="21" spans="1:9" ht="22.5" x14ac:dyDescent="0.25">
      <c r="A21" s="28">
        <v>7</v>
      </c>
      <c r="B21" s="6" t="s">
        <v>71</v>
      </c>
      <c r="C21" s="7" t="s">
        <v>57</v>
      </c>
      <c r="D21" s="7" t="s">
        <v>41</v>
      </c>
      <c r="E21" s="2" t="s">
        <v>42</v>
      </c>
      <c r="F21" s="2">
        <v>4</v>
      </c>
      <c r="G21" s="6" t="s">
        <v>17</v>
      </c>
      <c r="H21" s="6">
        <v>3</v>
      </c>
      <c r="I21" s="12">
        <v>2</v>
      </c>
    </row>
    <row r="22" spans="1:9" ht="22.5" x14ac:dyDescent="0.25">
      <c r="A22" s="13"/>
      <c r="B22" s="6" t="s">
        <v>130</v>
      </c>
      <c r="C22" s="7"/>
      <c r="D22" s="7" t="s">
        <v>135</v>
      </c>
      <c r="E22" s="2" t="s">
        <v>123</v>
      </c>
      <c r="F22" s="2">
        <v>4</v>
      </c>
      <c r="G22" s="2" t="s">
        <v>128</v>
      </c>
      <c r="H22" s="6"/>
      <c r="I22" s="12">
        <v>2</v>
      </c>
    </row>
    <row r="23" spans="1:9" ht="21" thickBot="1" x14ac:dyDescent="0.3">
      <c r="A23" s="36"/>
      <c r="B23" s="49"/>
      <c r="C23" s="42"/>
      <c r="D23" s="42" t="s">
        <v>25</v>
      </c>
      <c r="E23" s="32"/>
      <c r="F23" s="32"/>
      <c r="G23" s="32"/>
      <c r="H23" s="32">
        <f>SUM(H15:H22)</f>
        <v>16</v>
      </c>
      <c r="I23" s="37">
        <v>2</v>
      </c>
    </row>
    <row r="24" spans="1:9" x14ac:dyDescent="0.25">
      <c r="A24" s="28">
        <v>1</v>
      </c>
      <c r="B24" s="15" t="s">
        <v>78</v>
      </c>
      <c r="C24" s="17" t="s">
        <v>8</v>
      </c>
      <c r="D24" s="14" t="s">
        <v>12</v>
      </c>
      <c r="E24" s="15" t="s">
        <v>7</v>
      </c>
      <c r="F24" s="15" t="s">
        <v>212</v>
      </c>
      <c r="G24" s="15">
        <v>3</v>
      </c>
      <c r="H24" s="15">
        <v>3</v>
      </c>
      <c r="I24" s="16">
        <v>3</v>
      </c>
    </row>
    <row r="25" spans="1:9" x14ac:dyDescent="0.25">
      <c r="A25" s="28">
        <v>2</v>
      </c>
      <c r="B25" s="8" t="s">
        <v>116</v>
      </c>
      <c r="C25" s="65" t="s">
        <v>8</v>
      </c>
      <c r="D25" s="66" t="s">
        <v>187</v>
      </c>
      <c r="E25" s="8" t="s">
        <v>7</v>
      </c>
      <c r="F25" s="8"/>
      <c r="G25" s="2" t="s">
        <v>112</v>
      </c>
      <c r="H25" s="2">
        <v>1</v>
      </c>
      <c r="I25" s="67">
        <v>3</v>
      </c>
    </row>
    <row r="26" spans="1:9" x14ac:dyDescent="0.25">
      <c r="A26" s="28">
        <v>3</v>
      </c>
      <c r="B26" s="2" t="s">
        <v>83</v>
      </c>
      <c r="C26" s="3" t="s">
        <v>10</v>
      </c>
      <c r="D26" s="1" t="s">
        <v>18</v>
      </c>
      <c r="E26" s="2" t="s">
        <v>7</v>
      </c>
      <c r="F26" s="2">
        <v>4</v>
      </c>
      <c r="G26" s="2">
        <v>2</v>
      </c>
      <c r="H26" s="2">
        <v>2</v>
      </c>
      <c r="I26" s="12">
        <v>3</v>
      </c>
    </row>
    <row r="27" spans="1:9" x14ac:dyDescent="0.25">
      <c r="A27" s="28">
        <v>4</v>
      </c>
      <c r="B27" s="2" t="s">
        <v>117</v>
      </c>
      <c r="C27" s="3" t="s">
        <v>10</v>
      </c>
      <c r="D27" s="1" t="s">
        <v>18</v>
      </c>
      <c r="E27" s="2" t="s">
        <v>7</v>
      </c>
      <c r="F27" s="2"/>
      <c r="G27" s="2" t="s">
        <v>112</v>
      </c>
      <c r="H27" s="2">
        <v>1</v>
      </c>
      <c r="I27" s="12">
        <v>3</v>
      </c>
    </row>
    <row r="28" spans="1:9" ht="22.5" x14ac:dyDescent="0.25">
      <c r="A28" s="28">
        <v>5</v>
      </c>
      <c r="B28" s="6" t="s">
        <v>72</v>
      </c>
      <c r="C28" s="7" t="s">
        <v>5</v>
      </c>
      <c r="D28" s="7" t="s">
        <v>43</v>
      </c>
      <c r="E28" s="2" t="s">
        <v>42</v>
      </c>
      <c r="F28" s="2" t="s">
        <v>215</v>
      </c>
      <c r="G28" s="6" t="s">
        <v>17</v>
      </c>
      <c r="H28" s="6">
        <v>3</v>
      </c>
      <c r="I28" s="12">
        <v>3</v>
      </c>
    </row>
    <row r="29" spans="1:9" ht="22.5" x14ac:dyDescent="0.25">
      <c r="A29" s="28">
        <v>6</v>
      </c>
      <c r="B29" s="6" t="s">
        <v>73</v>
      </c>
      <c r="C29" s="7" t="s">
        <v>35</v>
      </c>
      <c r="D29" s="7" t="s">
        <v>45</v>
      </c>
      <c r="E29" s="2" t="s">
        <v>46</v>
      </c>
      <c r="F29" s="2">
        <v>4</v>
      </c>
      <c r="G29" s="6" t="s">
        <v>17</v>
      </c>
      <c r="H29" s="6">
        <v>3</v>
      </c>
      <c r="I29" s="12">
        <v>3</v>
      </c>
    </row>
    <row r="30" spans="1:9" x14ac:dyDescent="0.25">
      <c r="A30" s="28">
        <v>7</v>
      </c>
      <c r="B30" s="26" t="s">
        <v>81</v>
      </c>
      <c r="C30" s="24" t="s">
        <v>5</v>
      </c>
      <c r="D30" s="24" t="s">
        <v>36</v>
      </c>
      <c r="E30" s="25" t="s">
        <v>33</v>
      </c>
      <c r="F30" s="25" t="s">
        <v>216</v>
      </c>
      <c r="G30" s="26" t="s">
        <v>37</v>
      </c>
      <c r="H30" s="26">
        <v>2</v>
      </c>
      <c r="I30" s="12">
        <v>3</v>
      </c>
    </row>
    <row r="31" spans="1:9" x14ac:dyDescent="0.25">
      <c r="A31" s="28">
        <v>8</v>
      </c>
      <c r="B31" s="6" t="s">
        <v>82</v>
      </c>
      <c r="C31" s="7" t="s">
        <v>5</v>
      </c>
      <c r="D31" s="7" t="s">
        <v>38</v>
      </c>
      <c r="E31" s="2" t="s">
        <v>33</v>
      </c>
      <c r="F31" s="2" t="s">
        <v>222</v>
      </c>
      <c r="G31" s="6" t="s">
        <v>37</v>
      </c>
      <c r="H31" s="6">
        <v>2</v>
      </c>
      <c r="I31" s="12">
        <v>3</v>
      </c>
    </row>
    <row r="32" spans="1:9" x14ac:dyDescent="0.25">
      <c r="A32" s="13">
        <v>9</v>
      </c>
      <c r="B32" s="6" t="s">
        <v>138</v>
      </c>
      <c r="C32" s="7"/>
      <c r="D32" s="7" t="s">
        <v>127</v>
      </c>
      <c r="E32" s="2" t="s">
        <v>123</v>
      </c>
      <c r="F32" s="2" t="s">
        <v>221</v>
      </c>
      <c r="G32" s="2" t="s">
        <v>124</v>
      </c>
      <c r="H32" s="35">
        <v>1</v>
      </c>
      <c r="I32" s="12">
        <v>3</v>
      </c>
    </row>
    <row r="33" spans="1:9" ht="21" thickBot="1" x14ac:dyDescent="0.3">
      <c r="A33" s="38"/>
      <c r="B33" s="50"/>
      <c r="C33" s="43"/>
      <c r="D33" s="43" t="s">
        <v>25</v>
      </c>
      <c r="E33" s="33"/>
      <c r="F33" s="33"/>
      <c r="G33" s="33"/>
      <c r="H33" s="33">
        <f>SUM(H24:H32)</f>
        <v>18</v>
      </c>
      <c r="I33" s="39">
        <v>3</v>
      </c>
    </row>
    <row r="34" spans="1:9" ht="21" thickBot="1" x14ac:dyDescent="0.3">
      <c r="A34" s="28">
        <v>1</v>
      </c>
      <c r="B34" s="15" t="s">
        <v>84</v>
      </c>
      <c r="C34" s="17" t="s">
        <v>58</v>
      </c>
      <c r="D34" s="14" t="s">
        <v>9</v>
      </c>
      <c r="E34" s="15" t="s">
        <v>7</v>
      </c>
      <c r="F34" s="15" t="s">
        <v>212</v>
      </c>
      <c r="G34" s="15">
        <v>3</v>
      </c>
      <c r="H34" s="15">
        <v>3</v>
      </c>
      <c r="I34" s="16">
        <v>4</v>
      </c>
    </row>
    <row r="35" spans="1:9" x14ac:dyDescent="0.25">
      <c r="A35" s="28">
        <v>2</v>
      </c>
      <c r="B35" s="15" t="s">
        <v>118</v>
      </c>
      <c r="C35" s="17" t="s">
        <v>58</v>
      </c>
      <c r="D35" s="14" t="s">
        <v>188</v>
      </c>
      <c r="E35" s="15" t="s">
        <v>7</v>
      </c>
      <c r="F35" s="8"/>
      <c r="G35" s="2" t="s">
        <v>112</v>
      </c>
      <c r="H35" s="2">
        <v>1</v>
      </c>
      <c r="I35" s="16">
        <v>4</v>
      </c>
    </row>
    <row r="36" spans="1:9" x14ac:dyDescent="0.25">
      <c r="A36" s="28">
        <v>3</v>
      </c>
      <c r="B36" s="2" t="s">
        <v>85</v>
      </c>
      <c r="C36" s="3" t="s">
        <v>58</v>
      </c>
      <c r="D36" s="1" t="s">
        <v>19</v>
      </c>
      <c r="E36" s="2" t="s">
        <v>7</v>
      </c>
      <c r="F36" s="2">
        <v>4</v>
      </c>
      <c r="G36" s="2">
        <v>2</v>
      </c>
      <c r="H36" s="2">
        <v>2</v>
      </c>
      <c r="I36" s="12">
        <v>4</v>
      </c>
    </row>
    <row r="37" spans="1:9" x14ac:dyDescent="0.25">
      <c r="A37" s="28">
        <v>4</v>
      </c>
      <c r="B37" s="2" t="s">
        <v>119</v>
      </c>
      <c r="C37" s="3" t="s">
        <v>58</v>
      </c>
      <c r="D37" s="1" t="s">
        <v>189</v>
      </c>
      <c r="E37" s="2" t="s">
        <v>7</v>
      </c>
      <c r="F37" s="2"/>
      <c r="G37" s="2" t="s">
        <v>112</v>
      </c>
      <c r="H37" s="2">
        <v>1</v>
      </c>
      <c r="I37" s="12">
        <v>4</v>
      </c>
    </row>
    <row r="38" spans="1:9" x14ac:dyDescent="0.25">
      <c r="A38" s="28">
        <v>5</v>
      </c>
      <c r="B38" s="2" t="s">
        <v>79</v>
      </c>
      <c r="C38" s="3" t="s">
        <v>58</v>
      </c>
      <c r="D38" s="1" t="s">
        <v>20</v>
      </c>
      <c r="E38" s="2" t="s">
        <v>7</v>
      </c>
      <c r="F38" s="2" t="s">
        <v>219</v>
      </c>
      <c r="G38" s="2" t="s">
        <v>17</v>
      </c>
      <c r="H38" s="2">
        <v>3</v>
      </c>
      <c r="I38" s="12">
        <v>4</v>
      </c>
    </row>
    <row r="39" spans="1:9" ht="22.5" x14ac:dyDescent="0.25">
      <c r="A39" s="28">
        <v>6</v>
      </c>
      <c r="B39" s="6" t="s">
        <v>74</v>
      </c>
      <c r="C39" s="7" t="s">
        <v>57</v>
      </c>
      <c r="D39" s="7" t="s">
        <v>44</v>
      </c>
      <c r="E39" s="2" t="s">
        <v>42</v>
      </c>
      <c r="F39" s="2">
        <v>4</v>
      </c>
      <c r="G39" s="6" t="s">
        <v>17</v>
      </c>
      <c r="H39" s="6">
        <v>3</v>
      </c>
      <c r="I39" s="12">
        <v>4</v>
      </c>
    </row>
    <row r="40" spans="1:9" x14ac:dyDescent="0.25">
      <c r="A40" s="28">
        <v>7</v>
      </c>
      <c r="B40" s="6" t="s">
        <v>101</v>
      </c>
      <c r="C40" s="7" t="s">
        <v>5</v>
      </c>
      <c r="D40" s="7" t="s">
        <v>102</v>
      </c>
      <c r="E40" s="2" t="s">
        <v>47</v>
      </c>
      <c r="F40" s="2" t="s">
        <v>223</v>
      </c>
      <c r="G40" s="6" t="s">
        <v>17</v>
      </c>
      <c r="H40" s="2">
        <v>3</v>
      </c>
      <c r="I40" s="12">
        <v>4</v>
      </c>
    </row>
    <row r="41" spans="1:9" ht="22.5" x14ac:dyDescent="0.25">
      <c r="A41" s="28"/>
      <c r="B41" s="6" t="s">
        <v>179</v>
      </c>
      <c r="C41" s="7"/>
      <c r="D41" s="7" t="s">
        <v>62</v>
      </c>
      <c r="E41" s="6" t="s">
        <v>62</v>
      </c>
      <c r="F41" s="6"/>
      <c r="G41" s="6" t="s">
        <v>17</v>
      </c>
      <c r="H41" s="2">
        <v>3</v>
      </c>
      <c r="I41" s="12"/>
    </row>
    <row r="42" spans="1:9" x14ac:dyDescent="0.25">
      <c r="A42" s="28"/>
      <c r="B42" s="6"/>
      <c r="C42" s="7"/>
      <c r="D42" s="69" t="s">
        <v>62</v>
      </c>
      <c r="E42" s="2"/>
      <c r="F42" s="2"/>
      <c r="G42" s="6"/>
      <c r="H42" s="2"/>
      <c r="I42" s="12"/>
    </row>
    <row r="43" spans="1:9" ht="22.5" x14ac:dyDescent="0.25">
      <c r="A43" s="28">
        <v>8</v>
      </c>
      <c r="B43" s="6" t="s">
        <v>180</v>
      </c>
      <c r="C43" s="45"/>
      <c r="D43" s="7" t="s">
        <v>235</v>
      </c>
      <c r="E43" s="6" t="s">
        <v>62</v>
      </c>
      <c r="F43" s="6" t="s">
        <v>212</v>
      </c>
      <c r="G43" s="6" t="s">
        <v>17</v>
      </c>
      <c r="H43" s="2"/>
      <c r="I43" s="12">
        <v>4</v>
      </c>
    </row>
    <row r="44" spans="1:9" ht="22.5" x14ac:dyDescent="0.25">
      <c r="A44" s="61"/>
      <c r="B44" s="22" t="s">
        <v>181</v>
      </c>
      <c r="C44" s="62"/>
      <c r="D44" s="7" t="s">
        <v>236</v>
      </c>
      <c r="E44" s="6" t="s">
        <v>62</v>
      </c>
      <c r="F44" s="6">
        <v>4</v>
      </c>
      <c r="G44" s="6" t="s">
        <v>17</v>
      </c>
      <c r="H44" s="23"/>
      <c r="I44" s="12">
        <v>4</v>
      </c>
    </row>
    <row r="45" spans="1:9" s="5" customFormat="1" ht="21" thickBot="1" x14ac:dyDescent="0.35">
      <c r="A45" s="29"/>
      <c r="B45" s="51"/>
      <c r="C45" s="46"/>
      <c r="D45" s="43" t="s">
        <v>25</v>
      </c>
      <c r="E45" s="33"/>
      <c r="F45" s="33"/>
      <c r="G45" s="33"/>
      <c r="H45" s="33">
        <f>SUM(H34:H43)</f>
        <v>19</v>
      </c>
      <c r="I45" s="19">
        <v>4</v>
      </c>
    </row>
    <row r="46" spans="1:9" ht="21" thickBot="1" x14ac:dyDescent="0.3">
      <c r="A46" s="28">
        <v>1</v>
      </c>
      <c r="B46" s="15" t="s">
        <v>86</v>
      </c>
      <c r="C46" s="17" t="s">
        <v>58</v>
      </c>
      <c r="D46" s="14" t="s">
        <v>15</v>
      </c>
      <c r="E46" s="15" t="s">
        <v>7</v>
      </c>
      <c r="F46" s="2">
        <v>4</v>
      </c>
      <c r="G46" s="2">
        <v>2</v>
      </c>
      <c r="H46" s="2">
        <v>2</v>
      </c>
      <c r="I46" s="16">
        <v>5</v>
      </c>
    </row>
    <row r="47" spans="1:9" x14ac:dyDescent="0.25">
      <c r="A47" s="28">
        <v>1</v>
      </c>
      <c r="B47" s="15" t="s">
        <v>120</v>
      </c>
      <c r="C47" s="17" t="s">
        <v>58</v>
      </c>
      <c r="D47" s="14" t="s">
        <v>15</v>
      </c>
      <c r="E47" s="15" t="s">
        <v>7</v>
      </c>
      <c r="F47" s="8"/>
      <c r="G47" s="2" t="s">
        <v>112</v>
      </c>
      <c r="H47" s="2">
        <v>1</v>
      </c>
      <c r="I47" s="16">
        <v>5</v>
      </c>
    </row>
    <row r="48" spans="1:9" ht="33.75" x14ac:dyDescent="0.25">
      <c r="A48" s="28">
        <v>2</v>
      </c>
      <c r="B48" s="2" t="s">
        <v>109</v>
      </c>
      <c r="C48" s="3" t="s">
        <v>5</v>
      </c>
      <c r="D48" s="1" t="s">
        <v>16</v>
      </c>
      <c r="E48" s="2" t="s">
        <v>7</v>
      </c>
      <c r="F48" s="6" t="s">
        <v>224</v>
      </c>
      <c r="G48" s="2" t="s">
        <v>17</v>
      </c>
      <c r="H48" s="2">
        <v>3</v>
      </c>
      <c r="I48" s="12">
        <v>5</v>
      </c>
    </row>
    <row r="49" spans="1:9" ht="22.5" x14ac:dyDescent="0.25">
      <c r="A49" s="28">
        <v>3</v>
      </c>
      <c r="B49" s="52" t="s">
        <v>182</v>
      </c>
      <c r="C49" s="47"/>
      <c r="D49" s="7" t="s">
        <v>61</v>
      </c>
      <c r="E49" s="6" t="s">
        <v>61</v>
      </c>
      <c r="F49" s="6"/>
      <c r="G49" s="6" t="s">
        <v>17</v>
      </c>
      <c r="H49" s="35">
        <v>3</v>
      </c>
      <c r="I49" s="12">
        <v>5</v>
      </c>
    </row>
    <row r="50" spans="1:9" x14ac:dyDescent="0.25">
      <c r="A50" s="28">
        <v>4</v>
      </c>
      <c r="B50" s="6" t="s">
        <v>191</v>
      </c>
      <c r="C50" s="45" t="s">
        <v>5</v>
      </c>
      <c r="D50" s="7" t="s">
        <v>29</v>
      </c>
      <c r="E50" s="2" t="s">
        <v>27</v>
      </c>
      <c r="F50" s="2" t="s">
        <v>225</v>
      </c>
      <c r="G50" s="2">
        <v>2</v>
      </c>
      <c r="H50" s="2">
        <v>2</v>
      </c>
      <c r="I50" s="12">
        <v>5</v>
      </c>
    </row>
    <row r="51" spans="1:9" ht="23.25" thickBot="1" x14ac:dyDescent="0.3">
      <c r="A51" s="28">
        <v>4</v>
      </c>
      <c r="B51" s="6" t="s">
        <v>192</v>
      </c>
      <c r="C51" s="45" t="s">
        <v>5</v>
      </c>
      <c r="D51" s="7" t="s">
        <v>29</v>
      </c>
      <c r="E51" s="2" t="s">
        <v>27</v>
      </c>
      <c r="F51" s="2"/>
      <c r="G51" s="2" t="s">
        <v>112</v>
      </c>
      <c r="H51" s="2">
        <v>1</v>
      </c>
      <c r="I51" s="12">
        <v>5</v>
      </c>
    </row>
    <row r="52" spans="1:9" ht="23.25" thickBot="1" x14ac:dyDescent="0.3">
      <c r="A52" s="28">
        <v>5</v>
      </c>
      <c r="B52" s="2" t="s">
        <v>91</v>
      </c>
      <c r="C52" s="17" t="s">
        <v>58</v>
      </c>
      <c r="D52" s="1" t="s">
        <v>14</v>
      </c>
      <c r="E52" s="2" t="s">
        <v>7</v>
      </c>
      <c r="F52" s="6" t="s">
        <v>226</v>
      </c>
      <c r="G52" s="2">
        <v>2</v>
      </c>
      <c r="H52" s="2">
        <v>2</v>
      </c>
      <c r="I52" s="12">
        <v>5</v>
      </c>
    </row>
    <row r="53" spans="1:9" x14ac:dyDescent="0.25">
      <c r="A53" s="28">
        <v>5</v>
      </c>
      <c r="B53" s="2" t="s">
        <v>121</v>
      </c>
      <c r="C53" s="17" t="s">
        <v>58</v>
      </c>
      <c r="D53" s="1" t="s">
        <v>14</v>
      </c>
      <c r="E53" s="2" t="s">
        <v>7</v>
      </c>
      <c r="F53" s="2"/>
      <c r="G53" s="2" t="s">
        <v>112</v>
      </c>
      <c r="H53" s="2">
        <v>1</v>
      </c>
      <c r="I53" s="12">
        <v>5</v>
      </c>
    </row>
    <row r="54" spans="1:9" ht="22.5" x14ac:dyDescent="0.25">
      <c r="A54" s="28"/>
      <c r="B54" s="52" t="s">
        <v>182</v>
      </c>
      <c r="C54" s="65"/>
      <c r="D54" s="7" t="s">
        <v>63</v>
      </c>
      <c r="E54" s="6" t="s">
        <v>63</v>
      </c>
      <c r="F54" s="6"/>
      <c r="G54" s="6" t="s">
        <v>17</v>
      </c>
      <c r="H54" s="35">
        <v>3</v>
      </c>
      <c r="I54" s="12">
        <v>5</v>
      </c>
    </row>
    <row r="55" spans="1:9" ht="22.5" x14ac:dyDescent="0.25">
      <c r="A55" s="28"/>
      <c r="B55" s="2" t="s">
        <v>177</v>
      </c>
      <c r="C55" s="7"/>
      <c r="D55" s="7" t="s">
        <v>132</v>
      </c>
      <c r="E55" s="6" t="s">
        <v>123</v>
      </c>
      <c r="F55" s="2" t="s">
        <v>221</v>
      </c>
      <c r="G55" s="6" t="s">
        <v>124</v>
      </c>
      <c r="H55" s="35">
        <v>1</v>
      </c>
      <c r="I55" s="12">
        <v>5</v>
      </c>
    </row>
    <row r="56" spans="1:9" x14ac:dyDescent="0.25">
      <c r="A56" s="13"/>
      <c r="B56" s="52"/>
      <c r="C56" s="45"/>
      <c r="D56" s="69" t="s">
        <v>178</v>
      </c>
      <c r="E56" s="6"/>
      <c r="F56" s="6"/>
      <c r="G56" s="6"/>
      <c r="H56" s="35"/>
      <c r="I56" s="12"/>
    </row>
    <row r="57" spans="1:9" ht="22.5" x14ac:dyDescent="0.25">
      <c r="A57" s="13"/>
      <c r="B57" s="52" t="s">
        <v>183</v>
      </c>
      <c r="C57" s="45"/>
      <c r="D57" s="7" t="s">
        <v>51</v>
      </c>
      <c r="E57" s="6" t="s">
        <v>98</v>
      </c>
      <c r="F57" s="6" t="s">
        <v>227</v>
      </c>
      <c r="G57" s="6" t="s">
        <v>17</v>
      </c>
      <c r="H57" s="35"/>
      <c r="I57" s="12">
        <v>5</v>
      </c>
    </row>
    <row r="58" spans="1:9" ht="22.5" x14ac:dyDescent="0.25">
      <c r="A58" s="13">
        <v>6</v>
      </c>
      <c r="B58" s="52" t="s">
        <v>184</v>
      </c>
      <c r="C58" s="45"/>
      <c r="D58" s="7" t="s">
        <v>53</v>
      </c>
      <c r="E58" s="6" t="s">
        <v>98</v>
      </c>
      <c r="F58" s="6" t="s">
        <v>228</v>
      </c>
      <c r="G58" s="6" t="s">
        <v>11</v>
      </c>
      <c r="H58" s="35"/>
      <c r="I58" s="12"/>
    </row>
    <row r="59" spans="1:9" ht="22.5" x14ac:dyDescent="0.25">
      <c r="A59" s="40"/>
      <c r="B59" s="52" t="s">
        <v>185</v>
      </c>
      <c r="C59" s="45" t="s">
        <v>15</v>
      </c>
      <c r="D59" s="7" t="s">
        <v>96</v>
      </c>
      <c r="E59" s="6" t="s">
        <v>98</v>
      </c>
      <c r="F59" s="6" t="s">
        <v>217</v>
      </c>
      <c r="G59" s="6" t="s">
        <v>17</v>
      </c>
      <c r="H59" s="35"/>
      <c r="I59" s="12">
        <v>5</v>
      </c>
    </row>
    <row r="60" spans="1:9" ht="22.5" x14ac:dyDescent="0.25">
      <c r="A60" s="40"/>
      <c r="B60" s="52" t="s">
        <v>186</v>
      </c>
      <c r="C60" s="45" t="s">
        <v>16</v>
      </c>
      <c r="D60" s="7" t="s">
        <v>97</v>
      </c>
      <c r="E60" s="6" t="s">
        <v>98</v>
      </c>
      <c r="F60" s="6" t="s">
        <v>219</v>
      </c>
      <c r="G60" s="6" t="s">
        <v>17</v>
      </c>
      <c r="H60" s="35"/>
      <c r="I60" s="12">
        <v>5</v>
      </c>
    </row>
    <row r="61" spans="1:9" s="5" customFormat="1" ht="21" thickBot="1" x14ac:dyDescent="0.35">
      <c r="A61" s="38"/>
      <c r="B61" s="50"/>
      <c r="C61" s="43"/>
      <c r="D61" s="43" t="s">
        <v>25</v>
      </c>
      <c r="E61" s="33"/>
      <c r="F61" s="97"/>
      <c r="G61" s="33"/>
      <c r="H61" s="33">
        <f>SUM(H46:H60)</f>
        <v>19</v>
      </c>
      <c r="I61" s="39">
        <v>5</v>
      </c>
    </row>
    <row r="62" spans="1:9" ht="21" thickBot="1" x14ac:dyDescent="0.3">
      <c r="A62" s="28">
        <v>1</v>
      </c>
      <c r="B62" s="15" t="s">
        <v>87</v>
      </c>
      <c r="C62" s="45"/>
      <c r="D62" s="14" t="s">
        <v>13</v>
      </c>
      <c r="E62" s="15" t="s">
        <v>7</v>
      </c>
      <c r="F62" s="8" t="s">
        <v>229</v>
      </c>
      <c r="G62" s="2">
        <v>2</v>
      </c>
      <c r="H62" s="2">
        <v>2</v>
      </c>
      <c r="I62" s="16">
        <v>6</v>
      </c>
    </row>
    <row r="63" spans="1:9" x14ac:dyDescent="0.25">
      <c r="A63" s="28">
        <v>1</v>
      </c>
      <c r="B63" s="15" t="s">
        <v>122</v>
      </c>
      <c r="C63" s="45"/>
      <c r="D63" s="14" t="s">
        <v>13</v>
      </c>
      <c r="E63" s="15" t="s">
        <v>7</v>
      </c>
      <c r="F63" s="8"/>
      <c r="G63" s="2" t="s">
        <v>112</v>
      </c>
      <c r="H63" s="2">
        <v>1</v>
      </c>
      <c r="I63" s="16">
        <v>6</v>
      </c>
    </row>
    <row r="64" spans="1:9" ht="22.5" x14ac:dyDescent="0.25">
      <c r="A64" s="28">
        <v>2</v>
      </c>
      <c r="B64" s="52" t="s">
        <v>182</v>
      </c>
      <c r="C64" s="47"/>
      <c r="D64" s="7" t="s">
        <v>64</v>
      </c>
      <c r="E64" s="6" t="s">
        <v>64</v>
      </c>
      <c r="F64" s="6"/>
      <c r="G64" s="6" t="s">
        <v>17</v>
      </c>
      <c r="H64" s="35">
        <v>3</v>
      </c>
      <c r="I64" s="12">
        <v>6</v>
      </c>
    </row>
    <row r="65" spans="1:9" x14ac:dyDescent="0.25">
      <c r="A65" s="28">
        <v>3</v>
      </c>
      <c r="B65" s="6" t="s">
        <v>139</v>
      </c>
      <c r="C65" s="45" t="s">
        <v>15</v>
      </c>
      <c r="D65" s="7" t="s">
        <v>30</v>
      </c>
      <c r="E65" s="2" t="s">
        <v>27</v>
      </c>
      <c r="F65" s="2" t="s">
        <v>212</v>
      </c>
      <c r="G65" s="2">
        <v>2</v>
      </c>
      <c r="H65" s="2">
        <v>2</v>
      </c>
      <c r="I65" s="12">
        <v>6</v>
      </c>
    </row>
    <row r="66" spans="1:9" ht="22.5" x14ac:dyDescent="0.25">
      <c r="A66" s="28">
        <v>3</v>
      </c>
      <c r="B66" s="6" t="s">
        <v>140</v>
      </c>
      <c r="C66" s="45" t="s">
        <v>5</v>
      </c>
      <c r="D66" s="7" t="s">
        <v>30</v>
      </c>
      <c r="E66" s="2" t="s">
        <v>27</v>
      </c>
      <c r="F66" s="2"/>
      <c r="G66" s="2" t="s">
        <v>112</v>
      </c>
      <c r="H66" s="2">
        <v>1</v>
      </c>
      <c r="I66" s="12">
        <v>6</v>
      </c>
    </row>
    <row r="67" spans="1:9" ht="22.5" x14ac:dyDescent="0.25">
      <c r="A67" s="28">
        <v>4</v>
      </c>
      <c r="B67" s="6" t="s">
        <v>151</v>
      </c>
      <c r="C67" s="45"/>
      <c r="D67" s="1" t="s">
        <v>65</v>
      </c>
      <c r="E67" s="6" t="s">
        <v>65</v>
      </c>
      <c r="F67" s="2"/>
      <c r="G67" s="6" t="s">
        <v>11</v>
      </c>
      <c r="H67" s="35">
        <v>3</v>
      </c>
      <c r="I67" s="12">
        <v>6</v>
      </c>
    </row>
    <row r="68" spans="1:9" ht="22.5" x14ac:dyDescent="0.25">
      <c r="A68" s="28">
        <v>5</v>
      </c>
      <c r="B68" s="6" t="s">
        <v>151</v>
      </c>
      <c r="C68" s="45" t="s">
        <v>5</v>
      </c>
      <c r="D68" s="7" t="s">
        <v>66</v>
      </c>
      <c r="E68" s="6" t="s">
        <v>66</v>
      </c>
      <c r="F68" s="6"/>
      <c r="G68" s="6" t="s">
        <v>17</v>
      </c>
      <c r="H68" s="35">
        <v>3</v>
      </c>
      <c r="I68" s="12">
        <v>6</v>
      </c>
    </row>
    <row r="69" spans="1:9" x14ac:dyDescent="0.25">
      <c r="A69" s="13">
        <v>6</v>
      </c>
      <c r="B69" s="6" t="s">
        <v>141</v>
      </c>
      <c r="C69" s="7" t="s">
        <v>51</v>
      </c>
      <c r="D69" s="7" t="s">
        <v>26</v>
      </c>
      <c r="E69" s="2" t="s">
        <v>27</v>
      </c>
      <c r="F69" s="2" t="s">
        <v>227</v>
      </c>
      <c r="G69" s="2">
        <v>2</v>
      </c>
      <c r="H69" s="2">
        <v>2</v>
      </c>
      <c r="I69" s="12">
        <v>6</v>
      </c>
    </row>
    <row r="70" spans="1:9" ht="22.5" x14ac:dyDescent="0.25">
      <c r="A70" s="13">
        <v>6</v>
      </c>
      <c r="B70" s="6" t="s">
        <v>142</v>
      </c>
      <c r="C70" s="7" t="s">
        <v>51</v>
      </c>
      <c r="D70" s="7" t="s">
        <v>26</v>
      </c>
      <c r="E70" s="2" t="s">
        <v>27</v>
      </c>
      <c r="F70" s="2"/>
      <c r="G70" s="2" t="s">
        <v>112</v>
      </c>
      <c r="H70" s="2">
        <v>1</v>
      </c>
      <c r="I70" s="12">
        <v>6</v>
      </c>
    </row>
    <row r="71" spans="1:9" x14ac:dyDescent="0.25">
      <c r="A71" s="13"/>
      <c r="B71" s="6"/>
      <c r="C71" s="7"/>
      <c r="D71" s="69" t="s">
        <v>193</v>
      </c>
      <c r="E71" s="2"/>
      <c r="F71" s="2"/>
      <c r="G71" s="2"/>
      <c r="H71" s="2"/>
      <c r="I71" s="12"/>
    </row>
    <row r="72" spans="1:9" x14ac:dyDescent="0.25">
      <c r="A72" s="13"/>
      <c r="B72" s="52" t="s">
        <v>195</v>
      </c>
      <c r="C72" s="7"/>
      <c r="D72" s="7" t="s">
        <v>50</v>
      </c>
      <c r="E72" s="2"/>
      <c r="F72" s="2">
        <v>4</v>
      </c>
      <c r="G72" s="2"/>
      <c r="H72" s="2"/>
      <c r="I72" s="12"/>
    </row>
    <row r="73" spans="1:9" x14ac:dyDescent="0.25">
      <c r="A73" s="13"/>
      <c r="B73" s="52" t="s">
        <v>196</v>
      </c>
      <c r="C73" s="7"/>
      <c r="D73" s="7" t="s">
        <v>48</v>
      </c>
      <c r="E73" s="2"/>
      <c r="F73" s="2" t="s">
        <v>230</v>
      </c>
      <c r="G73" s="2"/>
      <c r="H73" s="2"/>
      <c r="I73" s="12"/>
    </row>
    <row r="74" spans="1:9" x14ac:dyDescent="0.25">
      <c r="A74" s="13"/>
      <c r="B74" s="52" t="s">
        <v>162</v>
      </c>
      <c r="C74" s="7"/>
      <c r="D74" s="7" t="s">
        <v>52</v>
      </c>
      <c r="E74" s="2"/>
      <c r="F74" s="2" t="s">
        <v>212</v>
      </c>
      <c r="G74" s="2"/>
      <c r="H74" s="2"/>
      <c r="I74" s="12"/>
    </row>
    <row r="75" spans="1:9" x14ac:dyDescent="0.25">
      <c r="A75" s="13"/>
      <c r="B75" s="52" t="s">
        <v>197</v>
      </c>
      <c r="C75" s="4"/>
      <c r="D75" s="7" t="s">
        <v>106</v>
      </c>
      <c r="E75" s="2"/>
      <c r="F75" s="2" t="s">
        <v>212</v>
      </c>
      <c r="G75" s="2"/>
      <c r="H75" s="2"/>
      <c r="I75" s="12"/>
    </row>
    <row r="76" spans="1:9" x14ac:dyDescent="0.25">
      <c r="A76" s="13"/>
      <c r="B76" s="52" t="s">
        <v>198</v>
      </c>
      <c r="C76" s="7"/>
      <c r="D76" s="7" t="s">
        <v>107</v>
      </c>
      <c r="E76" s="2"/>
      <c r="F76" s="2" t="s">
        <v>212</v>
      </c>
      <c r="G76" s="2"/>
      <c r="H76" s="2"/>
      <c r="I76" s="12"/>
    </row>
    <row r="77" spans="1:9" x14ac:dyDescent="0.25">
      <c r="A77" s="13"/>
      <c r="B77" s="52" t="s">
        <v>245</v>
      </c>
      <c r="C77" s="7"/>
      <c r="D77" s="7" t="s">
        <v>243</v>
      </c>
      <c r="E77" s="2"/>
      <c r="F77" s="2" t="s">
        <v>244</v>
      </c>
      <c r="G77" s="2"/>
      <c r="H77" s="2"/>
      <c r="I77" s="12"/>
    </row>
    <row r="78" spans="1:9" s="5" customFormat="1" ht="21" thickBot="1" x14ac:dyDescent="0.35">
      <c r="A78" s="36"/>
      <c r="B78" s="49"/>
      <c r="C78" s="42"/>
      <c r="D78" s="42" t="s">
        <v>25</v>
      </c>
      <c r="E78" s="32"/>
      <c r="F78" s="32"/>
      <c r="G78" s="32"/>
      <c r="H78" s="32">
        <f>SUM(H62:H77)</f>
        <v>18</v>
      </c>
      <c r="I78" s="37">
        <v>6</v>
      </c>
    </row>
    <row r="79" spans="1:9" x14ac:dyDescent="0.25">
      <c r="A79" s="28">
        <v>1</v>
      </c>
      <c r="B79" s="15" t="s">
        <v>133</v>
      </c>
      <c r="C79" s="17" t="s">
        <v>5</v>
      </c>
      <c r="D79" s="14" t="s">
        <v>21</v>
      </c>
      <c r="E79" s="15" t="s">
        <v>7</v>
      </c>
      <c r="F79" s="15"/>
      <c r="G79" s="15" t="s">
        <v>17</v>
      </c>
      <c r="H79" s="15">
        <v>3</v>
      </c>
      <c r="I79" s="16">
        <v>7</v>
      </c>
    </row>
    <row r="80" spans="1:9" x14ac:dyDescent="0.25">
      <c r="A80" s="28">
        <v>2</v>
      </c>
      <c r="B80" s="6" t="s">
        <v>143</v>
      </c>
      <c r="C80" s="45" t="s">
        <v>5</v>
      </c>
      <c r="D80" s="7" t="s">
        <v>28</v>
      </c>
      <c r="E80" s="2" t="s">
        <v>27</v>
      </c>
      <c r="F80" s="2">
        <v>16</v>
      </c>
      <c r="G80" s="2">
        <v>2</v>
      </c>
      <c r="H80" s="2">
        <v>2</v>
      </c>
      <c r="I80" s="12">
        <v>7</v>
      </c>
    </row>
    <row r="81" spans="1:9" ht="22.5" x14ac:dyDescent="0.25">
      <c r="A81" s="28">
        <v>2</v>
      </c>
      <c r="B81" s="6" t="s">
        <v>144</v>
      </c>
      <c r="C81" s="45" t="s">
        <v>5</v>
      </c>
      <c r="D81" s="7" t="s">
        <v>28</v>
      </c>
      <c r="E81" s="2" t="s">
        <v>27</v>
      </c>
      <c r="F81" s="2"/>
      <c r="G81" s="2" t="s">
        <v>112</v>
      </c>
      <c r="H81" s="2">
        <v>1</v>
      </c>
      <c r="I81" s="12">
        <v>7</v>
      </c>
    </row>
    <row r="82" spans="1:9" x14ac:dyDescent="0.25">
      <c r="A82" s="28">
        <v>3</v>
      </c>
      <c r="B82" s="6" t="s">
        <v>145</v>
      </c>
      <c r="C82" s="45" t="s">
        <v>5</v>
      </c>
      <c r="D82" s="7" t="s">
        <v>31</v>
      </c>
      <c r="E82" s="2" t="s">
        <v>27</v>
      </c>
      <c r="F82" s="2" t="s">
        <v>231</v>
      </c>
      <c r="G82" s="2">
        <v>2</v>
      </c>
      <c r="H82" s="2">
        <v>2</v>
      </c>
      <c r="I82" s="12">
        <v>7</v>
      </c>
    </row>
    <row r="83" spans="1:9" ht="22.5" x14ac:dyDescent="0.25">
      <c r="A83" s="28">
        <v>3</v>
      </c>
      <c r="B83" s="6" t="s">
        <v>146</v>
      </c>
      <c r="C83" s="45" t="s">
        <v>5</v>
      </c>
      <c r="D83" s="7" t="s">
        <v>190</v>
      </c>
      <c r="E83" s="2" t="s">
        <v>27</v>
      </c>
      <c r="F83" s="2"/>
      <c r="G83" s="2" t="s">
        <v>112</v>
      </c>
      <c r="H83" s="2">
        <v>1</v>
      </c>
      <c r="I83" s="12">
        <v>7</v>
      </c>
    </row>
    <row r="84" spans="1:9" x14ac:dyDescent="0.25">
      <c r="A84" s="28">
        <v>4</v>
      </c>
      <c r="B84" s="6" t="s">
        <v>88</v>
      </c>
      <c r="C84" s="7" t="s">
        <v>5</v>
      </c>
      <c r="D84" s="7" t="s">
        <v>99</v>
      </c>
      <c r="E84" s="2" t="s">
        <v>33</v>
      </c>
      <c r="F84" s="2" t="s">
        <v>232</v>
      </c>
      <c r="G84" s="6" t="s">
        <v>37</v>
      </c>
      <c r="H84" s="6">
        <v>2</v>
      </c>
      <c r="I84" s="12">
        <v>7</v>
      </c>
    </row>
    <row r="85" spans="1:9" ht="23.25" thickBot="1" x14ac:dyDescent="0.3">
      <c r="A85" s="28">
        <v>5</v>
      </c>
      <c r="B85" s="6" t="s">
        <v>156</v>
      </c>
      <c r="C85" s="7"/>
      <c r="D85" s="7" t="s">
        <v>67</v>
      </c>
      <c r="E85" s="6" t="s">
        <v>67</v>
      </c>
      <c r="F85" s="6"/>
      <c r="G85" s="6" t="s">
        <v>11</v>
      </c>
      <c r="H85" s="6">
        <v>3</v>
      </c>
      <c r="I85" s="12">
        <v>7</v>
      </c>
    </row>
    <row r="86" spans="1:9" ht="21" thickBot="1" x14ac:dyDescent="0.3">
      <c r="A86" s="28"/>
      <c r="B86" s="6" t="s">
        <v>176</v>
      </c>
      <c r="C86" s="7"/>
      <c r="D86" s="7" t="s">
        <v>125</v>
      </c>
      <c r="E86" s="6" t="s">
        <v>123</v>
      </c>
      <c r="F86" s="2" t="s">
        <v>221</v>
      </c>
      <c r="G86" s="70" t="s">
        <v>124</v>
      </c>
      <c r="H86" s="6">
        <v>1</v>
      </c>
      <c r="I86" s="12">
        <v>7</v>
      </c>
    </row>
    <row r="87" spans="1:9" x14ac:dyDescent="0.25">
      <c r="A87" s="28"/>
      <c r="B87" s="6"/>
      <c r="C87" s="7"/>
      <c r="D87" s="69" t="s">
        <v>67</v>
      </c>
      <c r="E87" s="6"/>
      <c r="F87" s="6"/>
      <c r="G87" s="6"/>
      <c r="H87" s="6"/>
      <c r="I87" s="12"/>
    </row>
    <row r="88" spans="1:9" ht="22.5" x14ac:dyDescent="0.25">
      <c r="A88" s="28"/>
      <c r="B88" s="6" t="s">
        <v>166</v>
      </c>
      <c r="C88" s="7"/>
      <c r="D88" s="7" t="s">
        <v>194</v>
      </c>
      <c r="E88" s="6"/>
      <c r="F88" s="6" t="s">
        <v>233</v>
      </c>
      <c r="G88" s="6"/>
      <c r="H88" s="6"/>
      <c r="I88" s="12"/>
    </row>
    <row r="89" spans="1:9" ht="22.5" x14ac:dyDescent="0.25">
      <c r="A89" s="28"/>
      <c r="B89" s="6" t="s">
        <v>238</v>
      </c>
      <c r="C89" s="7"/>
      <c r="D89" s="7" t="s">
        <v>105</v>
      </c>
      <c r="E89" s="6"/>
      <c r="F89" s="6" t="s">
        <v>234</v>
      </c>
      <c r="G89" s="6"/>
      <c r="H89" s="6"/>
      <c r="I89" s="12"/>
    </row>
    <row r="90" spans="1:9" ht="23.25" thickBot="1" x14ac:dyDescent="0.3">
      <c r="A90" s="28"/>
      <c r="B90" s="6" t="s">
        <v>246</v>
      </c>
      <c r="C90" s="7"/>
      <c r="D90" s="96" t="s">
        <v>237</v>
      </c>
      <c r="E90" s="6"/>
      <c r="F90" s="6" t="s">
        <v>242</v>
      </c>
      <c r="G90" s="6"/>
      <c r="H90" s="6"/>
      <c r="I90" s="12"/>
    </row>
    <row r="91" spans="1:9" s="5" customFormat="1" ht="21" thickBot="1" x14ac:dyDescent="0.35">
      <c r="A91" s="30"/>
      <c r="B91" s="53"/>
      <c r="C91" s="46"/>
      <c r="D91" s="42" t="s">
        <v>25</v>
      </c>
      <c r="E91" s="32"/>
      <c r="F91" s="32"/>
      <c r="G91" s="32"/>
      <c r="H91" s="32">
        <f>SUM(H79:H90)</f>
        <v>15</v>
      </c>
      <c r="I91" s="18">
        <v>7</v>
      </c>
    </row>
    <row r="92" spans="1:9" x14ac:dyDescent="0.25">
      <c r="A92" s="57">
        <v>1</v>
      </c>
      <c r="B92" s="58" t="s">
        <v>134</v>
      </c>
      <c r="C92" s="17" t="s">
        <v>22</v>
      </c>
      <c r="D92" s="14" t="s">
        <v>23</v>
      </c>
      <c r="E92" s="15" t="s">
        <v>7</v>
      </c>
      <c r="F92" s="15"/>
      <c r="G92" s="15" t="s">
        <v>17</v>
      </c>
      <c r="H92" s="15">
        <v>3</v>
      </c>
      <c r="I92" s="16">
        <v>8</v>
      </c>
    </row>
    <row r="93" spans="1:9" x14ac:dyDescent="0.25">
      <c r="A93" s="28">
        <v>2</v>
      </c>
      <c r="B93" s="6" t="s">
        <v>147</v>
      </c>
      <c r="C93" s="1" t="s">
        <v>14</v>
      </c>
      <c r="D93" s="7" t="s">
        <v>239</v>
      </c>
      <c r="E93" s="2" t="s">
        <v>241</v>
      </c>
      <c r="F93" s="2" t="s">
        <v>212</v>
      </c>
      <c r="G93" s="2">
        <v>2</v>
      </c>
      <c r="H93" s="2">
        <v>2</v>
      </c>
      <c r="I93" s="12">
        <v>8</v>
      </c>
    </row>
    <row r="94" spans="1:9" ht="22.5" x14ac:dyDescent="0.25">
      <c r="A94" s="28">
        <v>2</v>
      </c>
      <c r="B94" s="6" t="s">
        <v>148</v>
      </c>
      <c r="C94" s="1" t="s">
        <v>14</v>
      </c>
      <c r="D94" s="7" t="s">
        <v>240</v>
      </c>
      <c r="E94" s="2" t="s">
        <v>241</v>
      </c>
      <c r="F94" s="2"/>
      <c r="G94" s="2" t="s">
        <v>112</v>
      </c>
      <c r="H94" s="2">
        <v>1</v>
      </c>
      <c r="I94" s="12">
        <v>8</v>
      </c>
    </row>
    <row r="95" spans="1:9" ht="22.5" x14ac:dyDescent="0.25">
      <c r="A95" s="28">
        <v>3</v>
      </c>
      <c r="B95" s="6" t="s">
        <v>89</v>
      </c>
      <c r="C95" s="55" t="s">
        <v>5</v>
      </c>
      <c r="D95" s="7" t="s">
        <v>39</v>
      </c>
      <c r="E95" s="2" t="s">
        <v>33</v>
      </c>
      <c r="F95" s="2" t="s">
        <v>217</v>
      </c>
      <c r="G95" s="6" t="s">
        <v>37</v>
      </c>
      <c r="H95" s="6">
        <v>2</v>
      </c>
      <c r="I95" s="12">
        <v>8</v>
      </c>
    </row>
    <row r="96" spans="1:9" ht="22.5" x14ac:dyDescent="0.25">
      <c r="A96" s="28">
        <v>4</v>
      </c>
      <c r="B96" s="6" t="s">
        <v>90</v>
      </c>
      <c r="C96" s="56" t="s">
        <v>5</v>
      </c>
      <c r="D96" s="21" t="s">
        <v>40</v>
      </c>
      <c r="E96" s="23" t="s">
        <v>33</v>
      </c>
      <c r="F96" s="2" t="s">
        <v>217</v>
      </c>
      <c r="G96" s="22" t="s">
        <v>37</v>
      </c>
      <c r="H96" s="6">
        <v>2</v>
      </c>
      <c r="I96" s="12">
        <v>8</v>
      </c>
    </row>
    <row r="97" spans="1:9" ht="22.5" x14ac:dyDescent="0.25">
      <c r="A97" s="28">
        <v>5</v>
      </c>
      <c r="B97" s="6" t="s">
        <v>100</v>
      </c>
      <c r="C97" s="55" t="s">
        <v>5</v>
      </c>
      <c r="D97" s="7" t="s">
        <v>54</v>
      </c>
      <c r="E97" s="6" t="s">
        <v>33</v>
      </c>
      <c r="F97" s="6" t="s">
        <v>220</v>
      </c>
      <c r="G97" s="6" t="s">
        <v>37</v>
      </c>
      <c r="H97" s="20">
        <v>2</v>
      </c>
      <c r="I97" s="12">
        <v>8</v>
      </c>
    </row>
    <row r="98" spans="1:9" s="5" customFormat="1" ht="21" thickBot="1" x14ac:dyDescent="0.35">
      <c r="A98" s="59"/>
      <c r="B98" s="49"/>
      <c r="C98" s="42"/>
      <c r="D98" s="42" t="s">
        <v>25</v>
      </c>
      <c r="E98" s="32"/>
      <c r="F98" s="32"/>
      <c r="G98" s="32"/>
      <c r="H98" s="32">
        <f>SUM(H92:H97)</f>
        <v>12</v>
      </c>
      <c r="I98" s="37">
        <v>8</v>
      </c>
    </row>
    <row r="99" spans="1:9" ht="21" thickBot="1" x14ac:dyDescent="0.3"/>
    <row r="100" spans="1:9" ht="21" thickBot="1" x14ac:dyDescent="0.3">
      <c r="E100" s="98" t="s">
        <v>25</v>
      </c>
      <c r="F100" s="99"/>
      <c r="G100" s="100"/>
      <c r="H100" s="60">
        <f>H14+H23+H33+H61+H78+H91+H98+H45</f>
        <v>134</v>
      </c>
    </row>
    <row r="102" spans="1:9" ht="21" thickBot="1" x14ac:dyDescent="0.3"/>
    <row r="103" spans="1:9" ht="21" thickBot="1" x14ac:dyDescent="0.3">
      <c r="C103" s="103" t="s">
        <v>167</v>
      </c>
      <c r="D103" s="104"/>
      <c r="E103" s="105"/>
      <c r="F103" s="88"/>
    </row>
    <row r="104" spans="1:9" ht="21" thickBot="1" x14ac:dyDescent="0.3">
      <c r="C104" s="73" t="s">
        <v>168</v>
      </c>
      <c r="D104" s="75" t="s">
        <v>169</v>
      </c>
      <c r="E104" s="75" t="s">
        <v>170</v>
      </c>
      <c r="F104" s="89"/>
    </row>
    <row r="105" spans="1:9" ht="21" thickBot="1" x14ac:dyDescent="0.3">
      <c r="C105" s="71" t="s">
        <v>171</v>
      </c>
      <c r="D105" s="72">
        <v>46</v>
      </c>
      <c r="E105" s="72">
        <v>14</v>
      </c>
      <c r="F105" s="90"/>
    </row>
    <row r="106" spans="1:9" ht="21" thickBot="1" x14ac:dyDescent="0.3">
      <c r="C106" s="71" t="s">
        <v>27</v>
      </c>
      <c r="D106" s="72">
        <v>18</v>
      </c>
      <c r="E106" s="72">
        <v>6</v>
      </c>
      <c r="F106" s="90"/>
    </row>
    <row r="107" spans="1:9" ht="21" thickBot="1" x14ac:dyDescent="0.3">
      <c r="C107" s="71" t="s">
        <v>104</v>
      </c>
      <c r="D107" s="72">
        <v>21</v>
      </c>
      <c r="E107" s="72">
        <v>7</v>
      </c>
      <c r="F107" s="90"/>
    </row>
    <row r="108" spans="1:9" ht="30.75" thickBot="1" x14ac:dyDescent="0.3">
      <c r="C108" s="71" t="s">
        <v>172</v>
      </c>
      <c r="D108" s="72">
        <v>12</v>
      </c>
      <c r="E108" s="72">
        <v>4</v>
      </c>
      <c r="F108" s="90"/>
    </row>
    <row r="109" spans="1:9" ht="30.75" thickBot="1" x14ac:dyDescent="0.3">
      <c r="C109" s="71" t="s">
        <v>173</v>
      </c>
      <c r="D109" s="72">
        <v>3</v>
      </c>
      <c r="E109" s="72">
        <v>1</v>
      </c>
      <c r="F109" s="90"/>
    </row>
    <row r="110" spans="1:9" ht="30.75" thickBot="1" x14ac:dyDescent="0.3">
      <c r="C110" s="71" t="s">
        <v>174</v>
      </c>
      <c r="D110" s="72">
        <v>34</v>
      </c>
      <c r="E110" s="72">
        <v>16</v>
      </c>
      <c r="F110" s="90"/>
    </row>
    <row r="111" spans="1:9" ht="21" thickBot="1" x14ac:dyDescent="0.3">
      <c r="C111" s="73" t="s">
        <v>175</v>
      </c>
      <c r="D111" s="74">
        <f>SUM(D105:D110)</f>
        <v>134</v>
      </c>
      <c r="E111" s="74">
        <f>SUM(E105:E110)</f>
        <v>48</v>
      </c>
      <c r="F111" s="91"/>
    </row>
    <row r="113" spans="2:7" ht="21" thickBot="1" x14ac:dyDescent="0.3"/>
    <row r="114" spans="2:7" x14ac:dyDescent="0.25">
      <c r="B114" s="76" t="s">
        <v>157</v>
      </c>
      <c r="C114" s="77" t="s">
        <v>158</v>
      </c>
      <c r="D114" s="77" t="s">
        <v>2</v>
      </c>
      <c r="E114" s="77" t="s">
        <v>3</v>
      </c>
      <c r="F114" s="92"/>
      <c r="G114" s="78" t="s">
        <v>4</v>
      </c>
    </row>
    <row r="115" spans="2:7" ht="22.5" x14ac:dyDescent="0.25">
      <c r="B115" s="13">
        <v>1</v>
      </c>
      <c r="C115" s="6" t="s">
        <v>149</v>
      </c>
      <c r="D115" s="6" t="s">
        <v>235</v>
      </c>
      <c r="E115" s="6" t="s">
        <v>104</v>
      </c>
      <c r="F115" s="93"/>
      <c r="G115" s="79" t="s">
        <v>11</v>
      </c>
    </row>
    <row r="116" spans="2:7" ht="22.5" x14ac:dyDescent="0.25">
      <c r="B116" s="13">
        <v>2</v>
      </c>
      <c r="C116" s="6" t="s">
        <v>150</v>
      </c>
      <c r="D116" s="6" t="s">
        <v>236</v>
      </c>
      <c r="E116" s="6" t="s">
        <v>104</v>
      </c>
      <c r="F116" s="93"/>
      <c r="G116" s="79" t="s">
        <v>11</v>
      </c>
    </row>
    <row r="117" spans="2:7" ht="22.5" x14ac:dyDescent="0.25">
      <c r="B117" s="13">
        <v>3</v>
      </c>
      <c r="C117" s="6" t="s">
        <v>152</v>
      </c>
      <c r="D117" s="6" t="s">
        <v>51</v>
      </c>
      <c r="E117" s="6" t="s">
        <v>104</v>
      </c>
      <c r="F117" s="93"/>
      <c r="G117" s="79" t="s">
        <v>11</v>
      </c>
    </row>
    <row r="118" spans="2:7" ht="22.5" x14ac:dyDescent="0.25">
      <c r="B118" s="13">
        <v>4</v>
      </c>
      <c r="C118" s="6" t="s">
        <v>153</v>
      </c>
      <c r="D118" s="6" t="s">
        <v>53</v>
      </c>
      <c r="E118" s="6" t="s">
        <v>104</v>
      </c>
      <c r="F118" s="93"/>
      <c r="G118" s="79" t="s">
        <v>11</v>
      </c>
    </row>
    <row r="119" spans="2:7" ht="22.5" x14ac:dyDescent="0.25">
      <c r="B119" s="13">
        <v>5</v>
      </c>
      <c r="C119" s="6" t="s">
        <v>154</v>
      </c>
      <c r="D119" s="6" t="s">
        <v>96</v>
      </c>
      <c r="E119" s="6" t="s">
        <v>104</v>
      </c>
      <c r="F119" s="93"/>
      <c r="G119" s="79" t="s">
        <v>11</v>
      </c>
    </row>
    <row r="120" spans="2:7" ht="22.5" x14ac:dyDescent="0.25">
      <c r="B120" s="13">
        <v>6</v>
      </c>
      <c r="C120" s="6" t="s">
        <v>155</v>
      </c>
      <c r="D120" s="6" t="s">
        <v>97</v>
      </c>
      <c r="E120" s="6" t="s">
        <v>104</v>
      </c>
      <c r="F120" s="93"/>
      <c r="G120" s="79" t="s">
        <v>11</v>
      </c>
    </row>
    <row r="121" spans="2:7" ht="22.5" x14ac:dyDescent="0.25">
      <c r="B121" s="13">
        <v>7</v>
      </c>
      <c r="C121" s="6" t="s">
        <v>159</v>
      </c>
      <c r="D121" s="6" t="s">
        <v>103</v>
      </c>
      <c r="E121" s="6" t="s">
        <v>104</v>
      </c>
      <c r="F121" s="93"/>
      <c r="G121" s="79" t="s">
        <v>11</v>
      </c>
    </row>
    <row r="122" spans="2:7" ht="22.5" x14ac:dyDescent="0.25">
      <c r="B122" s="13">
        <v>8</v>
      </c>
      <c r="C122" s="6" t="s">
        <v>195</v>
      </c>
      <c r="D122" s="6" t="s">
        <v>50</v>
      </c>
      <c r="E122" s="6" t="s">
        <v>104</v>
      </c>
      <c r="F122" s="93"/>
      <c r="G122" s="79" t="s">
        <v>11</v>
      </c>
    </row>
    <row r="123" spans="2:7" ht="22.5" x14ac:dyDescent="0.25">
      <c r="B123" s="13">
        <v>9</v>
      </c>
      <c r="C123" s="6" t="s">
        <v>196</v>
      </c>
      <c r="D123" s="6" t="s">
        <v>48</v>
      </c>
      <c r="E123" s="6" t="s">
        <v>104</v>
      </c>
      <c r="F123" s="93"/>
      <c r="G123" s="79" t="s">
        <v>11</v>
      </c>
    </row>
    <row r="124" spans="2:7" ht="22.5" x14ac:dyDescent="0.25">
      <c r="B124" s="13">
        <v>10</v>
      </c>
      <c r="C124" s="6" t="s">
        <v>162</v>
      </c>
      <c r="D124" s="6" t="s">
        <v>52</v>
      </c>
      <c r="E124" s="6" t="s">
        <v>104</v>
      </c>
      <c r="F124" s="93"/>
      <c r="G124" s="79" t="s">
        <v>11</v>
      </c>
    </row>
    <row r="125" spans="2:7" ht="22.5" x14ac:dyDescent="0.25">
      <c r="B125" s="13">
        <v>11</v>
      </c>
      <c r="C125" s="6" t="s">
        <v>197</v>
      </c>
      <c r="D125" s="6" t="s">
        <v>106</v>
      </c>
      <c r="E125" s="6" t="s">
        <v>104</v>
      </c>
      <c r="F125" s="93"/>
      <c r="G125" s="79" t="s">
        <v>11</v>
      </c>
    </row>
    <row r="126" spans="2:7" ht="22.5" x14ac:dyDescent="0.25">
      <c r="B126" s="13">
        <v>12</v>
      </c>
      <c r="C126" s="6" t="s">
        <v>198</v>
      </c>
      <c r="D126" s="6" t="s">
        <v>243</v>
      </c>
      <c r="E126" s="6" t="s">
        <v>104</v>
      </c>
      <c r="F126" s="93"/>
      <c r="G126" s="79" t="s">
        <v>11</v>
      </c>
    </row>
    <row r="127" spans="2:7" ht="22.5" x14ac:dyDescent="0.25">
      <c r="B127" s="13">
        <v>13</v>
      </c>
      <c r="C127" s="6" t="s">
        <v>245</v>
      </c>
      <c r="D127" s="6" t="s">
        <v>107</v>
      </c>
      <c r="E127" s="6" t="s">
        <v>104</v>
      </c>
      <c r="F127" s="93"/>
      <c r="G127" s="79" t="s">
        <v>11</v>
      </c>
    </row>
    <row r="128" spans="2:7" ht="22.5" x14ac:dyDescent="0.25">
      <c r="B128" s="13">
        <v>14</v>
      </c>
      <c r="C128" s="6" t="s">
        <v>166</v>
      </c>
      <c r="D128" s="6" t="s">
        <v>194</v>
      </c>
      <c r="E128" s="6" t="s">
        <v>104</v>
      </c>
      <c r="F128" s="93"/>
      <c r="G128" s="79" t="s">
        <v>11</v>
      </c>
    </row>
    <row r="129" spans="2:7" ht="23.25" thickBot="1" x14ac:dyDescent="0.3">
      <c r="B129" s="59">
        <v>15</v>
      </c>
      <c r="C129" s="80" t="s">
        <v>238</v>
      </c>
      <c r="D129" s="80" t="s">
        <v>105</v>
      </c>
      <c r="E129" s="80" t="s">
        <v>104</v>
      </c>
      <c r="F129" s="94"/>
      <c r="G129" s="81" t="s">
        <v>11</v>
      </c>
    </row>
    <row r="130" spans="2:7" ht="23.25" thickBot="1" x14ac:dyDescent="0.3">
      <c r="B130" s="59">
        <v>16</v>
      </c>
      <c r="C130" s="80" t="s">
        <v>246</v>
      </c>
      <c r="D130" s="80" t="s">
        <v>237</v>
      </c>
      <c r="E130" s="80" t="s">
        <v>104</v>
      </c>
      <c r="F130" s="94"/>
      <c r="G130" s="81" t="s">
        <v>11</v>
      </c>
    </row>
    <row r="131" spans="2:7" ht="21" thickBot="1" x14ac:dyDescent="0.3"/>
    <row r="132" spans="2:7" x14ac:dyDescent="0.25">
      <c r="C132" s="82" t="s">
        <v>202</v>
      </c>
      <c r="D132" s="83" t="s">
        <v>203</v>
      </c>
    </row>
    <row r="133" spans="2:7" x14ac:dyDescent="0.25">
      <c r="C133" s="84" t="s">
        <v>208</v>
      </c>
      <c r="D133" s="85">
        <v>0</v>
      </c>
    </row>
    <row r="134" spans="2:7" x14ac:dyDescent="0.25">
      <c r="C134" s="84" t="s">
        <v>204</v>
      </c>
      <c r="D134" s="85">
        <v>1</v>
      </c>
    </row>
    <row r="135" spans="2:7" x14ac:dyDescent="0.25">
      <c r="C135" s="84" t="s">
        <v>199</v>
      </c>
      <c r="D135" s="85">
        <v>2</v>
      </c>
    </row>
    <row r="136" spans="2:7" x14ac:dyDescent="0.25">
      <c r="C136" s="84" t="s">
        <v>200</v>
      </c>
      <c r="D136" s="85">
        <v>3</v>
      </c>
    </row>
    <row r="137" spans="2:7" x14ac:dyDescent="0.25">
      <c r="C137" s="84" t="s">
        <v>207</v>
      </c>
      <c r="D137" s="85">
        <v>4</v>
      </c>
    </row>
    <row r="138" spans="2:7" x14ac:dyDescent="0.25">
      <c r="C138" s="84" t="s">
        <v>209</v>
      </c>
      <c r="D138" s="85">
        <v>5</v>
      </c>
    </row>
    <row r="139" spans="2:7" x14ac:dyDescent="0.25">
      <c r="C139" s="84" t="s">
        <v>205</v>
      </c>
      <c r="D139" s="85">
        <v>6</v>
      </c>
    </row>
    <row r="140" spans="2:7" x14ac:dyDescent="0.25">
      <c r="C140" s="84" t="s">
        <v>206</v>
      </c>
      <c r="D140" s="85">
        <v>7</v>
      </c>
    </row>
    <row r="141" spans="2:7" x14ac:dyDescent="0.25">
      <c r="C141" s="84" t="s">
        <v>210</v>
      </c>
      <c r="D141" s="85">
        <v>8</v>
      </c>
    </row>
    <row r="142" spans="2:7" ht="21" thickBot="1" x14ac:dyDescent="0.3">
      <c r="C142" s="86" t="s">
        <v>201</v>
      </c>
      <c r="D142" s="87">
        <v>9</v>
      </c>
    </row>
  </sheetData>
  <mergeCells count="3">
    <mergeCell ref="E100:G100"/>
    <mergeCell ref="B2:H2"/>
    <mergeCell ref="C103:E103"/>
  </mergeCells>
  <pageMargins left="0.2" right="0.2" top="0.75" bottom="0.75" header="0.3" footer="0.3"/>
  <pageSetup paperSize="9" scale="8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D007-1679-4535-9CB8-3BE54A7F312C}">
  <dimension ref="A1:E15"/>
  <sheetViews>
    <sheetView view="pageLayout" zoomScaleNormal="100" workbookViewId="0">
      <selection activeCell="C13" sqref="C13"/>
    </sheetView>
  </sheetViews>
  <sheetFormatPr defaultRowHeight="15" x14ac:dyDescent="0.25"/>
  <cols>
    <col min="2" max="2" width="13.5703125" style="64" bestFit="1" customWidth="1"/>
    <col min="3" max="3" width="25.5703125" bestFit="1" customWidth="1"/>
    <col min="4" max="4" width="12.5703125" bestFit="1" customWidth="1"/>
    <col min="5" max="5" width="6.140625" bestFit="1" customWidth="1"/>
  </cols>
  <sheetData>
    <row r="1" spans="1:5" ht="15.75" x14ac:dyDescent="0.25">
      <c r="A1" s="31" t="s">
        <v>157</v>
      </c>
      <c r="B1" s="31" t="s">
        <v>158</v>
      </c>
      <c r="C1" s="31" t="s">
        <v>2</v>
      </c>
      <c r="D1" s="10" t="s">
        <v>3</v>
      </c>
      <c r="E1" s="10" t="s">
        <v>4</v>
      </c>
    </row>
    <row r="2" spans="1:5" x14ac:dyDescent="0.25">
      <c r="A2" s="63">
        <v>1</v>
      </c>
      <c r="B2" s="6" t="s">
        <v>149</v>
      </c>
      <c r="C2" s="1" t="s">
        <v>49</v>
      </c>
      <c r="D2" s="1" t="s">
        <v>104</v>
      </c>
      <c r="E2" s="1" t="s">
        <v>11</v>
      </c>
    </row>
    <row r="3" spans="1:5" x14ac:dyDescent="0.25">
      <c r="A3" s="63">
        <v>2</v>
      </c>
      <c r="B3" s="22" t="s">
        <v>150</v>
      </c>
      <c r="C3" s="1" t="s">
        <v>95</v>
      </c>
      <c r="D3" s="1" t="s">
        <v>104</v>
      </c>
      <c r="E3" s="1" t="s">
        <v>11</v>
      </c>
    </row>
    <row r="4" spans="1:5" x14ac:dyDescent="0.25">
      <c r="A4" s="63">
        <v>3</v>
      </c>
      <c r="B4" s="52" t="s">
        <v>152</v>
      </c>
      <c r="C4" s="1" t="s">
        <v>51</v>
      </c>
      <c r="D4" s="1" t="s">
        <v>104</v>
      </c>
      <c r="E4" s="1" t="s">
        <v>11</v>
      </c>
    </row>
    <row r="5" spans="1:5" x14ac:dyDescent="0.25">
      <c r="A5" s="63">
        <v>4</v>
      </c>
      <c r="B5" s="52" t="s">
        <v>153</v>
      </c>
      <c r="C5" s="1" t="s">
        <v>53</v>
      </c>
      <c r="D5" s="1" t="s">
        <v>104</v>
      </c>
      <c r="E5" s="1" t="s">
        <v>11</v>
      </c>
    </row>
    <row r="6" spans="1:5" x14ac:dyDescent="0.25">
      <c r="A6" s="63">
        <v>5</v>
      </c>
      <c r="B6" s="52" t="s">
        <v>154</v>
      </c>
      <c r="C6" s="1" t="s">
        <v>96</v>
      </c>
      <c r="D6" s="1" t="s">
        <v>104</v>
      </c>
      <c r="E6" s="1" t="s">
        <v>11</v>
      </c>
    </row>
    <row r="7" spans="1:5" x14ac:dyDescent="0.25">
      <c r="A7" s="63">
        <v>6</v>
      </c>
      <c r="B7" s="52" t="s">
        <v>155</v>
      </c>
      <c r="C7" s="1" t="s">
        <v>97</v>
      </c>
      <c r="D7" s="1" t="s">
        <v>104</v>
      </c>
      <c r="E7" s="1" t="s">
        <v>11</v>
      </c>
    </row>
    <row r="8" spans="1:5" x14ac:dyDescent="0.25">
      <c r="A8" s="63">
        <v>7</v>
      </c>
      <c r="B8" s="6" t="s">
        <v>159</v>
      </c>
      <c r="C8" s="1" t="s">
        <v>103</v>
      </c>
      <c r="D8" s="1" t="s">
        <v>104</v>
      </c>
      <c r="E8" s="1" t="s">
        <v>11</v>
      </c>
    </row>
    <row r="9" spans="1:5" x14ac:dyDescent="0.25">
      <c r="A9" s="63">
        <v>8</v>
      </c>
      <c r="B9" s="6" t="s">
        <v>160</v>
      </c>
      <c r="C9" s="1" t="s">
        <v>105</v>
      </c>
      <c r="D9" s="1" t="s">
        <v>104</v>
      </c>
      <c r="E9" s="1" t="s">
        <v>11</v>
      </c>
    </row>
    <row r="10" spans="1:5" x14ac:dyDescent="0.25">
      <c r="A10" s="63">
        <v>9</v>
      </c>
      <c r="B10" s="6" t="s">
        <v>161</v>
      </c>
      <c r="C10" s="1" t="s">
        <v>50</v>
      </c>
      <c r="D10" s="1" t="s">
        <v>104</v>
      </c>
      <c r="E10" s="1" t="s">
        <v>11</v>
      </c>
    </row>
    <row r="11" spans="1:5" x14ac:dyDescent="0.25">
      <c r="A11" s="63">
        <v>10</v>
      </c>
      <c r="B11" s="6" t="s">
        <v>162</v>
      </c>
      <c r="C11" s="1" t="s">
        <v>106</v>
      </c>
      <c r="D11" s="1" t="s">
        <v>104</v>
      </c>
      <c r="E11" s="1" t="s">
        <v>11</v>
      </c>
    </row>
    <row r="12" spans="1:5" x14ac:dyDescent="0.25">
      <c r="A12" s="63">
        <v>11</v>
      </c>
      <c r="B12" s="6" t="s">
        <v>163</v>
      </c>
      <c r="C12" s="1" t="s">
        <v>107</v>
      </c>
      <c r="D12" s="1" t="s">
        <v>104</v>
      </c>
      <c r="E12" s="1" t="s">
        <v>11</v>
      </c>
    </row>
    <row r="13" spans="1:5" x14ac:dyDescent="0.25">
      <c r="A13" s="63">
        <v>12</v>
      </c>
      <c r="B13" s="6" t="s">
        <v>164</v>
      </c>
      <c r="C13" s="1" t="s">
        <v>52</v>
      </c>
      <c r="D13" s="1" t="s">
        <v>104</v>
      </c>
      <c r="E13" s="1" t="s">
        <v>11</v>
      </c>
    </row>
    <row r="14" spans="1:5" x14ac:dyDescent="0.25">
      <c r="A14" s="63">
        <v>13</v>
      </c>
      <c r="B14" s="6" t="s">
        <v>165</v>
      </c>
      <c r="C14" s="1" t="s">
        <v>108</v>
      </c>
      <c r="D14" s="1" t="s">
        <v>104</v>
      </c>
      <c r="E14" s="1" t="s">
        <v>11</v>
      </c>
    </row>
    <row r="15" spans="1:5" x14ac:dyDescent="0.25">
      <c r="A15" s="63">
        <v>14</v>
      </c>
      <c r="B15" s="6" t="s">
        <v>166</v>
      </c>
      <c r="C15" s="1" t="s">
        <v>48</v>
      </c>
      <c r="D15" s="1" t="s">
        <v>104</v>
      </c>
      <c r="E15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Elective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Rehman</dc:creator>
  <cp:lastModifiedBy>Abdul Basit</cp:lastModifiedBy>
  <cp:lastPrinted>2024-12-24T04:30:20Z</cp:lastPrinted>
  <dcterms:created xsi:type="dcterms:W3CDTF">2024-11-20T07:15:20Z</dcterms:created>
  <dcterms:modified xsi:type="dcterms:W3CDTF">2024-12-24T04:34:14Z</dcterms:modified>
</cp:coreProperties>
</file>